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Optimizer" sheetId="3" state="visible" r:id="rId5"/>
    <sheet name="Rating Engine (Kern)" sheetId="4" state="visible" r:id="rId6"/>
    <sheet name="Kern Re-Rate" sheetId="5" state="visible" r:id="rId7"/>
    <sheet name="NTU Effectiveness" sheetId="6" state="visible" r:id="rId8"/>
    <sheet name="VBA Modul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<sst xmlns="http://schemas.openxmlformats.org/spreadsheetml/2006/main" count="748" uniqueCount="487">
  <si>
    <t xml:space="preserve">SHELL &amp; TUBE HX DESIGN — EXCEL PORT OF CIO_Part_1.ipynb</t>
  </si>
  <si>
    <t xml:space="preserve">How this workbook is organised</t>
  </si>
  <si>
    <t xml:space="preserve">1. Inputs — every editable number (blue/yellow cells). Nothing else on this sheet is a formula.</t>
  </si>
  <si>
    <t xml:space="preserve">2. Optimizer — the 5 geometry values chosen by the grid-search optimizer (D_shell, D_outer, L_tube, N_passes, N_t). Pre-loaded with the notebook's own result; click Run Optimizer (VBA) to recompute for whatever is on the Inputs sheet.</t>
  </si>
  <si>
    <t xml:space="preserve">3. Rating Engine (Kern) — live formulas, mirrors size_shell_and_tube_cooler(). This is the full Kern check calculation: LMTD/F_T, tube-side Dittus-Boelter, shell-side Kern correlation, U, area, both pressure drops. Recalculates the instant you change an input or the chosen geometry.</t>
  </si>
  <si>
    <t xml:space="preserve">4. Kern Re-Rate — live formulas, mirrors re_rate_exchanger_kern_method(). Standardises onto real tube OD/length and TEMA shell sizes.</t>
  </si>
  <si>
    <t xml:space="preserve">5. NTU Effectiveness — live formulas, mirrors evaluate_tema_exchanger_effectiveness().</t>
  </si>
  <si>
    <t xml:space="preserve">6. VBA Module — read-only listing of the macro source, for reference/audit.</t>
  </si>
  <si>
    <t xml:space="preserve">Why VBA only runs the optimizer</t>
  </si>
  <si>
    <t xml:space="preserve">Excel has no native nested-loop grid search. Only Stage 1 (the four-level loop over shell diameter, tube OD, pass count and tube length) is implemented in VBA -- a line-for-line translation of optimize_shell_and_tube_cooler(), same bounds, same step sizes. Everything downstream of that (Stages 2-4) is native Excel formulas, not macro code, so the workbook is fully auditable and works even with macros disabled (using the pre-loaded example geometry).</t>
  </si>
  <si>
    <t xml:space="preserve">To enable the macro</t>
  </si>
  <si>
    <t xml:space="preserve">This ships as a plain .xlsx -- openpyxl (which built this file) cannot author a real embedded VBA project, so a fabricated .xlsm would have a mismatched, Excel-rejected file format. To add the macro: open this .xlsx in Excel, press Alt+F11, right-click VBAProject &gt; Import File, and import ShellTubeOptimizer.bas (included alongside this workbook). Then File &gt; Save As &gt; pick 'Excel Macro-Enabled Workbook (.xlsm)' -- Excel itself now writes a real vbaProject.bin. Then Developer tab &gt; Insert &gt; Button, draw it on the Optimizer sheet, and assign macro RunOptimizer. Or just press Alt+F8 and run RunOptimizer directly, no button needed.</t>
  </si>
  <si>
    <t xml:space="preserve">Three corrections made vs. the source notebook (all flagged inline where they occur)</t>
  </si>
  <si>
    <t xml:space="preserve">1. Kern Re-Rate: bundle-diameter constants K1/n1 are now looked up by pass count (Table 12.4) instead of being hardcoded to the 6-pass row -- validated against C&amp;R Example 12.1 (826 mm).</t>
  </si>
  <si>
    <t xml:space="preserve">2. Rating Engine: tube-side return-loss allowance uses 2.5 velocity heads/pass (C&amp;R Eq.12.20, Frank's correction) instead of Kern's original 4.0.</t>
  </si>
  <si>
    <t xml:space="preserve">3. Kern Re-Rate: tube-side flow area now uses tubes-per-pass = n_tubes/N_passes (matching the Rating Engine's own logic), instead of the notebook's n_passes . single-tube-area, which silently ignored n_tubes altogether -- a newly found bug, ~40% off in the validation case. Not yet applied back to the Python notebook; flag if you want that patched too.</t>
  </si>
  <si>
    <t xml:space="preserve">Left unchanged, per your direction</t>
  </si>
  <si>
    <t xml:space="preserve">Dittus-Boelter for tube-side h_i, and Kern's original closed-form shell-side correlation (h_o = 0.36 . Re^0.55 . Pr^(1/3)) for shell-side h_o. Both are established methods.</t>
  </si>
  <si>
    <t xml:space="preserve">SHELL &amp; TUBE HEAT EXCHANGER — KERN'S METHOD (Coulson &amp; Richardson Vol.6, Ch.12)</t>
  </si>
  <si>
    <t xml:space="preserve">Excel port of CIO_Part_1.ipynb. Blue/yellow cells are editable inputs; everything else is a live formula.</t>
  </si>
  <si>
    <t xml:space="preserve">HOT FLUID — SHELL SIDE  (MIL-PRF-23699 turbine oil)</t>
  </si>
  <si>
    <t xml:space="preserve">Parameter</t>
  </si>
  <si>
    <t xml:space="preserve">Value</t>
  </si>
  <si>
    <t xml:space="preserve">Units</t>
  </si>
  <si>
    <t xml:space="preserve">Notes / Source</t>
  </si>
  <si>
    <t xml:space="preserve">Hot fluid inlet temperature, Th_in</t>
  </si>
  <si>
    <t xml:space="preserve">°C</t>
  </si>
  <si>
    <t xml:space="preserve">Notebook default</t>
  </si>
  <si>
    <t xml:space="preserve">Hot fluid outlet temperature, Th_out</t>
  </si>
  <si>
    <t xml:space="preserve">Hot fluid mass flow rate, m_dot_h</t>
  </si>
  <si>
    <t xml:space="preserve">kg/s</t>
  </si>
  <si>
    <t xml:space="preserve">10,000 kg/h</t>
  </si>
  <si>
    <t xml:space="preserve">Hot fluid density, rho_h</t>
  </si>
  <si>
    <t xml:space="preserve">kg/m³</t>
  </si>
  <si>
    <t xml:space="preserve">MIL-PRF-23699 @ bulk T (const. in model)</t>
  </si>
  <si>
    <t xml:space="preserve">Hot fluid specific heat, cp_h</t>
  </si>
  <si>
    <t xml:space="preserve">J/kg·K</t>
  </si>
  <si>
    <t xml:space="preserve">MIL-PRF-23699</t>
  </si>
  <si>
    <t xml:space="preserve">Hot fluid thermal conductivity, k_h</t>
  </si>
  <si>
    <t xml:space="preserve">W/m·K</t>
  </si>
  <si>
    <t xml:space="preserve">Hot fluid viscosity, mu_h</t>
  </si>
  <si>
    <t xml:space="preserve">Pa·s</t>
  </si>
  <si>
    <t xml:space="preserve">COLD FLUID — TUBE SIDE  (Water)</t>
  </si>
  <si>
    <t xml:space="preserve">Cold fluid inlet temperature, Tc_in</t>
  </si>
  <si>
    <t xml:space="preserve">Notebook default (Cell 1)</t>
  </si>
  <si>
    <t xml:space="preserve">Cold fluid outlet temperature, Tc_out</t>
  </si>
  <si>
    <t xml:space="preserve">Cold fluid specific heat, cp_c</t>
  </si>
  <si>
    <t xml:space="preserve">Water</t>
  </si>
  <si>
    <t xml:space="preserve">Cold fluid density, rho_c</t>
  </si>
  <si>
    <t xml:space="preserve">Cold fluid viscosity, mu_c</t>
  </si>
  <si>
    <t xml:space="preserve">Water (503.62e-6)</t>
  </si>
  <si>
    <t xml:space="preserve">Cold fluid thermal conductivity, k_c</t>
  </si>
  <si>
    <t xml:space="preserve">MATERIALS / FOULING</t>
  </si>
  <si>
    <t xml:space="preserve">Tube wall conductivity, k_wall</t>
  </si>
  <si>
    <t xml:space="preserve">Used by the rating engine (Cell 1)</t>
  </si>
  <si>
    <t xml:space="preserve">Inside fouling resistance, R_fi</t>
  </si>
  <si>
    <t xml:space="preserve">m²·K/W</t>
  </si>
  <si>
    <t xml:space="preserve">Outside fouling resistance, R_fo</t>
  </si>
  <si>
    <t xml:space="preserve">Tube roughness</t>
  </si>
  <si>
    <t xml:space="preserve">m</t>
  </si>
  <si>
    <t xml:space="preserve">Smooth drawn tubing</t>
  </si>
  <si>
    <t xml:space="preserve">GEOMETRY RULES</t>
  </si>
  <si>
    <t xml:space="preserve">Tube pitch ratio, Pt/Do</t>
  </si>
  <si>
    <t xml:space="preserve">–</t>
  </si>
  <si>
    <t xml:space="preserve">TEMA triangular pitch</t>
  </si>
  <si>
    <t xml:space="preserve">Baffle spacing fraction of shell ID</t>
  </si>
  <si>
    <t xml:space="preserve">Code names this 'baffle_cut_ratio' but it is really the spacing lB/Ds, not the true TEMA baffle-cut %</t>
  </si>
  <si>
    <t xml:space="preserve">Tube wall thickness (search default)</t>
  </si>
  <si>
    <t xml:space="preserve">Used while the optimizer searches</t>
  </si>
  <si>
    <t xml:space="preserve">OPTIMIZER SEARCH BOUNDS  (used by the VBA macro on the 'Optimizer' sheet)</t>
  </si>
  <si>
    <t xml:space="preserve">Tube length, min</t>
  </si>
  <si>
    <t xml:space="preserve">Tube length, max</t>
  </si>
  <si>
    <t xml:space="preserve">Tube length step</t>
  </si>
  <si>
    <t xml:space="preserve">Shell inside diameter, min</t>
  </si>
  <si>
    <t xml:space="preserve">Shell inside diameter, max</t>
  </si>
  <si>
    <t xml:space="preserve">Shell inside diameter step</t>
  </si>
  <si>
    <t xml:space="preserve">Tube outer diameter, min</t>
  </si>
  <si>
    <t xml:space="preserve">Tube outer diameter, max</t>
  </si>
  <si>
    <t xml:space="preserve">Tube outer diameter step</t>
  </si>
  <si>
    <t xml:space="preserve">Max allowable pressure drop (either side)</t>
  </si>
  <si>
    <t xml:space="preserve">kPa</t>
  </si>
  <si>
    <t xml:space="preserve">Allowed tube-pass counts</t>
  </si>
  <si>
    <t xml:space="preserve">2,4,6,8</t>
  </si>
  <si>
    <t xml:space="preserve">Comma list, parsed by the macro</t>
  </si>
  <si>
    <t xml:space="preserve">KERN RE-RATE — TEMA STANDARD SIZES  (Cell 2 equivalent)</t>
  </si>
  <si>
    <t xml:space="preserve">Standard tube OD</t>
  </si>
  <si>
    <t xml:space="preserve">mm</t>
  </si>
  <si>
    <t xml:space="preserve">Standard tube length</t>
  </si>
  <si>
    <t xml:space="preserve">20 ft</t>
  </si>
  <si>
    <t xml:space="preserve">Pitch type</t>
  </si>
  <si>
    <t xml:space="preserve">triangular</t>
  </si>
  <si>
    <t xml:space="preserve">"triangular" or "square"</t>
  </si>
  <si>
    <t xml:space="preserve">Standard wall thickness</t>
  </si>
  <si>
    <t xml:space="preserve">Hot-side fouling (re-rate)</t>
  </si>
  <si>
    <t xml:space="preserve">Cold-side fouling (re-rate)</t>
  </si>
  <si>
    <t xml:space="preserve">Carbon-steel wall conductivity (re-rate)</t>
  </si>
  <si>
    <t xml:space="preserve">Cell 2 hardcodes 50.0, distinct from k_wall=45 above — kept as-is from source</t>
  </si>
  <si>
    <t xml:space="preserve">Shell-bundle clearance</t>
  </si>
  <si>
    <t xml:space="preserve">Fixed 38 mm stand-in for TEMA Fig.12.10 chart (varies 10-90mm by head type/size in the book)</t>
  </si>
  <si>
    <t xml:space="preserve">NTU / EFFECTIVENESS STAGE  (Cell 3 equivalent)</t>
  </si>
  <si>
    <t xml:space="preserve">NTU-stage cold inlet temp, Tc_in</t>
  </si>
  <si>
    <t xml:space="preserve">NOTE: notebook Cell 3 uses 25 °C here vs 20 °C in Cell 1 — kept as a separate cell, faithful to the source inconsistency</t>
  </si>
  <si>
    <t xml:space="preserve">NTU-stage cold outlet temp, Tc_out</t>
  </si>
  <si>
    <t xml:space="preserve">Notebook Cell 3 default</t>
  </si>
  <si>
    <t xml:space="preserve">STAGE 1 — CONSTRAINT-BASED OPTIMIZER  (grid search, run via VBA macro)</t>
  </si>
  <si>
    <t xml:space="preserve">Click the 'Run Optimizer' button (or Alt+F8 &gt; RunOptimizer) to re-run the exact nested-loop grid search from optimize_shell_and_tube_cooler() in Python, using the bounds on the Inputs sheet. It writes the five geometry cells below, which every other sheet in this workbook reads from live. The values shown now are a pre-loaded example (the notebook's own result) so the rest of the workbook is usable before you ever run the macro.</t>
  </si>
  <si>
    <t xml:space="preserve">CHOSEN OPTIMAL DESIGN  (macro output — most-compact design meeting all constraints)</t>
  </si>
  <si>
    <t xml:space="preserve">Shell inside diameter, D_shell</t>
  </si>
  <si>
    <t xml:space="preserve">Example result from the Python optimizer</t>
  </si>
  <si>
    <t xml:space="preserve">Tube outer diameter, D_outer</t>
  </si>
  <si>
    <t xml:space="preserve">34 mm</t>
  </si>
  <si>
    <t xml:space="preserve">Tube length, L_tube</t>
  </si>
  <si>
    <t xml:space="preserve">Number of tube passes, N_passes</t>
  </si>
  <si>
    <t xml:space="preserve">Number of tubes, N_t</t>
  </si>
  <si>
    <t xml:space="preserve">Optimizer status</t>
  </si>
  <si>
    <t xml:space="preserve">Example (pre-loaded) — click Run Optimizer to recompute</t>
  </si>
  <si>
    <t xml:space="preserve">Written by the macro</t>
  </si>
  <si>
    <t xml:space="preserve">Provided area at optimum (m²)</t>
  </si>
  <si>
    <t xml:space="preserve">m²</t>
  </si>
  <si>
    <t xml:space="preserve">Informational only, cross-check vs. Rating Engine sheet</t>
  </si>
  <si>
    <t xml:space="preserve">[Run Optimizer]  &lt;- assign macro RunOptimizer to a Form Control button here (Developer tab &gt; Insert &gt; Button)</t>
  </si>
  <si>
    <t xml:space="preserve">STAGE 2 — RATING ENGINE  (live formulas, mirrors size_shell_and_tube_cooler())</t>
  </si>
  <si>
    <t xml:space="preserve">Every cell below is a live formula reading from Inputs and Optimizer. Change any input or the chosen geometry and this whole sheet recalculates -- this is the Kern's-method check calculation the optimizer runs internally, made visible.</t>
  </si>
  <si>
    <t xml:space="preserve">GEOMETRY  (from Optimizer sheet)</t>
  </si>
  <si>
    <t xml:space="preserve">Shell inside diameter, D_shell_i</t>
  </si>
  <si>
    <t xml:space="preserve">Tube outer diameter, D_o</t>
  </si>
  <si>
    <t xml:space="preserve">Tube inner diameter, D_i</t>
  </si>
  <si>
    <t xml:space="preserve">OD - 2 x wall thickness</t>
  </si>
  <si>
    <t xml:space="preserve">-</t>
  </si>
  <si>
    <t xml:space="preserve">ENERGY BALANCE</t>
  </si>
  <si>
    <t xml:space="preserve">Heat duty, Q</t>
  </si>
  <si>
    <t xml:space="preserve">W</t>
  </si>
  <si>
    <t xml:space="preserve">m_dot_h . cp_h . (Th_in-Th_out)</t>
  </si>
  <si>
    <t xml:space="preserve">kW</t>
  </si>
  <si>
    <t xml:space="preserve">Cold utility flow, m_dot_c</t>
  </si>
  <si>
    <t xml:space="preserve">LMTD &amp; MULTI-PASS CORRECTION FACTOR F_T  (Cengel Eq.11-18 / C&amp;R Eq.12.8)</t>
  </si>
  <si>
    <t xml:space="preserve">dT1 = Th_in - Tc_out</t>
  </si>
  <si>
    <t xml:space="preserve">K</t>
  </si>
  <si>
    <t xml:space="preserve">dT2 = Th_out - Tc_in</t>
  </si>
  <si>
    <t xml:space="preserve">Counter-flow LMTD</t>
  </si>
  <si>
    <t xml:space="preserve">Eq.12.4</t>
  </si>
  <si>
    <t xml:space="preserve">delta_Tc = Tc_out - Tc_in</t>
  </si>
  <si>
    <t xml:space="preserve">delta_Th = Th_in - Th_out</t>
  </si>
  <si>
    <t xml:space="preserve">Th_in - Tc_in</t>
  </si>
  <si>
    <t xml:space="preserve">R (capacity ratio)</t>
  </si>
  <si>
    <t xml:space="preserve">Eq.12.6</t>
  </si>
  <si>
    <t xml:space="preserve">P (=S, thermal efficiency)</t>
  </si>
  <si>
    <t xml:space="preserve">Eq.12.7</t>
  </si>
  <si>
    <t xml:space="preserve">s = SQRT(R^2+1)</t>
  </si>
  <si>
    <t xml:space="preserve">log_arg_num = 1-P</t>
  </si>
  <si>
    <t xml:space="preserve">log_arg_den = 1-P.R</t>
  </si>
  <si>
    <t xml:space="preserve">den_term_num = 2-P(R+1-s)</t>
  </si>
  <si>
    <t xml:space="preserve">den_term_den = 2-P(R+1+s)</t>
  </si>
  <si>
    <t xml:space="preserve">num_ft = s.LN(log_arg_num/log_arg_den)</t>
  </si>
  <si>
    <t xml:space="preserve">den_ft = (R-1).LN(den_term_num/den_term_den)</t>
  </si>
  <si>
    <t xml:space="preserve">F_T (temperature correction factor)</t>
  </si>
  <si>
    <t xml:space="preserve">Guarded exactly as in the notebook; clamped below</t>
  </si>
  <si>
    <t xml:space="preserve">F_T (clamped to [0,1])</t>
  </si>
  <si>
    <t xml:space="preserve">Effective LMTD</t>
  </si>
  <si>
    <t xml:space="preserve">F_T x LMTD_counterflow</t>
  </si>
  <si>
    <t xml:space="preserve">TUBE-SIDE HEAT TRANSFER  (Dittus-Boelter, water)</t>
  </si>
  <si>
    <t xml:space="preserve">Single-tube flow area</t>
  </si>
  <si>
    <t xml:space="preserve">Tubes per pass</t>
  </si>
  <si>
    <t xml:space="preserve">Tube-side flow area (per pass)</t>
  </si>
  <si>
    <t xml:space="preserve">Tube-side velocity, u_t</t>
  </si>
  <si>
    <t xml:space="preserve">m/s</t>
  </si>
  <si>
    <t xml:space="preserve">Tube-side Reynolds number, Re_c</t>
  </si>
  <si>
    <t xml:space="preserve">Tube-side Prandtl number, Pr_c</t>
  </si>
  <si>
    <t xml:space="preserve">Tube-side Nusselt number, Nu_c</t>
  </si>
  <si>
    <t xml:space="preserve">n=0.4 (heating)</t>
  </si>
  <si>
    <t xml:space="preserve">Tube-side coefficient, h_i</t>
  </si>
  <si>
    <t xml:space="preserve">W/m²K</t>
  </si>
  <si>
    <t xml:space="preserve">SHELL-SIDE HEAT TRANSFER  (Kern, 30 deg triangular pitch, oil)</t>
  </si>
  <si>
    <t xml:space="preserve">Tube pitch, P_t</t>
  </si>
  <si>
    <t xml:space="preserve">Clearance between tubes</t>
  </si>
  <si>
    <t xml:space="preserve">Baffle spacing, B</t>
  </si>
  <si>
    <t xml:space="preserve">Shell-side cross-flow area</t>
  </si>
  <si>
    <t xml:space="preserve">Shell-side hydraulic diameter, D_e</t>
  </si>
  <si>
    <t xml:space="preserve">Shell-side velocity, u_s</t>
  </si>
  <si>
    <t xml:space="preserve">Shell-side Reynolds number, Re_h</t>
  </si>
  <si>
    <t xml:space="preserve">Shell-side Prandtl number, Pr_h</t>
  </si>
  <si>
    <t xml:space="preserve">Shell-side Nusselt number, Nu_h</t>
  </si>
  <si>
    <t xml:space="preserve">n=0.3 (cooling)</t>
  </si>
  <si>
    <t xml:space="preserve">Shell-side coefficient, h_o</t>
  </si>
  <si>
    <t xml:space="preserve">OVERALL HEAT TRANSFER COEFFICIENT &amp; AREA</t>
  </si>
  <si>
    <t xml:space="preserve">Tube-side conv. resistance term</t>
  </si>
  <si>
    <t xml:space="preserve">Wall resistance term</t>
  </si>
  <si>
    <t xml:space="preserve">Shell-side conv. resistance term</t>
  </si>
  <si>
    <t xml:space="preserve">1/U_o (sum of resistances)</t>
  </si>
  <si>
    <t xml:space="preserve">Overall coefficient, U_o</t>
  </si>
  <si>
    <t xml:space="preserve">Required surface area</t>
  </si>
  <si>
    <t xml:space="preserve">Provided surface area</t>
  </si>
  <si>
    <t xml:space="preserve">Design margin (provided/required)</t>
  </si>
  <si>
    <t xml:space="preserve">Must be &gt;= 1</t>
  </si>
  <si>
    <t xml:space="preserve">PRESSURE DROP</t>
  </si>
  <si>
    <t xml:space="preserve">Tube friction factor, f_tube</t>
  </si>
  <si>
    <t xml:space="preserve">Laminar / Haaland</t>
  </si>
  <si>
    <t xml:space="preserve">Tube-side dP, friction component</t>
  </si>
  <si>
    <t xml:space="preserve">Pa</t>
  </si>
  <si>
    <t xml:space="preserve">Tube-side dP, return-loss component</t>
  </si>
  <si>
    <t xml:space="preserve">2.5 vel. heads/pass, C&amp;R Eq.12.20 (Frank)</t>
  </si>
  <si>
    <t xml:space="preserve">Tube-side pressure drop</t>
  </si>
  <si>
    <t xml:space="preserve">Number of baffles</t>
  </si>
  <si>
    <t xml:space="preserve">Number of crossings</t>
  </si>
  <si>
    <t xml:space="preserve">Shell friction factor, f_shell</t>
  </si>
  <si>
    <t xml:space="preserve">Shell-side pressure drop</t>
  </si>
  <si>
    <t xml:space="preserve">Meets pressure-drop constraint?</t>
  </si>
  <si>
    <t xml:space="preserve">Meets area constraint?</t>
  </si>
  <si>
    <t xml:space="preserve">STAGE 3 — KERN RE-RATE TO TEMA STANDARD SIZES  (live formulas)</t>
  </si>
  <si>
    <t xml:space="preserve">Re-rates the design onto standard tube OD/length using Kern's shell-side correlation and the pass-count-aware bundle-diameter constants (Table 12.4). One formula here (tube-side flow area) was corrected from the source notebook -- see the flagged note below.</t>
  </si>
  <si>
    <t xml:space="preserve">BUNDLE-DIAMETER CONSTANTS  (C&amp;R Table 12.4, by pitch type &amp; pass count)</t>
  </si>
  <si>
    <t xml:space="preserve">Passes</t>
  </si>
  <si>
    <t xml:space="preserve">K1 (tri)</t>
  </si>
  <si>
    <t xml:space="preserve">n1 (tri)</t>
  </si>
  <si>
    <t xml:space="preserve">K1 (sq)</t>
  </si>
  <si>
    <t xml:space="preserve">n1 (sq)</t>
  </si>
  <si>
    <t xml:space="preserve">TARGETS FROM RATING ENGINE / OPTIMIZER</t>
  </si>
  <si>
    <t xml:space="preserve">Target area (from Rating Engine)</t>
  </si>
  <si>
    <t xml:space="preserve">Provided Surface Area from Stage 2</t>
  </si>
  <si>
    <t xml:space="preserve">Number of tube passes</t>
  </si>
  <si>
    <t xml:space="preserve">GEOMETRY CONVERSIONS TO SI</t>
  </si>
  <si>
    <t xml:space="preserve">Standard tube OD, d_o</t>
  </si>
  <si>
    <t xml:space="preserve">Standard length, L</t>
  </si>
  <si>
    <t xml:space="preserve">Wall thickness, t_wall</t>
  </si>
  <si>
    <t xml:space="preserve">Standard tube ID, d_i</t>
  </si>
  <si>
    <t xml:space="preserve">TUBE COUNT &amp; SURFACE AREA</t>
  </si>
  <si>
    <t xml:space="preserve">Area per standard tube</t>
  </si>
  <si>
    <t xml:space="preserve">Number of tubes, n_tubes</t>
  </si>
  <si>
    <t xml:space="preserve">BUNDLE &amp; SHELL DIAMETER  (pass-aware K1, n1 -- FIXED from hardcoded 6-pass values)</t>
  </si>
  <si>
    <t xml:space="preserve">K1 (looked up by pass count)</t>
  </si>
  <si>
    <t xml:space="preserve">Falls back to the 2-pass row if N_passes isn't 1/2/4/6/8</t>
  </si>
  <si>
    <t xml:space="preserve">n1 (looked up by pass count)</t>
  </si>
  <si>
    <t xml:space="preserve">Bundle diameter, Db</t>
  </si>
  <si>
    <t xml:space="preserve">Eq.12.3b. Validated vs C&amp;R Example 12.1 (918 tubes/2 pass -&gt; 0.826 m)</t>
  </si>
  <si>
    <t xml:space="preserve">Fixed stand-in for Fig.12.10 chart</t>
  </si>
  <si>
    <t xml:space="preserve">Raw shell diameter</t>
  </si>
  <si>
    <t xml:space="preserve">Standard shell ID</t>
  </si>
  <si>
    <t xml:space="preserve">Rounded up to nearest 50 mm</t>
  </si>
  <si>
    <t xml:space="preserve">TUBE-SIDE  (water)</t>
  </si>
  <si>
    <t xml:space="preserve">Tube pitch</t>
  </si>
  <si>
    <t xml:space="preserve">Baffle spacing</t>
  </si>
  <si>
    <t xml:space="preserve">Notebook Cell 2 default (0.4) differs from Cell 1's search value (0.2) -- kept faithful to source; edit if you want them to match</t>
  </si>
  <si>
    <t xml:space="preserve">FIX: notebook Cell 2 used N_passes . tube_area (ignoring n_tubes entirely) for the tube-side flow area -- a real bug, ~40% off in the validation case. Corrected here to n_tubes/N_passes, matching Cell 1's own logic.</t>
  </si>
  <si>
    <t xml:space="preserve">Tube-side flow area</t>
  </si>
  <si>
    <t xml:space="preserve">Tube-side Reynolds number</t>
  </si>
  <si>
    <t xml:space="preserve">Tube-side Prandtl number</t>
  </si>
  <si>
    <t xml:space="preserve">Tube-side Nusselt number</t>
  </si>
  <si>
    <t xml:space="preserve">Recalculated h_i</t>
  </si>
  <si>
    <t xml:space="preserve">SHELL-SIDE  (Kern's method, oil -- unchanged, established correlation)</t>
  </si>
  <si>
    <t xml:space="preserve">Shell-side mass velocity, G_s</t>
  </si>
  <si>
    <t xml:space="preserve">kg/m²s</t>
  </si>
  <si>
    <t xml:space="preserve">Kern equivalent diameter, D_e</t>
  </si>
  <si>
    <t xml:space="preserve">Triangular pitch, Eq.12.23</t>
  </si>
  <si>
    <t xml:space="preserve">Shell-side Reynolds number</t>
  </si>
  <si>
    <t xml:space="preserve">Shell-side Prandtl number</t>
  </si>
  <si>
    <t xml:space="preserve">Kern shell-side h_o</t>
  </si>
  <si>
    <t xml:space="preserve">Kern's original closed-form correlation -- kept as-is per your direction. Uses the single canonical k_h/mu_h from Inputs; the notebook's Cell 2 hardcoded slightly different values (k_h=0.147, mu_h=0.0116 vs Cell 1's 0.1402/0.0116192) in its execution call -- consolidated here rather than reproduced, ~3% effect on this h_o</t>
  </si>
  <si>
    <t xml:space="preserve">OVERALL U</t>
  </si>
  <si>
    <t xml:space="preserve">Wall resistance</t>
  </si>
  <si>
    <t xml:space="preserve">1/U (sum of resistances)</t>
  </si>
  <si>
    <t xml:space="preserve">Recalculated overall U</t>
  </si>
  <si>
    <t xml:space="preserve">STAGE 4 — NTU / EFFECTIVENESS  (live formulas, 1 shell pass / even tube passes)</t>
  </si>
  <si>
    <t xml:space="preserve">Not covered by C&amp;R Ch.12 itself (the book defers to Vol.1) -- this is the standard 1-shell-pass effectiveness-NTU relation (Incropera), matching the notebook's Cell 3.</t>
  </si>
  <si>
    <t xml:space="preserve">CAPACITY RATES</t>
  </si>
  <si>
    <t xml:space="preserve">Hot fluid capacity rate, C_h</t>
  </si>
  <si>
    <t xml:space="preserve">W/K</t>
  </si>
  <si>
    <t xml:space="preserve">Cold fluid capacity rate, C_c</t>
  </si>
  <si>
    <t xml:space="preserve">m_dot_c carried from Stage 2</t>
  </si>
  <si>
    <t xml:space="preserve">Minimum capacity rate, C_min</t>
  </si>
  <si>
    <t xml:space="preserve">Maximum capacity rate, C_max</t>
  </si>
  <si>
    <t xml:space="preserve">Capacity ratio, C_r</t>
  </si>
  <si>
    <t xml:space="preserve">NTU &amp; EFFECTIVENESS</t>
  </si>
  <si>
    <t xml:space="preserve">Overall U (from Kern re-rate)</t>
  </si>
  <si>
    <t xml:space="preserve">Provided area (from Kern re-rate)</t>
  </si>
  <si>
    <t xml:space="preserve">Number of transfer units, NTU</t>
  </si>
  <si>
    <t xml:space="preserve">gamma = SQRT(1+Cr^2)</t>
  </si>
  <si>
    <t xml:space="preserve">Exponential term, EXP(-NTU.gamma)</t>
  </si>
  <si>
    <t xml:space="preserve">Predicted effectiveness, epsilon</t>
  </si>
  <si>
    <t xml:space="preserve">1-shell-pass / even tube-pass relation</t>
  </si>
  <si>
    <t xml:space="preserve">ENERGY CHECK  (NOTE: uses the separate NTU-stage Tc_in, per source notebook Cell 3)</t>
  </si>
  <si>
    <t xml:space="preserve">Actual heat duty, Q_actual</t>
  </si>
  <si>
    <t xml:space="preserve">Carried from Stage 2</t>
  </si>
  <si>
    <t xml:space="preserve">Max possible heat transfer, Q_max</t>
  </si>
  <si>
    <t xml:space="preserve">Uses NTU-stage Tc_in, not the Stage-2 Tc_in -- faithful to the notebook's own inconsistency</t>
  </si>
  <si>
    <t xml:space="preserve">Actual operational effectiveness ratio</t>
  </si>
  <si>
    <t xml:space="preserve">Q_actual / Q_max</t>
  </si>
  <si>
    <t xml:space="preserve">REFERENCE LISTING — import ShellTubeOptimizer.bas into the VBA editor rather than retyping this.</t>
  </si>
  <si>
    <t xml:space="preserve">Option Explicit</t>
  </si>
  <si>
    <t xml:space="preserve">' ============================================================</t>
  </si>
  <si>
    <t xml:space="preserve">' ShellTubeOptimizer.bas</t>
  </si>
  <si>
    <t xml:space="preserve">' Line-for-line translation of optimize_shell_and_tube_cooler()</t>
  </si>
  <si>
    <t xml:space="preserve">' from CIO_Part_1.ipynb. Reads bounds from the Inputs sheet,</t>
  </si>
  <si>
    <t xml:space="preserve">' writes the winning design to the Optimizer sheet.</t>
  </si>
  <si>
    <t xml:space="preserve">Private Function MilOilCp() As Double</t>
  </si>
  <si>
    <t xml:space="preserve">    MilOilCp = 1903.1</t>
  </si>
  <si>
    <t xml:space="preserve">End Function</t>
  </si>
  <si>
    <t xml:space="preserve">Function LMTD_CF(Th_in As Double, Th_out As Double, Tc_in As Double, Tc_out As Double) As Double</t>
  </si>
  <si>
    <t xml:space="preserve">    Dim dT1 As Double, dT2 As Double</t>
  </si>
  <si>
    <t xml:space="preserve">    dT1 = Th_in - Tc_out</t>
  </si>
  <si>
    <t xml:space="preserve">    dT2 = Th_out - Tc_in</t>
  </si>
  <si>
    <t xml:space="preserve">    If Abs(dT1 - dT2) &lt; 0.000001 Then</t>
  </si>
  <si>
    <t xml:space="preserve">        LMTD_CF = dT1</t>
  </si>
  <si>
    <t xml:space="preserve">    ElseIf dT1 &lt;= 0 Or dT2 &lt;= 0 Then</t>
  </si>
  <si>
    <t xml:space="preserve">        LMTD_CF = (dT1 + dT2) / 2</t>
  </si>
  <si>
    <t xml:space="preserve">    Else</t>
  </si>
  <si>
    <t xml:space="preserve">        LMTD_CF = (dT1 - dT2) / Log(dT1 / dT2)</t>
  </si>
  <si>
    <t xml:space="preserve">    End If</t>
  </si>
  <si>
    <t xml:space="preserve">Function CorrectionFactorFT(Th_in As Double, Th_out As Double, Tc_in As Double, Tc_out As Double) As Double</t>
  </si>
  <si>
    <t xml:space="preserve">    Dim dTc As Double, dTh As Double, dThTcin As Double</t>
  </si>
  <si>
    <t xml:space="preserve">    Dim R As Double, P As Double, s As Double</t>
  </si>
  <si>
    <t xml:space="preserve">    Dim lan As Double, lad As Double, dtn As Double, dtd As Double</t>
  </si>
  <si>
    <t xml:space="preserve">    Dim numFt As Double, denFt As Double, ft As Double</t>
  </si>
  <si>
    <t xml:space="preserve">    dTc = Tc_out - Tc_in</t>
  </si>
  <si>
    <t xml:space="preserve">    dTh = Th_in - Th_out</t>
  </si>
  <si>
    <t xml:space="preserve">    dThTcin = Th_in - Tc_in</t>
  </si>
  <si>
    <t xml:space="preserve">    R = IIf(Abs(dTc) &gt; 0.000001, dTh / dTc, 1000000#)</t>
  </si>
  <si>
    <t xml:space="preserve">    P = IIf(Abs(dThTcin) &gt; 0.000001, dTc / dThTcin, 0#)</t>
  </si>
  <si>
    <t xml:space="preserve">    ft = 1#</t>
  </si>
  <si>
    <t xml:space="preserve">    If P &gt; 0 And P &lt; 1 And R &gt; 0 Then</t>
  </si>
  <si>
    <t xml:space="preserve">        If Abs(R - 1) &lt; 0.000001 Then</t>
  </si>
  <si>
    <t xml:space="preserve">            ft = 1#</t>
  </si>
  <si>
    <t xml:space="preserve">        Else</t>
  </si>
  <si>
    <t xml:space="preserve">            s = Sqr(R ^ 2 + 1)</t>
  </si>
  <si>
    <t xml:space="preserve">            lan = 1 - P</t>
  </si>
  <si>
    <t xml:space="preserve">            lad = 1 - P * R</t>
  </si>
  <si>
    <t xml:space="preserve">            dtn = 2 - P * (R + 1 - s)</t>
  </si>
  <si>
    <t xml:space="preserve">            dtd = 2 - P * (R + 1 + s)</t>
  </si>
  <si>
    <t xml:space="preserve">            If lan &gt; 0 And lad &gt; 0 And dtn &gt; 0 And dtd &gt; 0 Then</t>
  </si>
  <si>
    <t xml:space="preserve">                numFt = s * Log(lan / lad)</t>
  </si>
  <si>
    <t xml:space="preserve">                denFt = (R - 1) * Log(dtn / dtd)</t>
  </si>
  <si>
    <t xml:space="preserve">                If Abs(denFt) &gt; 0.000000001 Then ft = numFt / denFt</t>
  </si>
  <si>
    <t xml:space="preserve">            End If</t>
  </si>
  <si>
    <t xml:space="preserve">        End If</t>
  </si>
  <si>
    <t xml:space="preserve">    If ft &lt; 0 Or ft &gt; 1 Then ft = 1#</t>
  </si>
  <si>
    <t xml:space="preserve">    CorrectionFactorFT = ft</t>
  </si>
  <si>
    <t xml:space="preserve">' Mirrors size_shell_and_tube_cooler(): returns Area_required, Area_provided,</t>
  </si>
  <si>
    <t xml:space="preserve">' dP_tube (kPa), dP_shell (kPa) for one candidate geometry.</t>
  </si>
  <si>
    <t xml:space="preserve">Sub RateDesign(Th_in As Double, Th_out As Double, mDotH As Double, _</t>
  </si>
  <si>
    <t xml:space="preserve">                Tc_in As Double, Tc_out As Double, cpC As Double, rhoC As Double, muC As Double, kC As Double, _</t>
  </si>
  <si>
    <t xml:space="preserve">                rhoH As Double, cpH As Double, kH As Double, muH As Double, _</t>
  </si>
  <si>
    <t xml:space="preserve">                Di As Double, Do_ As Double, Dshell As Double, Ltube As Double, kWall As Double, _</t>
  </si>
  <si>
    <t xml:space="preserve">                Rfi As Double, Rfo As Double, pitchRatio As Double, baffleFrac As Double, roughness As Double, _</t>
  </si>
  <si>
    <t xml:space="preserve">                Nt As Long, Np As Long, _</t>
  </si>
  <si>
    <t xml:space="preserve">                ByRef areaReq As Double, ByRef areaProv As Double, ByRef dPtube As Double, ByRef dPshell As Double)</t>
  </si>
  <si>
    <t xml:space="preserve">    Dim Q As Double, mDotC As Double, lmtdCf As Double, ft As Double, lmtd As Double</t>
  </si>
  <si>
    <t xml:space="preserve">    Dim aTube As Double, NtPerPass As Double, Ac As Double, vC As Double, ReC As Double, PrC As Double, NuC As Double, hi As Double</t>
  </si>
  <si>
    <t xml:space="preserve">    Dim Pt As Double, Cclear As Double, Bbaf As Double, Ah As Double, De As Double</t>
  </si>
  <si>
    <t xml:space="preserve">    Dim vH As Double, ReH As Double, PrH As Double, NuH As Double, ho As Double</t>
  </si>
  <si>
    <t xml:space="preserve">    Dim invU As Double, U As Double</t>
  </si>
  <si>
    <t xml:space="preserve">    Dim fTube As Double, relRough As Double, Nbaf As Long, Ncross As Long, fShell As Double</t>
  </si>
  <si>
    <t xml:space="preserve">    Q = mDotH * cpH * (Th_in - Th_out)</t>
  </si>
  <si>
    <t xml:space="preserve">    mDotC = Q / (cpC * (Tc_out - Tc_in))</t>
  </si>
  <si>
    <t xml:space="preserve">    lmtdCf = LMTD_CF(Th_in, Th_out, Tc_in, Tc_out)</t>
  </si>
  <si>
    <t xml:space="preserve">    ft = CorrectionFactorFT(Th_in, Th_out, Tc_in, Tc_out)</t>
  </si>
  <si>
    <t xml:space="preserve">    lmtd = ft * lmtdCf</t>
  </si>
  <si>
    <t xml:space="preserve">    aTube = Application.WorksheetFunction.Pi() / 4 * Di ^ 2</t>
  </si>
  <si>
    <t xml:space="preserve">    NtPerPass = Application.WorksheetFunction.Max(1, Nt / Np)</t>
  </si>
  <si>
    <t xml:space="preserve">    Ac = NtPerPass * aTube</t>
  </si>
  <si>
    <t xml:space="preserve">    vC = mDotC / (rhoC * Ac)</t>
  </si>
  <si>
    <t xml:space="preserve">    ReC = rhoC * vC * Di / muC</t>
  </si>
  <si>
    <t xml:space="preserve">    PrC = cpC * muC / kC</t>
  </si>
  <si>
    <t xml:space="preserve">    If ReC &lt; 2300 Then NuC = 3.66 Else NuC = 0.023 * ReC ^ 0.8 * PrC ^ 0.4</t>
  </si>
  <si>
    <t xml:space="preserve">    hi = NuC * kC / Di</t>
  </si>
  <si>
    <t xml:space="preserve">    Pt = pitchRatio * Do_</t>
  </si>
  <si>
    <t xml:space="preserve">    Cclear = Pt - Do_</t>
  </si>
  <si>
    <t xml:space="preserve">    Bbaf = baffleFrac * Dshell</t>
  </si>
  <si>
    <t xml:space="preserve">    Ah = Dshell * Cclear * Bbaf / Pt</t>
  </si>
  <si>
    <t xml:space="preserve">    De = (3.464 * Pt ^ 2 - Application.WorksheetFunction.Pi() * Do_ ^ 2) / (Application.WorksheetFunction.Pi() * Do_)</t>
  </si>
  <si>
    <t xml:space="preserve">    vH = mDotH / (rhoH * Ah)</t>
  </si>
  <si>
    <t xml:space="preserve">    ReH = rhoH * vH * De / muH</t>
  </si>
  <si>
    <t xml:space="preserve">    PrH = cpH * muH / kH</t>
  </si>
  <si>
    <t xml:space="preserve">    If ReH &lt; 2300 Then NuH = 3.66 Else NuH = 0.023 * ReH ^ 0.8 * PrH ^ 0.3</t>
  </si>
  <si>
    <t xml:space="preserve">    ho = NuH * kH / De</t>
  </si>
  <si>
    <t xml:space="preserve">    invU = (1 / ho) + Rfo + (Do_ * Log(Do_ / Di) / (2 * kWall)) + (Do_ / (Di * hi)) + Rfi * (Do_ / Di)</t>
  </si>
  <si>
    <t xml:space="preserve">    U = 1 / invU</t>
  </si>
  <si>
    <t xml:space="preserve">    If lmtd &gt; 0 Then areaReq = Q / (U * lmtd) Else areaReq = 1E+30</t>
  </si>
  <si>
    <t xml:space="preserve">    areaProv = Nt * Application.WorksheetFunction.Pi() * Do_ * Ltube</t>
  </si>
  <si>
    <t xml:space="preserve">    If ReC &lt; 2300 Then</t>
  </si>
  <si>
    <t xml:space="preserve">        fTube = 64 / ReC</t>
  </si>
  <si>
    <t xml:space="preserve">        relRough = roughness / Di</t>
  </si>
  <si>
    <t xml:space="preserve">        fTube = (-1.8 * Application.WorksheetFunction.Log10(((relRough / 3.7) ^ 1.11) + (6.9 / ReC))) ^ -2</t>
  </si>
  <si>
    <t xml:space="preserve">    dPtube = (Np * fTube * (Ltube / Di) * (0.5 * rhoC * vC ^ 2) + Np * 2.5 * (0.5 * rhoC * vC ^ 2)) / 1000</t>
  </si>
  <si>
    <t xml:space="preserve">    If Ltube &gt; Bbaf Then Nbaf = Int(Ltube / Bbaf) - 1 Else Nbaf = 0</t>
  </si>
  <si>
    <t xml:space="preserve">    Ncross = Nbaf + 1</t>
  </si>
  <si>
    <t xml:space="preserve">    If ReH &lt; 2300 Then fShell = 64 / ReH Else fShell = 0.316 * ReH ^ -0.25</t>
  </si>
  <si>
    <t xml:space="preserve">    dPshell = fShell * (Dshell / De) * (0.5 * rhoH * vH ^ 2) * Ncross / 1000</t>
  </si>
  <si>
    <t xml:space="preserve">End Sub</t>
  </si>
  <si>
    <t xml:space="preserve">Sub RunOptimizer()</t>
  </si>
  <si>
    <t xml:space="preserve">    Dim wsIn As Worksheet, wsOpt As Worksheet</t>
  </si>
  <si>
    <t xml:space="preserve">    Set wsIn = ThisWorkbook.Sheets("Inputs")</t>
  </si>
  <si>
    <t xml:space="preserve">    Set wsOpt = ThisWorkbook.Sheets("Optimizer")</t>
  </si>
  <si>
    <t xml:space="preserve">    Dim ThIn As Double, ThOut As Double, mDotH As Double</t>
  </si>
  <si>
    <t xml:space="preserve">    Dim TcIn As Double, TcOut As Double, cpC As Double, rhoC As Double, muC As Double, kC As Double</t>
  </si>
  <si>
    <t xml:space="preserve">    Dim rhoH As Double, cpH As Double, kH As Double, muH As Double</t>
  </si>
  <si>
    <t xml:space="preserve">    Dim kWall As Double, Rfi As Double, Rfo As Double, pitchRatio As Double, baffleFrac As Double</t>
  </si>
  <si>
    <t xml:space="preserve">    Dim wallThk As Double, roughness As Double</t>
  </si>
  <si>
    <t xml:space="preserve">    Dim LtMin As Double, LtMax As Double, LtStep As Double</t>
  </si>
  <si>
    <t xml:space="preserve">    Dim DsMin As Double, DsMax As Double, DsStep As Double</t>
  </si>
  <si>
    <t xml:space="preserve">    Dim DoMin As Double, DoMax As Double, DoStep As Double</t>
  </si>
  <si>
    <t xml:space="preserve">    Dim maxDP As Double</t>
  </si>
  <si>
    <t xml:space="preserve">    Dim passesRaw As String, passesArr() As String</t>
  </si>
  <si>
    <t xml:space="preserve">    Dim i As Integer</t>
  </si>
  <si>
    <t xml:space="preserve">    ThIn = Range("Inputs!B7").Value</t>
  </si>
  <si>
    <t xml:space="preserve">    ThOut = Range("Inputs!B8").Value</t>
  </si>
  <si>
    <t xml:space="preserve">    mDotH = Range("Inputs!B9").Value</t>
  </si>
  <si>
    <t xml:space="preserve">    rhoH = Range("Inputs!B10").Value</t>
  </si>
  <si>
    <t xml:space="preserve">    cpH = Range("Inputs!B11").Value</t>
  </si>
  <si>
    <t xml:space="preserve">    kH = Range("Inputs!B12").Value</t>
  </si>
  <si>
    <t xml:space="preserve">    muH = Range("Inputs!B13").Value</t>
  </si>
  <si>
    <t xml:space="preserve">    TcIn = Range("Inputs!B17").Value</t>
  </si>
  <si>
    <t xml:space="preserve">    TcOut = Range("Inputs!B18").Value</t>
  </si>
  <si>
    <t xml:space="preserve">    cpC = Range("Inputs!B19").Value</t>
  </si>
  <si>
    <t xml:space="preserve">    rhoC = Range("Inputs!B20").Value</t>
  </si>
  <si>
    <t xml:space="preserve">    muC = Range("Inputs!B21").Value</t>
  </si>
  <si>
    <t xml:space="preserve">    kC = Range("Inputs!B22").Value</t>
  </si>
  <si>
    <t xml:space="preserve">    kWall = Range("Inputs!B26").Value</t>
  </si>
  <si>
    <t xml:space="preserve">    Rfi = Range("Inputs!B27").Value</t>
  </si>
  <si>
    <t xml:space="preserve">    Rfo = Range("Inputs!B28").Value</t>
  </si>
  <si>
    <t xml:space="preserve">    roughness = Range("Inputs!B29").Value</t>
  </si>
  <si>
    <t xml:space="preserve">    pitchRatio = Range("Inputs!B33").Value</t>
  </si>
  <si>
    <t xml:space="preserve">    baffleFrac = Range("Inputs!B34").Value</t>
  </si>
  <si>
    <t xml:space="preserve">    wallThk = Range("Inputs!B35").Value</t>
  </si>
  <si>
    <t xml:space="preserve">    LtMin = Range("Inputs!B39").Value</t>
  </si>
  <si>
    <t xml:space="preserve">    LtMax = Range("Inputs!B40").Value</t>
  </si>
  <si>
    <t xml:space="preserve">    LtStep = Range("Inputs!B41").Value</t>
  </si>
  <si>
    <t xml:space="preserve">    DsMin = Range("Inputs!B42").Value</t>
  </si>
  <si>
    <t xml:space="preserve">    DsMax = Range("Inputs!B43").Value</t>
  </si>
  <si>
    <t xml:space="preserve">    DsStep = Range("Inputs!B44").Value</t>
  </si>
  <si>
    <t xml:space="preserve">    DoMin = Range("Inputs!B45").Value</t>
  </si>
  <si>
    <t xml:space="preserve">    DoMax = Range("Inputs!B46").Value</t>
  </si>
  <si>
    <t xml:space="preserve">    DoStep = Range("Inputs!B47").Value</t>
  </si>
  <si>
    <t xml:space="preserve">    maxDP = Range("Inputs!B48").Value</t>
  </si>
  <si>
    <t xml:space="preserve">    passesRaw = Range("Inputs!B49").Value</t>
  </si>
  <si>
    <t xml:space="preserve">    passesArr = Split(passesRaw, ",")</t>
  </si>
  <si>
    <t xml:space="preserve">    Dim bestAreaProv As Double, found As Boolean</t>
  </si>
  <si>
    <t xml:space="preserve">    Dim bestDs As Double, bestDo As Double, bestL As Double, bestNp As Long, bestNt As Long</t>
  </si>
  <si>
    <t xml:space="preserve">    bestAreaProv = 1E+30</t>
  </si>
  <si>
    <t xml:space="preserve">    found = False</t>
  </si>
  <si>
    <t xml:space="preserve">    Dim curDs As Double, curDo As Double, curDi As Double, curL As Double</t>
  </si>
  <si>
    <t xml:space="preserve">    Dim pt As Double, approxMaxNt As Long</t>
  </si>
  <si>
    <t xml:space="preserve">    Dim pIdx As Integer, np As Long, nt As Long</t>
  </si>
  <si>
    <t xml:space="preserve">    Dim areaReq As Double, areaProv As Double, dPtube As Double, dPshell As Double</t>
  </si>
  <si>
    <t xml:space="preserve">    curDs = DsMin</t>
  </si>
  <si>
    <t xml:space="preserve">    Do While curDs &lt;= DsMax + 0.0000001</t>
  </si>
  <si>
    <t xml:space="preserve">        curDo = DoMin</t>
  </si>
  <si>
    <t xml:space="preserve">        Do While curDo &lt;= DoMax + 0.0000001</t>
  </si>
  <si>
    <t xml:space="preserve">            curDi = curDo - 2 * wallThk</t>
  </si>
  <si>
    <t xml:space="preserve">            If curDi &gt; 0 Then</t>
  </si>
  <si>
    <t xml:space="preserve">                pt = pitchRatio * curDo</t>
  </si>
  <si>
    <t xml:space="preserve">                approxMaxNt = Int(0.75 * ((curDs / pt) ^ 2) * (Application.WorksheetFunction.Pi() / 2))</t>
  </si>
  <si>
    <t xml:space="preserve">                If approxMaxNt &lt; 12 Then approxMaxNt = 12</t>
  </si>
  <si>
    <t xml:space="preserve">                For pIdx = LBound(passesArr) To UBound(passesArr)</t>
  </si>
  <si>
    <t xml:space="preserve">                    np = CLng(Trim(passesArr(pIdx)))</t>
  </si>
  <si>
    <t xml:space="preserve">                    nt = np * 2</t>
  </si>
  <si>
    <t xml:space="preserve">                    Do While nt &lt;= approxMaxNt</t>
  </si>
  <si>
    <t xml:space="preserve">                        curL = LtMin</t>
  </si>
  <si>
    <t xml:space="preserve">                        Do While curL &lt;= LtMax + 0.0000001</t>
  </si>
  <si>
    <t xml:space="preserve">                            RateDesign ThIn, ThOut, mDotH, TcIn, TcOut, cpC, rhoC, muC, kC, _</t>
  </si>
  <si>
    <t xml:space="preserve">                                       rhoH, cpH, kH, muH, curDi, curDo, curDs, curL, kWall, _</t>
  </si>
  <si>
    <t xml:space="preserve">                                       Rfi, Rfo, pitchRatio, baffleFrac, roughness, nt, np, _</t>
  </si>
  <si>
    <t xml:space="preserve">                                       areaReq, areaProv, dPtube, dPshell</t>
  </si>
  <si>
    <t xml:space="preserve">                            If areaProv &gt;= areaReq And dPtube &lt;= maxDP And dPshell &lt;= maxDP Then</t>
  </si>
  <si>
    <t xml:space="preserve">                                If areaProv &lt; bestAreaProv Then</t>
  </si>
  <si>
    <t xml:space="preserve">                                    bestAreaProv = areaProv</t>
  </si>
  <si>
    <t xml:space="preserve">                                    bestDs = curDs: bestDo = curDo: bestL = curL: bestNp = np: bestNt = nt</t>
  </si>
  <si>
    <t xml:space="preserve">                                    found = True</t>
  </si>
  <si>
    <t xml:space="preserve">                                End If</t>
  </si>
  <si>
    <t xml:space="preserve">                            End If</t>
  </si>
  <si>
    <t xml:space="preserve">                            curL = curL + LtStep</t>
  </si>
  <si>
    <t xml:space="preserve">                        Loop</t>
  </si>
  <si>
    <t xml:space="preserve">                        nt = nt + np * 2</t>
  </si>
  <si>
    <t xml:space="preserve">                    Loop</t>
  </si>
  <si>
    <t xml:space="preserve">                Next pIdx</t>
  </si>
  <si>
    <t xml:space="preserve">            curDo = curDo + DoStep</t>
  </si>
  <si>
    <t xml:space="preserve">        Loop</t>
  </si>
  <si>
    <t xml:space="preserve">        curDs = curDs + DsStep</t>
  </si>
  <si>
    <t xml:space="preserve">    Loop</t>
  </si>
  <si>
    <t xml:space="preserve">    If found Then</t>
  </si>
  <si>
    <t xml:space="preserve">        wsOpt.Range("B8").Value = bestDs   ' opt_D_shell</t>
  </si>
  <si>
    <t xml:space="preserve">        wsOpt.Range("B9").Value = bestDo   ' opt_D_outer</t>
  </si>
  <si>
    <t xml:space="preserve">        wsOpt.Range("B10").Value = bestL    ' opt_L_tube</t>
  </si>
  <si>
    <t xml:space="preserve">        wsOpt.Range("B11").Value = bestNp   ' opt_N_passes</t>
  </si>
  <si>
    <t xml:space="preserve">        wsOpt.Range("B12").Value = bestNt   ' opt_N_t</t>
  </si>
  <si>
    <t xml:space="preserve">        wsOpt.Range("B14").Value = "Optimal design found " &amp; Format(Now, "yyyy-mm-dd hh:mm")</t>
  </si>
  <si>
    <t xml:space="preserve">        wsOpt.Range("B15").Value = bestAreaProv</t>
  </si>
  <si>
    <t xml:space="preserve">        wsOpt.Range("B14").Value = "No configuration met all constraints -- widen bounds or raise max dP"</t>
  </si>
  <si>
    <t xml:space="preserve">    MsgBox "Optimizer finished. " &amp; IIf(found, "Best design written to the Optimizer sheet.", "No feasible design found."), vbInformation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</si>
</sst>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9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4" min="2" style="0" width="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3" customFormat="false" ht="18" hidden="false" customHeight="true" outlineLevel="0" collapsed="false">
      <c r="A3" s="2" t="s">
        <v>1</v>
      </c>
    </row>
    <row r="4" customFormat="false" ht="15" hidden="false" customHeight="true" outlineLevel="0" collapsed="false">
      <c r="A4" s="3" t="s">
        <v>2</v>
      </c>
    </row>
    <row r="5" customFormat="false" ht="45" hidden="false" customHeight="true" outlineLevel="0" collapsed="false">
      <c r="A5" s="3" t="s">
        <v>3</v>
      </c>
    </row>
    <row r="6" customFormat="false" ht="45" hidden="false" customHeight="true" outlineLevel="0" collapsed="false">
      <c r="A6" s="3" t="s">
        <v>4</v>
      </c>
    </row>
    <row r="7" customFormat="false" ht="30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/>
    </row>
    <row r="11" customFormat="false" ht="18" hidden="false" customHeight="true" outlineLevel="0" collapsed="false">
      <c r="A11" s="2" t="s">
        <v>8</v>
      </c>
    </row>
    <row r="12" customFormat="false" ht="7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/>
    </row>
    <row r="14" customFormat="false" ht="18" hidden="false" customHeight="true" outlineLevel="0" collapsed="false">
      <c r="A14" s="2" t="s">
        <v>10</v>
      </c>
    </row>
    <row r="15" customFormat="false" ht="90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/>
    </row>
    <row r="17" customFormat="false" ht="18" hidden="false" customHeight="true" outlineLevel="0" collapsed="false">
      <c r="A17" s="2" t="s">
        <v>12</v>
      </c>
    </row>
    <row r="18" customFormat="false" ht="30" hidden="false" customHeight="true" outlineLevel="0" collapsed="false">
      <c r="A18" s="3" t="s">
        <v>13</v>
      </c>
    </row>
    <row r="19" customFormat="false" ht="30" hidden="false" customHeight="true" outlineLevel="0" collapsed="false">
      <c r="A19" s="3" t="s">
        <v>14</v>
      </c>
    </row>
    <row r="20" customFormat="false" ht="60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/>
    </row>
    <row r="22" customFormat="false" ht="18" hidden="false" customHeight="true" outlineLevel="0" collapsed="false">
      <c r="A22" s="2" t="s">
        <v>16</v>
      </c>
    </row>
    <row r="23" customFormat="false" ht="30" hidden="false" customHeight="true" outlineLevel="0" collapsed="false">
      <c r="A23" s="3" t="s">
        <v>17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55"/>
  </cols>
  <sheetData>
    <row r="1" customFormat="false" ht="21.75" hidden="false" customHeight="true" outlineLevel="0" collapsed="false">
      <c r="A1" s="1" t="s">
        <v>18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19</v>
      </c>
    </row>
    <row r="5" customFormat="false" ht="15" hidden="false" customHeight="false" outlineLevel="0" collapsed="false">
      <c r="A5" s="5" t="s">
        <v>20</v>
      </c>
      <c r="B5" s="5"/>
      <c r="C5" s="5"/>
      <c r="D5" s="5"/>
      <c r="E5" s="5"/>
    </row>
    <row r="6" customFormat="false" ht="15" hidden="false" customHeight="false" outlineLevel="0" collapsed="false">
      <c r="A6" s="6" t="s">
        <v>21</v>
      </c>
      <c r="B6" s="6" t="s">
        <v>22</v>
      </c>
      <c r="C6" s="6" t="s">
        <v>23</v>
      </c>
      <c r="D6" s="6" t="s">
        <v>24</v>
      </c>
    </row>
    <row r="7" customFormat="false" ht="15" hidden="false" customHeight="false" outlineLevel="0" collapsed="false">
      <c r="A7" s="7" t="s">
        <v>25</v>
      </c>
      <c r="B7" s="8" t="n">
        <v>80</v>
      </c>
      <c r="C7" s="9" t="s">
        <v>26</v>
      </c>
      <c r="D7" s="9" t="s">
        <v>27</v>
      </c>
    </row>
    <row r="8" customFormat="false" ht="15" hidden="false" customHeight="false" outlineLevel="0" collapsed="false">
      <c r="A8" s="7" t="s">
        <v>28</v>
      </c>
      <c r="B8" s="8" t="n">
        <v>45</v>
      </c>
      <c r="C8" s="9" t="s">
        <v>26</v>
      </c>
      <c r="D8" s="9" t="s">
        <v>27</v>
      </c>
    </row>
    <row r="9" customFormat="false" ht="15" hidden="false" customHeight="false" outlineLevel="0" collapsed="false">
      <c r="A9" s="7" t="s">
        <v>29</v>
      </c>
      <c r="B9" s="8" t="n">
        <f aca="false">10000/3600</f>
        <v>2.77777777777778</v>
      </c>
      <c r="C9" s="9" t="s">
        <v>30</v>
      </c>
      <c r="D9" s="9" t="s">
        <v>31</v>
      </c>
    </row>
    <row r="10" customFormat="false" ht="15" hidden="false" customHeight="false" outlineLevel="0" collapsed="false">
      <c r="A10" s="7" t="s">
        <v>32</v>
      </c>
      <c r="B10" s="8" t="n">
        <v>960.08</v>
      </c>
      <c r="C10" s="9" t="s">
        <v>33</v>
      </c>
      <c r="D10" s="9" t="s">
        <v>34</v>
      </c>
    </row>
    <row r="11" customFormat="false" ht="15" hidden="false" customHeight="false" outlineLevel="0" collapsed="false">
      <c r="A11" s="7" t="s">
        <v>35</v>
      </c>
      <c r="B11" s="8" t="n">
        <v>1903.1</v>
      </c>
      <c r="C11" s="9" t="s">
        <v>36</v>
      </c>
      <c r="D11" s="9" t="s">
        <v>37</v>
      </c>
    </row>
    <row r="12" customFormat="false" ht="15" hidden="false" customHeight="false" outlineLevel="0" collapsed="false">
      <c r="A12" s="7" t="s">
        <v>38</v>
      </c>
      <c r="B12" s="8" t="n">
        <v>0.1402</v>
      </c>
      <c r="C12" s="9" t="s">
        <v>39</v>
      </c>
      <c r="D12" s="9" t="s">
        <v>37</v>
      </c>
    </row>
    <row r="13" customFormat="false" ht="15" hidden="false" customHeight="false" outlineLevel="0" collapsed="false">
      <c r="A13" s="7" t="s">
        <v>40</v>
      </c>
      <c r="B13" s="8" t="n">
        <v>0.0116192</v>
      </c>
      <c r="C13" s="9" t="s">
        <v>41</v>
      </c>
      <c r="D13" s="9" t="s">
        <v>37</v>
      </c>
    </row>
    <row r="15" customFormat="false" ht="15" hidden="false" customHeight="false" outlineLevel="0" collapsed="false">
      <c r="A15" s="5" t="s">
        <v>42</v>
      </c>
      <c r="B15" s="5"/>
      <c r="C15" s="5"/>
      <c r="D15" s="5"/>
      <c r="E15" s="5"/>
    </row>
    <row r="16" customFormat="false" ht="15" hidden="false" customHeight="false" outlineLevel="0" collapsed="false">
      <c r="A16" s="6" t="s">
        <v>21</v>
      </c>
      <c r="B16" s="6" t="s">
        <v>22</v>
      </c>
      <c r="C16" s="6" t="s">
        <v>23</v>
      </c>
      <c r="D16" s="6" t="s">
        <v>24</v>
      </c>
    </row>
    <row r="17" customFormat="false" ht="15" hidden="false" customHeight="false" outlineLevel="0" collapsed="false">
      <c r="A17" s="7" t="s">
        <v>43</v>
      </c>
      <c r="B17" s="8" t="n">
        <v>20</v>
      </c>
      <c r="C17" s="9" t="s">
        <v>26</v>
      </c>
      <c r="D17" s="9" t="s">
        <v>44</v>
      </c>
    </row>
    <row r="18" customFormat="false" ht="15" hidden="false" customHeight="false" outlineLevel="0" collapsed="false">
      <c r="A18" s="7" t="s">
        <v>45</v>
      </c>
      <c r="B18" s="8" t="n">
        <v>38</v>
      </c>
      <c r="C18" s="9" t="s">
        <v>26</v>
      </c>
      <c r="D18" s="9" t="s">
        <v>44</v>
      </c>
    </row>
    <row r="19" customFormat="false" ht="15" hidden="false" customHeight="false" outlineLevel="0" collapsed="false">
      <c r="A19" s="7" t="s">
        <v>46</v>
      </c>
      <c r="B19" s="8" t="n">
        <v>4183</v>
      </c>
      <c r="C19" s="9" t="s">
        <v>36</v>
      </c>
      <c r="D19" s="9" t="s">
        <v>47</v>
      </c>
    </row>
    <row r="20" customFormat="false" ht="15" hidden="false" customHeight="false" outlineLevel="0" collapsed="false">
      <c r="A20" s="7" t="s">
        <v>48</v>
      </c>
      <c r="B20" s="8" t="n">
        <v>985.69</v>
      </c>
      <c r="C20" s="9" t="s">
        <v>33</v>
      </c>
      <c r="D20" s="9" t="s">
        <v>47</v>
      </c>
    </row>
    <row r="21" customFormat="false" ht="15" hidden="false" customHeight="false" outlineLevel="0" collapsed="false">
      <c r="A21" s="7" t="s">
        <v>49</v>
      </c>
      <c r="B21" s="8" t="n">
        <v>0.00050362</v>
      </c>
      <c r="C21" s="9" t="s">
        <v>41</v>
      </c>
      <c r="D21" s="9" t="s">
        <v>50</v>
      </c>
    </row>
    <row r="22" customFormat="false" ht="15" hidden="false" customHeight="false" outlineLevel="0" collapsed="false">
      <c r="A22" s="7" t="s">
        <v>51</v>
      </c>
      <c r="B22" s="8" t="n">
        <v>0.64601</v>
      </c>
      <c r="C22" s="9" t="s">
        <v>39</v>
      </c>
      <c r="D22" s="9" t="s">
        <v>47</v>
      </c>
    </row>
    <row r="24" customFormat="false" ht="15" hidden="false" customHeight="false" outlineLevel="0" collapsed="false">
      <c r="A24" s="5" t="s">
        <v>52</v>
      </c>
      <c r="B24" s="5"/>
      <c r="C24" s="5"/>
      <c r="D24" s="5"/>
      <c r="E24" s="5"/>
    </row>
    <row r="25" customFormat="false" ht="15" hidden="false" customHeight="false" outlineLevel="0" collapsed="false">
      <c r="A25" s="6" t="s">
        <v>21</v>
      </c>
      <c r="B25" s="6" t="s">
        <v>22</v>
      </c>
      <c r="C25" s="6" t="s">
        <v>23</v>
      </c>
      <c r="D25" s="6" t="s">
        <v>24</v>
      </c>
    </row>
    <row r="26" customFormat="false" ht="15" hidden="false" customHeight="false" outlineLevel="0" collapsed="false">
      <c r="A26" s="7" t="s">
        <v>53</v>
      </c>
      <c r="B26" s="8" t="n">
        <v>45</v>
      </c>
      <c r="C26" s="9" t="s">
        <v>39</v>
      </c>
      <c r="D26" s="9" t="s">
        <v>54</v>
      </c>
    </row>
    <row r="27" customFormat="false" ht="15" hidden="false" customHeight="false" outlineLevel="0" collapsed="false">
      <c r="A27" s="7" t="s">
        <v>55</v>
      </c>
      <c r="B27" s="8" t="n">
        <v>0.0001</v>
      </c>
      <c r="C27" s="9" t="s">
        <v>56</v>
      </c>
      <c r="D27" s="9"/>
    </row>
    <row r="28" customFormat="false" ht="15" hidden="false" customHeight="false" outlineLevel="0" collapsed="false">
      <c r="A28" s="7" t="s">
        <v>57</v>
      </c>
      <c r="B28" s="8" t="n">
        <v>0.0002</v>
      </c>
      <c r="C28" s="9" t="s">
        <v>56</v>
      </c>
      <c r="D28" s="9"/>
    </row>
    <row r="29" customFormat="false" ht="15" hidden="false" customHeight="false" outlineLevel="0" collapsed="false">
      <c r="A29" s="7" t="s">
        <v>58</v>
      </c>
      <c r="B29" s="8" t="n">
        <v>1.5E-006</v>
      </c>
      <c r="C29" s="9" t="s">
        <v>59</v>
      </c>
      <c r="D29" s="9" t="s">
        <v>60</v>
      </c>
    </row>
    <row r="31" customFormat="false" ht="15" hidden="false" customHeight="false" outlineLevel="0" collapsed="false">
      <c r="A31" s="5" t="s">
        <v>61</v>
      </c>
      <c r="B31" s="5"/>
      <c r="C31" s="5"/>
      <c r="D31" s="5"/>
      <c r="E31" s="5"/>
    </row>
    <row r="32" customFormat="false" ht="15" hidden="false" customHeight="false" outlineLevel="0" collapsed="false">
      <c r="A32" s="6" t="s">
        <v>21</v>
      </c>
      <c r="B32" s="6" t="s">
        <v>22</v>
      </c>
      <c r="C32" s="6" t="s">
        <v>23</v>
      </c>
      <c r="D32" s="6" t="s">
        <v>24</v>
      </c>
    </row>
    <row r="33" customFormat="false" ht="15" hidden="false" customHeight="false" outlineLevel="0" collapsed="false">
      <c r="A33" s="7" t="s">
        <v>62</v>
      </c>
      <c r="B33" s="8" t="n">
        <v>1.25</v>
      </c>
      <c r="C33" s="9" t="s">
        <v>63</v>
      </c>
      <c r="D33" s="9" t="s">
        <v>64</v>
      </c>
    </row>
    <row r="34" customFormat="false" ht="15" hidden="false" customHeight="false" outlineLevel="0" collapsed="false">
      <c r="A34" s="7" t="s">
        <v>65</v>
      </c>
      <c r="B34" s="8" t="n">
        <v>0.2</v>
      </c>
      <c r="C34" s="9" t="s">
        <v>63</v>
      </c>
      <c r="D34" s="9" t="s">
        <v>66</v>
      </c>
    </row>
    <row r="35" customFormat="false" ht="15" hidden="false" customHeight="false" outlineLevel="0" collapsed="false">
      <c r="A35" s="7" t="s">
        <v>67</v>
      </c>
      <c r="B35" s="8" t="n">
        <v>0.0016</v>
      </c>
      <c r="C35" s="9" t="s">
        <v>59</v>
      </c>
      <c r="D35" s="9" t="s">
        <v>68</v>
      </c>
    </row>
    <row r="37" customFormat="false" ht="15" hidden="false" customHeight="false" outlineLevel="0" collapsed="false">
      <c r="A37" s="5" t="s">
        <v>69</v>
      </c>
      <c r="B37" s="5"/>
      <c r="C37" s="5"/>
      <c r="D37" s="5"/>
      <c r="E37" s="5"/>
    </row>
    <row r="38" customFormat="false" ht="15" hidden="false" customHeight="false" outlineLevel="0" collapsed="false">
      <c r="A38" s="6" t="s">
        <v>21</v>
      </c>
      <c r="B38" s="6" t="s">
        <v>22</v>
      </c>
      <c r="C38" s="6" t="s">
        <v>23</v>
      </c>
      <c r="D38" s="6" t="s">
        <v>24</v>
      </c>
    </row>
    <row r="39" customFormat="false" ht="15" hidden="false" customHeight="false" outlineLevel="0" collapsed="false">
      <c r="A39" s="7" t="s">
        <v>70</v>
      </c>
      <c r="B39" s="8" t="n">
        <v>2</v>
      </c>
      <c r="C39" s="9" t="s">
        <v>59</v>
      </c>
      <c r="D39" s="9"/>
    </row>
    <row r="40" customFormat="false" ht="15" hidden="false" customHeight="false" outlineLevel="0" collapsed="false">
      <c r="A40" s="7" t="s">
        <v>71</v>
      </c>
      <c r="B40" s="8" t="n">
        <v>7.5</v>
      </c>
      <c r="C40" s="9" t="s">
        <v>59</v>
      </c>
      <c r="D40" s="9"/>
    </row>
    <row r="41" customFormat="false" ht="15" hidden="false" customHeight="false" outlineLevel="0" collapsed="false">
      <c r="A41" s="7" t="s">
        <v>72</v>
      </c>
      <c r="B41" s="8" t="n">
        <v>0.25</v>
      </c>
      <c r="C41" s="9" t="s">
        <v>59</v>
      </c>
      <c r="D41" s="9"/>
    </row>
    <row r="42" customFormat="false" ht="15" hidden="false" customHeight="false" outlineLevel="0" collapsed="false">
      <c r="A42" s="7" t="s">
        <v>73</v>
      </c>
      <c r="B42" s="8" t="n">
        <v>0.2</v>
      </c>
      <c r="C42" s="9" t="s">
        <v>59</v>
      </c>
      <c r="D42" s="9"/>
    </row>
    <row r="43" customFormat="false" ht="15" hidden="false" customHeight="false" outlineLevel="0" collapsed="false">
      <c r="A43" s="7" t="s">
        <v>74</v>
      </c>
      <c r="B43" s="8" t="n">
        <v>2.5</v>
      </c>
      <c r="C43" s="9" t="s">
        <v>59</v>
      </c>
      <c r="D43" s="9"/>
    </row>
    <row r="44" customFormat="false" ht="15" hidden="false" customHeight="false" outlineLevel="0" collapsed="false">
      <c r="A44" s="7" t="s">
        <v>75</v>
      </c>
      <c r="B44" s="8" t="n">
        <v>0.05</v>
      </c>
      <c r="C44" s="9" t="s">
        <v>59</v>
      </c>
      <c r="D44" s="9"/>
    </row>
    <row r="45" customFormat="false" ht="15" hidden="false" customHeight="false" outlineLevel="0" collapsed="false">
      <c r="A45" s="7" t="s">
        <v>76</v>
      </c>
      <c r="B45" s="8" t="n">
        <v>0.016</v>
      </c>
      <c r="C45" s="9" t="s">
        <v>59</v>
      </c>
      <c r="D45" s="9"/>
    </row>
    <row r="46" customFormat="false" ht="15" hidden="false" customHeight="false" outlineLevel="0" collapsed="false">
      <c r="A46" s="7" t="s">
        <v>77</v>
      </c>
      <c r="B46" s="8" t="n">
        <v>0.05</v>
      </c>
      <c r="C46" s="9" t="s">
        <v>59</v>
      </c>
      <c r="D46" s="9"/>
    </row>
    <row r="47" customFormat="false" ht="15" hidden="false" customHeight="false" outlineLevel="0" collapsed="false">
      <c r="A47" s="7" t="s">
        <v>78</v>
      </c>
      <c r="B47" s="8" t="n">
        <v>0.002</v>
      </c>
      <c r="C47" s="9" t="s">
        <v>59</v>
      </c>
      <c r="D47" s="9"/>
    </row>
    <row r="48" customFormat="false" ht="15" hidden="false" customHeight="false" outlineLevel="0" collapsed="false">
      <c r="A48" s="7" t="s">
        <v>79</v>
      </c>
      <c r="B48" s="8" t="n">
        <v>70</v>
      </c>
      <c r="C48" s="9" t="s">
        <v>80</v>
      </c>
      <c r="D48" s="9"/>
    </row>
    <row r="49" customFormat="false" ht="15" hidden="false" customHeight="false" outlineLevel="0" collapsed="false">
      <c r="A49" s="7" t="s">
        <v>81</v>
      </c>
      <c r="B49" s="8" t="s">
        <v>82</v>
      </c>
      <c r="C49" s="9" t="s">
        <v>63</v>
      </c>
      <c r="D49" s="9" t="s">
        <v>83</v>
      </c>
    </row>
    <row r="51" customFormat="false" ht="15" hidden="false" customHeight="false" outlineLevel="0" collapsed="false">
      <c r="A51" s="5" t="s">
        <v>84</v>
      </c>
      <c r="B51" s="5"/>
      <c r="C51" s="5"/>
      <c r="D51" s="5"/>
      <c r="E51" s="5"/>
    </row>
    <row r="52" customFormat="false" ht="15" hidden="false" customHeight="false" outlineLevel="0" collapsed="false">
      <c r="A52" s="6" t="s">
        <v>21</v>
      </c>
      <c r="B52" s="6" t="s">
        <v>22</v>
      </c>
      <c r="C52" s="6" t="s">
        <v>23</v>
      </c>
      <c r="D52" s="6" t="s">
        <v>24</v>
      </c>
    </row>
    <row r="53" customFormat="false" ht="15" hidden="false" customHeight="false" outlineLevel="0" collapsed="false">
      <c r="A53" s="7" t="s">
        <v>85</v>
      </c>
      <c r="B53" s="8" t="n">
        <v>30</v>
      </c>
      <c r="C53" s="9" t="s">
        <v>86</v>
      </c>
      <c r="D53" s="9"/>
    </row>
    <row r="54" customFormat="false" ht="15" hidden="false" customHeight="false" outlineLevel="0" collapsed="false">
      <c r="A54" s="7" t="s">
        <v>87</v>
      </c>
      <c r="B54" s="8" t="n">
        <v>6.1</v>
      </c>
      <c r="C54" s="9" t="s">
        <v>59</v>
      </c>
      <c r="D54" s="9" t="s">
        <v>88</v>
      </c>
    </row>
    <row r="55" customFormat="false" ht="15" hidden="false" customHeight="false" outlineLevel="0" collapsed="false">
      <c r="A55" s="7" t="s">
        <v>89</v>
      </c>
      <c r="B55" s="8" t="s">
        <v>90</v>
      </c>
      <c r="C55" s="9" t="s">
        <v>63</v>
      </c>
      <c r="D55" s="9" t="s">
        <v>91</v>
      </c>
    </row>
    <row r="56" customFormat="false" ht="15" hidden="false" customHeight="false" outlineLevel="0" collapsed="false">
      <c r="A56" s="7" t="s">
        <v>92</v>
      </c>
      <c r="B56" s="8" t="n">
        <v>1.6</v>
      </c>
      <c r="C56" s="9" t="s">
        <v>86</v>
      </c>
      <c r="D56" s="9"/>
    </row>
    <row r="57" customFormat="false" ht="15" hidden="false" customHeight="false" outlineLevel="0" collapsed="false">
      <c r="A57" s="7" t="s">
        <v>93</v>
      </c>
      <c r="B57" s="8" t="n">
        <v>0.0001</v>
      </c>
      <c r="C57" s="9" t="s">
        <v>56</v>
      </c>
      <c r="D57" s="9"/>
    </row>
    <row r="58" customFormat="false" ht="15" hidden="false" customHeight="false" outlineLevel="0" collapsed="false">
      <c r="A58" s="7" t="s">
        <v>94</v>
      </c>
      <c r="B58" s="8" t="n">
        <v>0.0002</v>
      </c>
      <c r="C58" s="9" t="s">
        <v>56</v>
      </c>
      <c r="D58" s="9"/>
    </row>
    <row r="59" customFormat="false" ht="15" hidden="false" customHeight="false" outlineLevel="0" collapsed="false">
      <c r="A59" s="7" t="s">
        <v>95</v>
      </c>
      <c r="B59" s="8" t="n">
        <v>50</v>
      </c>
      <c r="C59" s="9" t="s">
        <v>39</v>
      </c>
      <c r="D59" s="9" t="s">
        <v>96</v>
      </c>
    </row>
    <row r="60" customFormat="false" ht="15" hidden="false" customHeight="false" outlineLevel="0" collapsed="false">
      <c r="A60" s="7" t="s">
        <v>97</v>
      </c>
      <c r="B60" s="8" t="n">
        <v>0.038</v>
      </c>
      <c r="C60" s="9" t="s">
        <v>59</v>
      </c>
      <c r="D60" s="9" t="s">
        <v>98</v>
      </c>
    </row>
    <row r="62" customFormat="false" ht="15" hidden="false" customHeight="false" outlineLevel="0" collapsed="false">
      <c r="A62" s="5" t="s">
        <v>99</v>
      </c>
      <c r="B62" s="5"/>
      <c r="C62" s="5"/>
      <c r="D62" s="5"/>
      <c r="E62" s="5"/>
    </row>
    <row r="63" customFormat="false" ht="15" hidden="false" customHeight="false" outlineLevel="0" collapsed="false">
      <c r="A63" s="6" t="s">
        <v>21</v>
      </c>
      <c r="B63" s="6" t="s">
        <v>22</v>
      </c>
      <c r="C63" s="6" t="s">
        <v>23</v>
      </c>
      <c r="D63" s="6" t="s">
        <v>24</v>
      </c>
    </row>
    <row r="64" customFormat="false" ht="15" hidden="false" customHeight="false" outlineLevel="0" collapsed="false">
      <c r="A64" s="7" t="s">
        <v>100</v>
      </c>
      <c r="B64" s="8" t="n">
        <v>25</v>
      </c>
      <c r="C64" s="9" t="s">
        <v>26</v>
      </c>
      <c r="D64" s="9" t="s">
        <v>101</v>
      </c>
    </row>
    <row r="65" customFormat="false" ht="15" hidden="false" customHeight="false" outlineLevel="0" collapsed="false">
      <c r="A65" s="7" t="s">
        <v>102</v>
      </c>
      <c r="B65" s="8" t="n">
        <v>42</v>
      </c>
      <c r="C65" s="9" t="s">
        <v>26</v>
      </c>
      <c r="D65" s="9" t="s">
        <v>103</v>
      </c>
    </row>
  </sheetData>
  <mergeCells count="8">
    <mergeCell ref="A1:E1"/>
    <mergeCell ref="A5:E5"/>
    <mergeCell ref="A15:E15"/>
    <mergeCell ref="A24:E24"/>
    <mergeCell ref="A31:E31"/>
    <mergeCell ref="A37:E37"/>
    <mergeCell ref="A51:E51"/>
    <mergeCell ref="A62:E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55"/>
  </cols>
  <sheetData>
    <row r="1" customFormat="false" ht="21.75" hidden="false" customHeight="true" outlineLevel="0" collapsed="false">
      <c r="A1" s="1" t="s">
        <v>104</v>
      </c>
      <c r="B1" s="1"/>
      <c r="C1" s="1"/>
      <c r="D1" s="1"/>
      <c r="E1" s="1"/>
    </row>
    <row r="3" customFormat="false" ht="39.75" hidden="false" customHeight="true" outlineLevel="0" collapsed="false">
      <c r="A3" s="10" t="s">
        <v>105</v>
      </c>
      <c r="B3" s="10"/>
      <c r="C3" s="10"/>
      <c r="D3" s="10"/>
      <c r="E3" s="10"/>
    </row>
    <row r="6" customFormat="false" ht="15" hidden="false" customHeight="false" outlineLevel="0" collapsed="false">
      <c r="A6" s="5" t="s">
        <v>106</v>
      </c>
      <c r="B6" s="5"/>
      <c r="C6" s="5"/>
      <c r="D6" s="5"/>
      <c r="E6" s="5"/>
    </row>
    <row r="7" customFormat="false" ht="15" hidden="false" customHeight="false" outlineLevel="0" collapsed="false">
      <c r="A7" s="6" t="s">
        <v>21</v>
      </c>
      <c r="B7" s="6" t="s">
        <v>22</v>
      </c>
      <c r="C7" s="6" t="s">
        <v>23</v>
      </c>
      <c r="D7" s="6" t="s">
        <v>24</v>
      </c>
    </row>
    <row r="8" customFormat="false" ht="15" hidden="false" customHeight="false" outlineLevel="0" collapsed="false">
      <c r="A8" s="7" t="s">
        <v>107</v>
      </c>
      <c r="B8" s="8" t="n">
        <v>0.25</v>
      </c>
      <c r="C8" s="9" t="s">
        <v>59</v>
      </c>
      <c r="D8" s="9" t="s">
        <v>108</v>
      </c>
    </row>
    <row r="9" customFormat="false" ht="15" hidden="false" customHeight="false" outlineLevel="0" collapsed="false">
      <c r="A9" s="7" t="s">
        <v>109</v>
      </c>
      <c r="B9" s="8" t="n">
        <v>0.034</v>
      </c>
      <c r="C9" s="9" t="s">
        <v>59</v>
      </c>
      <c r="D9" s="9" t="s">
        <v>110</v>
      </c>
    </row>
    <row r="10" customFormat="false" ht="15" hidden="false" customHeight="false" outlineLevel="0" collapsed="false">
      <c r="A10" s="7" t="s">
        <v>111</v>
      </c>
      <c r="B10" s="8" t="n">
        <v>7.5</v>
      </c>
      <c r="C10" s="9" t="s">
        <v>59</v>
      </c>
      <c r="D10" s="9"/>
    </row>
    <row r="11" customFormat="false" ht="15" hidden="false" customHeight="false" outlineLevel="0" collapsed="false">
      <c r="A11" s="7" t="s">
        <v>112</v>
      </c>
      <c r="B11" s="8" t="n">
        <v>8</v>
      </c>
      <c r="C11" s="9" t="s">
        <v>63</v>
      </c>
      <c r="D11" s="9"/>
    </row>
    <row r="12" customFormat="false" ht="15" hidden="false" customHeight="false" outlineLevel="0" collapsed="false">
      <c r="A12" s="7" t="s">
        <v>113</v>
      </c>
      <c r="B12" s="8" t="n">
        <v>32</v>
      </c>
      <c r="C12" s="9" t="s">
        <v>63</v>
      </c>
      <c r="D12" s="9"/>
    </row>
    <row r="14" customFormat="false" ht="15" hidden="false" customHeight="false" outlineLevel="0" collapsed="false">
      <c r="A14" s="7" t="s">
        <v>114</v>
      </c>
      <c r="B14" s="8" t="s">
        <v>115</v>
      </c>
      <c r="C14" s="9"/>
      <c r="D14" s="9" t="s">
        <v>116</v>
      </c>
    </row>
    <row r="15" customFormat="false" ht="15" hidden="false" customHeight="false" outlineLevel="0" collapsed="false">
      <c r="A15" s="7" t="s">
        <v>117</v>
      </c>
      <c r="B15" s="8" t="n">
        <v>25.635</v>
      </c>
      <c r="C15" s="9" t="s">
        <v>118</v>
      </c>
      <c r="D15" s="9" t="s">
        <v>119</v>
      </c>
    </row>
    <row r="18" customFormat="false" ht="15" hidden="false" customHeight="false" outlineLevel="0" collapsed="false">
      <c r="A18" s="6" t="s">
        <v>120</v>
      </c>
    </row>
  </sheetData>
  <mergeCells count="3">
    <mergeCell ref="A1:E1"/>
    <mergeCell ref="A3:E3"/>
    <mergeCell ref="A6:E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21.75" hidden="false" customHeight="true" outlineLevel="0" collapsed="false">
      <c r="A1" s="1" t="s">
        <v>121</v>
      </c>
      <c r="B1" s="1"/>
      <c r="C1" s="1"/>
      <c r="D1" s="1"/>
      <c r="E1" s="1"/>
    </row>
    <row r="3" customFormat="false" ht="27.75" hidden="false" customHeight="true" outlineLevel="0" collapsed="false">
      <c r="A3" s="10" t="s">
        <v>122</v>
      </c>
      <c r="B3" s="10"/>
      <c r="C3" s="10"/>
      <c r="D3" s="10"/>
      <c r="E3" s="10"/>
    </row>
    <row r="5" customFormat="false" ht="15" hidden="false" customHeight="false" outlineLevel="0" collapsed="false">
      <c r="A5" s="5" t="s">
        <v>123</v>
      </c>
      <c r="B5" s="5"/>
      <c r="C5" s="5"/>
      <c r="D5" s="5"/>
      <c r="E5" s="5"/>
    </row>
    <row r="6" customFormat="false" ht="15" hidden="false" customHeight="false" outlineLevel="0" collapsed="false">
      <c r="A6" s="6" t="s">
        <v>21</v>
      </c>
      <c r="B6" s="6" t="s">
        <v>22</v>
      </c>
      <c r="C6" s="6" t="s">
        <v>23</v>
      </c>
      <c r="D6" s="6" t="s">
        <v>24</v>
      </c>
    </row>
    <row r="7" customFormat="false" ht="15" hidden="false" customHeight="false" outlineLevel="0" collapsed="false">
      <c r="A7" s="7" t="s">
        <v>124</v>
      </c>
      <c r="B7" s="11" t="n">
        <f aca="false">Optimizer!$B$8</f>
        <v>0.25</v>
      </c>
      <c r="C7" s="9" t="s">
        <v>59</v>
      </c>
      <c r="D7" s="9"/>
    </row>
    <row r="8" customFormat="false" ht="15" hidden="false" customHeight="false" outlineLevel="0" collapsed="false">
      <c r="A8" s="7" t="s">
        <v>125</v>
      </c>
      <c r="B8" s="11" t="n">
        <f aca="false">Optimizer!$B$9</f>
        <v>0.034</v>
      </c>
      <c r="C8" s="9" t="s">
        <v>59</v>
      </c>
      <c r="D8" s="9"/>
    </row>
    <row r="9" customFormat="false" ht="15" hidden="false" customHeight="false" outlineLevel="0" collapsed="false">
      <c r="A9" s="7" t="s">
        <v>126</v>
      </c>
      <c r="B9" s="11" t="n">
        <f aca="false">Optimizer!$B$9-2*Inputs!$B$35</f>
        <v>0.0308</v>
      </c>
      <c r="C9" s="9" t="s">
        <v>59</v>
      </c>
      <c r="D9" s="9" t="s">
        <v>127</v>
      </c>
    </row>
    <row r="10" customFormat="false" ht="15" hidden="false" customHeight="false" outlineLevel="0" collapsed="false">
      <c r="A10" s="7" t="s">
        <v>111</v>
      </c>
      <c r="B10" s="11" t="n">
        <f aca="false">Optimizer!$B$10</f>
        <v>7.5</v>
      </c>
      <c r="C10" s="9" t="s">
        <v>59</v>
      </c>
      <c r="D10" s="9"/>
    </row>
    <row r="11" customFormat="false" ht="15" hidden="false" customHeight="false" outlineLevel="0" collapsed="false">
      <c r="A11" s="7" t="s">
        <v>112</v>
      </c>
      <c r="B11" s="11" t="n">
        <f aca="false">Optimizer!$B$11</f>
        <v>8</v>
      </c>
      <c r="C11" s="9" t="s">
        <v>128</v>
      </c>
      <c r="D11" s="9"/>
    </row>
    <row r="12" customFormat="false" ht="15" hidden="false" customHeight="false" outlineLevel="0" collapsed="false">
      <c r="A12" s="7" t="s">
        <v>113</v>
      </c>
      <c r="B12" s="11" t="n">
        <f aca="false">Optimizer!$B$12</f>
        <v>32</v>
      </c>
      <c r="C12" s="9" t="s">
        <v>128</v>
      </c>
      <c r="D12" s="9"/>
    </row>
    <row r="14" customFormat="false" ht="15" hidden="false" customHeight="false" outlineLevel="0" collapsed="false">
      <c r="A14" s="5" t="s">
        <v>129</v>
      </c>
      <c r="B14" s="5"/>
      <c r="C14" s="5"/>
      <c r="D14" s="5"/>
      <c r="E14" s="5"/>
    </row>
    <row r="15" customFormat="false" ht="15" hidden="false" customHeight="false" outlineLevel="0" collapsed="false">
      <c r="A15" s="6" t="s">
        <v>21</v>
      </c>
      <c r="B15" s="6" t="s">
        <v>22</v>
      </c>
      <c r="C15" s="6" t="s">
        <v>23</v>
      </c>
      <c r="D15" s="6" t="s">
        <v>24</v>
      </c>
    </row>
    <row r="16" customFormat="false" ht="15" hidden="false" customHeight="false" outlineLevel="0" collapsed="false">
      <c r="A16" s="7" t="s">
        <v>130</v>
      </c>
      <c r="B16" s="12" t="n">
        <f aca="false">Inputs!$B$9*Inputs!$B$11*(Inputs!$B$7-Inputs!$B$8)</f>
        <v>185023.611111111</v>
      </c>
      <c r="C16" s="9" t="s">
        <v>131</v>
      </c>
      <c r="D16" s="9" t="s">
        <v>132</v>
      </c>
    </row>
    <row r="17" customFormat="false" ht="15" hidden="false" customHeight="false" outlineLevel="0" collapsed="false">
      <c r="A17" s="7" t="s">
        <v>130</v>
      </c>
      <c r="B17" s="12" t="n">
        <f aca="false">'Rating Engine (Kern)'!$B$16/1000</f>
        <v>185.023611111111</v>
      </c>
      <c r="C17" s="9" t="s">
        <v>133</v>
      </c>
      <c r="D17" s="9"/>
    </row>
    <row r="18" customFormat="false" ht="15" hidden="false" customHeight="false" outlineLevel="0" collapsed="false">
      <c r="A18" s="7" t="s">
        <v>134</v>
      </c>
      <c r="B18" s="12" t="n">
        <f aca="false">'Rating Engine (Kern)'!$B$16/(Inputs!$B$19*(Inputs!$B$18-Inputs!$B$17))</f>
        <v>2.45734867467675</v>
      </c>
      <c r="C18" s="9" t="s">
        <v>30</v>
      </c>
      <c r="D18" s="9"/>
    </row>
    <row r="20" customFormat="false" ht="15" hidden="false" customHeight="false" outlineLevel="0" collapsed="false">
      <c r="A20" s="5" t="s">
        <v>135</v>
      </c>
      <c r="B20" s="5"/>
      <c r="C20" s="5"/>
      <c r="D20" s="5"/>
      <c r="E20" s="5"/>
    </row>
    <row r="21" customFormat="false" ht="15" hidden="false" customHeight="false" outlineLevel="0" collapsed="false">
      <c r="A21" s="6" t="s">
        <v>21</v>
      </c>
      <c r="B21" s="6" t="s">
        <v>22</v>
      </c>
      <c r="C21" s="6" t="s">
        <v>23</v>
      </c>
      <c r="D21" s="6" t="s">
        <v>24</v>
      </c>
    </row>
    <row r="22" customFormat="false" ht="15" hidden="false" customHeight="false" outlineLevel="0" collapsed="false">
      <c r="A22" s="7" t="s">
        <v>136</v>
      </c>
      <c r="B22" s="12" t="n">
        <f aca="false">Inputs!$B$7-Inputs!$B$18</f>
        <v>42</v>
      </c>
      <c r="C22" s="9" t="s">
        <v>137</v>
      </c>
      <c r="D22" s="9"/>
    </row>
    <row r="23" customFormat="false" ht="15" hidden="false" customHeight="false" outlineLevel="0" collapsed="false">
      <c r="A23" s="7" t="s">
        <v>138</v>
      </c>
      <c r="B23" s="12" t="n">
        <f aca="false">Inputs!$B$8-Inputs!$B$17</f>
        <v>25</v>
      </c>
      <c r="C23" s="9" t="s">
        <v>137</v>
      </c>
      <c r="D23" s="9"/>
    </row>
    <row r="24" customFormat="false" ht="15" hidden="false" customHeight="false" outlineLevel="0" collapsed="false">
      <c r="A24" s="7" t="s">
        <v>139</v>
      </c>
      <c r="B24" s="12" t="n">
        <f aca="false">IF(ABS('Rating Engine (Kern)'!$B$22-'Rating Engine (Kern)'!$B$23)&lt;0.000001,'Rating Engine (Kern)'!$B$22,IF(OR('Rating Engine (Kern)'!$B$22&lt;=0,'Rating Engine (Kern)'!$B$23&lt;=0),('Rating Engine (Kern)'!$B$22+'Rating Engine (Kern)'!$B$23)/2,('Rating Engine (Kern)'!$B$22-'Rating Engine (Kern)'!$B$23)/LN('Rating Engine (Kern)'!$B$22/'Rating Engine (Kern)'!$B$23)))</f>
        <v>32.7683180018225</v>
      </c>
      <c r="C24" s="9" t="s">
        <v>137</v>
      </c>
      <c r="D24" s="9" t="s">
        <v>140</v>
      </c>
    </row>
    <row r="25" customFormat="false" ht="15" hidden="false" customHeight="false" outlineLevel="0" collapsed="false">
      <c r="A25" s="7" t="s">
        <v>141</v>
      </c>
      <c r="B25" s="12" t="n">
        <f aca="false">Inputs!$B$18-Inputs!$B$17</f>
        <v>18</v>
      </c>
      <c r="C25" s="9" t="s">
        <v>137</v>
      </c>
      <c r="D25" s="9"/>
    </row>
    <row r="26" customFormat="false" ht="15" hidden="false" customHeight="false" outlineLevel="0" collapsed="false">
      <c r="A26" s="7" t="s">
        <v>142</v>
      </c>
      <c r="B26" s="12" t="n">
        <f aca="false">Inputs!$B$7-Inputs!$B$8</f>
        <v>35</v>
      </c>
      <c r="C26" s="9" t="s">
        <v>137</v>
      </c>
      <c r="D26" s="9"/>
    </row>
    <row r="27" customFormat="false" ht="15" hidden="false" customHeight="false" outlineLevel="0" collapsed="false">
      <c r="A27" s="7" t="s">
        <v>143</v>
      </c>
      <c r="B27" s="12" t="n">
        <f aca="false">Inputs!$B$7-Inputs!$B$17</f>
        <v>60</v>
      </c>
      <c r="C27" s="9" t="s">
        <v>137</v>
      </c>
      <c r="D27" s="9"/>
    </row>
    <row r="28" customFormat="false" ht="15" hidden="false" customHeight="false" outlineLevel="0" collapsed="false">
      <c r="A28" s="7" t="s">
        <v>144</v>
      </c>
      <c r="B28" s="12" t="n">
        <f aca="false">IF(ABS('Rating Engine (Kern)'!$B$25)&gt;0.000001,'Rating Engine (Kern)'!$B$26/'Rating Engine (Kern)'!$B$25,1000000)</f>
        <v>1.94444444444444</v>
      </c>
      <c r="C28" s="9" t="s">
        <v>128</v>
      </c>
      <c r="D28" s="9" t="s">
        <v>145</v>
      </c>
    </row>
    <row r="29" customFormat="false" ht="15" hidden="false" customHeight="false" outlineLevel="0" collapsed="false">
      <c r="A29" s="7" t="s">
        <v>146</v>
      </c>
      <c r="B29" s="12" t="n">
        <f aca="false">IF(ABS('Rating Engine (Kern)'!$B$27)&gt;0.000001,'Rating Engine (Kern)'!$B$25/'Rating Engine (Kern)'!$B$27,0)</f>
        <v>0.3</v>
      </c>
      <c r="C29" s="9" t="s">
        <v>128</v>
      </c>
      <c r="D29" s="9" t="s">
        <v>147</v>
      </c>
    </row>
    <row r="30" customFormat="false" ht="15" hidden="false" customHeight="false" outlineLevel="0" collapsed="false">
      <c r="A30" s="7" t="s">
        <v>148</v>
      </c>
      <c r="B30" s="12" t="n">
        <f aca="false">SQRT('Rating Engine (Kern)'!$B$28^2+1)</f>
        <v>2.18651873935049</v>
      </c>
      <c r="C30" s="9" t="s">
        <v>128</v>
      </c>
      <c r="D30" s="9"/>
    </row>
    <row r="31" customFormat="false" ht="15" hidden="false" customHeight="false" outlineLevel="0" collapsed="false">
      <c r="A31" s="7" t="s">
        <v>149</v>
      </c>
      <c r="B31" s="12" t="n">
        <f aca="false">1-'Rating Engine (Kern)'!$B$29</f>
        <v>0.7</v>
      </c>
      <c r="C31" s="9" t="s">
        <v>128</v>
      </c>
      <c r="D31" s="9"/>
    </row>
    <row r="32" customFormat="false" ht="15" hidden="false" customHeight="false" outlineLevel="0" collapsed="false">
      <c r="A32" s="7" t="s">
        <v>150</v>
      </c>
      <c r="B32" s="12" t="n">
        <f aca="false">1-'Rating Engine (Kern)'!$B$29*'Rating Engine (Kern)'!$B$28</f>
        <v>0.416666666666667</v>
      </c>
      <c r="C32" s="9" t="s">
        <v>128</v>
      </c>
      <c r="D32" s="9"/>
    </row>
    <row r="33" customFormat="false" ht="15" hidden="false" customHeight="false" outlineLevel="0" collapsed="false">
      <c r="A33" s="7" t="s">
        <v>151</v>
      </c>
      <c r="B33" s="12" t="n">
        <f aca="false">2-'Rating Engine (Kern)'!$B$29*('Rating Engine (Kern)'!$B$28+1-'Rating Engine (Kern)'!$B$30)</f>
        <v>1.77262228847181</v>
      </c>
      <c r="C33" s="9" t="s">
        <v>128</v>
      </c>
      <c r="D33" s="9"/>
    </row>
    <row r="34" customFormat="false" ht="15" hidden="false" customHeight="false" outlineLevel="0" collapsed="false">
      <c r="A34" s="7" t="s">
        <v>152</v>
      </c>
      <c r="B34" s="12" t="n">
        <f aca="false">2-'Rating Engine (Kern)'!$B$29*('Rating Engine (Kern)'!$B$28+1+'Rating Engine (Kern)'!$B$30)</f>
        <v>0.460711044861519</v>
      </c>
      <c r="C34" s="9" t="s">
        <v>128</v>
      </c>
      <c r="D34" s="9"/>
    </row>
    <row r="35" customFormat="false" ht="15" hidden="false" customHeight="false" outlineLevel="0" collapsed="false">
      <c r="A35" s="7" t="s">
        <v>153</v>
      </c>
      <c r="B35" s="12" t="n">
        <f aca="false">IF(AND('Rating Engine (Kern)'!$B$31&gt;0,'Rating Engine (Kern)'!$B$32&gt;0,'Rating Engine (Kern)'!$B$33&gt;0,'Rating Engine (Kern)'!$B$34&gt;0),'Rating Engine (Kern)'!$B$30*LN('Rating Engine (Kern)'!$B$31/'Rating Engine (Kern)'!$B$32),0)</f>
        <v>1.13435235116099</v>
      </c>
      <c r="C35" s="9" t="s">
        <v>128</v>
      </c>
      <c r="D35" s="9"/>
    </row>
    <row r="36" customFormat="false" ht="15" hidden="false" customHeight="false" outlineLevel="0" collapsed="false">
      <c r="A36" s="7" t="s">
        <v>154</v>
      </c>
      <c r="B36" s="12" t="n">
        <f aca="false">IF(AND('Rating Engine (Kern)'!$B$31&gt;0,'Rating Engine (Kern)'!$B$32&gt;0,'Rating Engine (Kern)'!$B$33&gt;0,'Rating Engine (Kern)'!$B$34&gt;0),('Rating Engine (Kern)'!$B$28-1)*LN('Rating Engine (Kern)'!$B$33/'Rating Engine (Kern)'!$B$34),1)</f>
        <v>1.27258619112852</v>
      </c>
      <c r="C36" s="9" t="s">
        <v>128</v>
      </c>
      <c r="D36" s="9"/>
    </row>
    <row r="37" customFormat="false" ht="15" hidden="false" customHeight="false" outlineLevel="0" collapsed="false">
      <c r="A37" s="7" t="s">
        <v>155</v>
      </c>
      <c r="B37" s="12" t="n">
        <f aca="false">IF(AND('Rating Engine (Kern)'!$B$29&gt;0,'Rating Engine (Kern)'!$B$29&lt;1,'Rating Engine (Kern)'!$B$28&gt;0),IF(ABS('Rating Engine (Kern)'!$B$28-1)&lt;0.000001,1,IF(AND(AND('Rating Engine (Kern)'!$B$31&gt;0,'Rating Engine (Kern)'!$B$32&gt;0,'Rating Engine (Kern)'!$B$33&gt;0,'Rating Engine (Kern)'!$B$34&gt;0),ABS('Rating Engine (Kern)'!$B$36)&gt;0.000000001),'Rating Engine (Kern)'!$B$35/'Rating Engine (Kern)'!$B$36,1)),1)</f>
        <v>0.891375656178585</v>
      </c>
      <c r="C37" s="9" t="s">
        <v>128</v>
      </c>
      <c r="D37" s="9" t="s">
        <v>156</v>
      </c>
    </row>
    <row r="38" customFormat="false" ht="15" hidden="false" customHeight="false" outlineLevel="0" collapsed="false">
      <c r="A38" s="7" t="s">
        <v>157</v>
      </c>
      <c r="B38" s="12" t="n">
        <f aca="false">IFERROR(IF(OR('Rating Engine (Kern)'!$B$37&lt;0,'Rating Engine (Kern)'!$B$37&gt;1),1,'Rating Engine (Kern)'!$B$37),1)</f>
        <v>0.891375656178585</v>
      </c>
      <c r="C38" s="9" t="s">
        <v>128</v>
      </c>
      <c r="D38" s="9"/>
    </row>
    <row r="39" customFormat="false" ht="15" hidden="false" customHeight="false" outlineLevel="0" collapsed="false">
      <c r="A39" s="7" t="s">
        <v>158</v>
      </c>
      <c r="B39" s="12" t="n">
        <f aca="false">'Rating Engine (Kern)'!$B$38*'Rating Engine (Kern)'!$B$24</f>
        <v>29.208880960743</v>
      </c>
      <c r="C39" s="9" t="s">
        <v>137</v>
      </c>
      <c r="D39" s="9" t="s">
        <v>159</v>
      </c>
    </row>
    <row r="41" customFormat="false" ht="15" hidden="false" customHeight="false" outlineLevel="0" collapsed="false">
      <c r="A41" s="5" t="s">
        <v>160</v>
      </c>
      <c r="B41" s="5"/>
      <c r="C41" s="5"/>
      <c r="D41" s="5"/>
      <c r="E41" s="5"/>
    </row>
    <row r="42" customFormat="false" ht="15" hidden="false" customHeight="false" outlineLevel="0" collapsed="false">
      <c r="A42" s="6" t="s">
        <v>21</v>
      </c>
      <c r="B42" s="6" t="s">
        <v>22</v>
      </c>
      <c r="C42" s="6" t="s">
        <v>23</v>
      </c>
      <c r="D42" s="6" t="s">
        <v>24</v>
      </c>
    </row>
    <row r="43" customFormat="false" ht="15" hidden="false" customHeight="false" outlineLevel="0" collapsed="false">
      <c r="A43" s="7" t="s">
        <v>161</v>
      </c>
      <c r="B43" s="12" t="n">
        <f aca="false">PI()/4*'Rating Engine (Kern)'!$B$9^2</f>
        <v>0.000745060113725355</v>
      </c>
      <c r="C43" s="9" t="s">
        <v>118</v>
      </c>
      <c r="D43" s="9"/>
    </row>
    <row r="44" customFormat="false" ht="15" hidden="false" customHeight="false" outlineLevel="0" collapsed="false">
      <c r="A44" s="7" t="s">
        <v>162</v>
      </c>
      <c r="B44" s="12" t="n">
        <f aca="false">MAX(1,'Rating Engine (Kern)'!$B$12/'Rating Engine (Kern)'!$B$11)</f>
        <v>4</v>
      </c>
      <c r="C44" s="9" t="s">
        <v>128</v>
      </c>
      <c r="D44" s="9"/>
    </row>
    <row r="45" customFormat="false" ht="15" hidden="false" customHeight="false" outlineLevel="0" collapsed="false">
      <c r="A45" s="7" t="s">
        <v>163</v>
      </c>
      <c r="B45" s="12" t="n">
        <f aca="false">'Rating Engine (Kern)'!$B$44*'Rating Engine (Kern)'!$B$43</f>
        <v>0.00298024045490142</v>
      </c>
      <c r="C45" s="9" t="s">
        <v>118</v>
      </c>
      <c r="D45" s="9"/>
    </row>
    <row r="46" customFormat="false" ht="15" hidden="false" customHeight="false" outlineLevel="0" collapsed="false">
      <c r="A46" s="7" t="s">
        <v>164</v>
      </c>
      <c r="B46" s="12" t="n">
        <f aca="false">'Rating Engine (Kern)'!$B$18/(Inputs!$B$20*'Rating Engine (Kern)'!$B$45)</f>
        <v>0.836517684944388</v>
      </c>
      <c r="C46" s="9" t="s">
        <v>165</v>
      </c>
      <c r="D46" s="9"/>
    </row>
    <row r="47" customFormat="false" ht="15" hidden="false" customHeight="false" outlineLevel="0" collapsed="false">
      <c r="A47" s="7" t="s">
        <v>166</v>
      </c>
      <c r="B47" s="12" t="n">
        <f aca="false">Inputs!$B$20*'Rating Engine (Kern)'!$B$46*'Rating Engine (Kern)'!$B$9/Inputs!$B$21</f>
        <v>50427.0108408786</v>
      </c>
      <c r="C47" s="9" t="s">
        <v>128</v>
      </c>
      <c r="D47" s="9"/>
    </row>
    <row r="48" customFormat="false" ht="15" hidden="false" customHeight="false" outlineLevel="0" collapsed="false">
      <c r="A48" s="7" t="s">
        <v>167</v>
      </c>
      <c r="B48" s="12" t="n">
        <f aca="false">Inputs!$B$19*Inputs!$B$21/Inputs!$B$22</f>
        <v>3.26100595966007</v>
      </c>
      <c r="C48" s="9" t="s">
        <v>128</v>
      </c>
      <c r="D48" s="9"/>
    </row>
    <row r="49" customFormat="false" ht="15" hidden="false" customHeight="false" outlineLevel="0" collapsed="false">
      <c r="A49" s="7" t="s">
        <v>168</v>
      </c>
      <c r="B49" s="12" t="n">
        <f aca="false">IF('Rating Engine (Kern)'!$B$47&lt;2300,3.66,0.023*'Rating Engine (Kern)'!$B$47^0.8*'Rating Engine (Kern)'!$B$48^0.4)</f>
        <v>213.402279066647</v>
      </c>
      <c r="C49" s="9" t="s">
        <v>128</v>
      </c>
      <c r="D49" s="9" t="s">
        <v>169</v>
      </c>
    </row>
    <row r="50" customFormat="false" ht="15" hidden="false" customHeight="false" outlineLevel="0" collapsed="false">
      <c r="A50" s="7" t="s">
        <v>170</v>
      </c>
      <c r="B50" s="12" t="n">
        <f aca="false">'Rating Engine (Kern)'!$B$49*Inputs!$B$22/'Rating Engine (Kern)'!$B$9</f>
        <v>4475.97423051444</v>
      </c>
      <c r="C50" s="9" t="s">
        <v>171</v>
      </c>
      <c r="D50" s="9"/>
    </row>
    <row r="52" customFormat="false" ht="15" hidden="false" customHeight="false" outlineLevel="0" collapsed="false">
      <c r="A52" s="5" t="s">
        <v>172</v>
      </c>
      <c r="B52" s="5"/>
      <c r="C52" s="5"/>
      <c r="D52" s="5"/>
      <c r="E52" s="5"/>
    </row>
    <row r="53" customFormat="false" ht="15" hidden="false" customHeight="false" outlineLevel="0" collapsed="false">
      <c r="A53" s="6" t="s">
        <v>21</v>
      </c>
      <c r="B53" s="6" t="s">
        <v>22</v>
      </c>
      <c r="C53" s="6" t="s">
        <v>23</v>
      </c>
      <c r="D53" s="6" t="s">
        <v>24</v>
      </c>
    </row>
    <row r="54" customFormat="false" ht="15" hidden="false" customHeight="false" outlineLevel="0" collapsed="false">
      <c r="A54" s="7" t="s">
        <v>173</v>
      </c>
      <c r="B54" s="12" t="n">
        <f aca="false">Inputs!$B$33*'Rating Engine (Kern)'!$B$8</f>
        <v>0.0425</v>
      </c>
      <c r="C54" s="9" t="s">
        <v>59</v>
      </c>
      <c r="D54" s="9"/>
    </row>
    <row r="55" customFormat="false" ht="15" hidden="false" customHeight="false" outlineLevel="0" collapsed="false">
      <c r="A55" s="7" t="s">
        <v>174</v>
      </c>
      <c r="B55" s="12" t="n">
        <f aca="false">'Rating Engine (Kern)'!$B$54-'Rating Engine (Kern)'!$B$8</f>
        <v>0.0085</v>
      </c>
      <c r="C55" s="9" t="s">
        <v>59</v>
      </c>
      <c r="D55" s="9"/>
    </row>
    <row r="56" customFormat="false" ht="15" hidden="false" customHeight="false" outlineLevel="0" collapsed="false">
      <c r="A56" s="7" t="s">
        <v>175</v>
      </c>
      <c r="B56" s="12" t="n">
        <f aca="false">Inputs!$B$34*'Rating Engine (Kern)'!$B$7</f>
        <v>0.05</v>
      </c>
      <c r="C56" s="9" t="s">
        <v>59</v>
      </c>
      <c r="D56" s="9"/>
    </row>
    <row r="57" customFormat="false" ht="15" hidden="false" customHeight="false" outlineLevel="0" collapsed="false">
      <c r="A57" s="7" t="s">
        <v>176</v>
      </c>
      <c r="B57" s="12" t="n">
        <f aca="false">'Rating Engine (Kern)'!$B$7*'Rating Engine (Kern)'!$B$55*'Rating Engine (Kern)'!$B$56/'Rating Engine (Kern)'!$B$54</f>
        <v>0.0025</v>
      </c>
      <c r="C57" s="9" t="s">
        <v>118</v>
      </c>
      <c r="D57" s="9"/>
    </row>
    <row r="58" customFormat="false" ht="15" hidden="false" customHeight="false" outlineLevel="0" collapsed="false">
      <c r="A58" s="7" t="s">
        <v>177</v>
      </c>
      <c r="B58" s="12" t="n">
        <f aca="false">(3.464*'Rating Engine (Kern)'!$B$54^2-PI()*'Rating Engine (Kern)'!$B$8^2)/(PI()*'Rating Engine (Kern)'!$B$8)</f>
        <v>0.0245769768049721</v>
      </c>
      <c r="C58" s="9" t="s">
        <v>59</v>
      </c>
      <c r="D58" s="9"/>
    </row>
    <row r="59" customFormat="false" ht="15" hidden="false" customHeight="false" outlineLevel="0" collapsed="false">
      <c r="A59" s="7" t="s">
        <v>178</v>
      </c>
      <c r="B59" s="12" t="n">
        <f aca="false">Inputs!$B$9/(Inputs!$B$10*'Rating Engine (Kern)'!$B$57)</f>
        <v>1.15731096482701</v>
      </c>
      <c r="C59" s="9" t="s">
        <v>165</v>
      </c>
      <c r="D59" s="9"/>
    </row>
    <row r="60" customFormat="false" ht="15" hidden="false" customHeight="false" outlineLevel="0" collapsed="false">
      <c r="A60" s="7" t="s">
        <v>179</v>
      </c>
      <c r="B60" s="12" t="n">
        <f aca="false">Inputs!$B$10*'Rating Engine (Kern)'!$B$59*'Rating Engine (Kern)'!$B$58/Inputs!$B$13</f>
        <v>2350.22652209485</v>
      </c>
      <c r="C60" s="9" t="s">
        <v>128</v>
      </c>
      <c r="D60" s="9"/>
    </row>
    <row r="61" customFormat="false" ht="15" hidden="false" customHeight="false" outlineLevel="0" collapsed="false">
      <c r="A61" s="7" t="s">
        <v>180</v>
      </c>
      <c r="B61" s="12" t="n">
        <f aca="false">Inputs!$B$11*Inputs!$B$13/Inputs!$B$12</f>
        <v>157.721109272468</v>
      </c>
      <c r="C61" s="9" t="s">
        <v>128</v>
      </c>
      <c r="D61" s="9"/>
    </row>
    <row r="62" customFormat="false" ht="15" hidden="false" customHeight="false" outlineLevel="0" collapsed="false">
      <c r="A62" s="7" t="s">
        <v>181</v>
      </c>
      <c r="B62" s="12" t="n">
        <f aca="false">IF('Rating Engine (Kern)'!$B$60&lt;2300,3.66,0.023*'Rating Engine (Kern)'!$B$60^0.8*'Rating Engine (Kern)'!$B$61^0.3)</f>
        <v>52.2375212982741</v>
      </c>
      <c r="C62" s="9" t="s">
        <v>128</v>
      </c>
      <c r="D62" s="9" t="s">
        <v>182</v>
      </c>
    </row>
    <row r="63" customFormat="false" ht="15" hidden="false" customHeight="false" outlineLevel="0" collapsed="false">
      <c r="A63" s="7" t="s">
        <v>183</v>
      </c>
      <c r="B63" s="12" t="n">
        <f aca="false">'Rating Engine (Kern)'!$B$62*Inputs!$B$12/'Rating Engine (Kern)'!$B$58</f>
        <v>297.990291651184</v>
      </c>
      <c r="C63" s="9" t="s">
        <v>171</v>
      </c>
      <c r="D63" s="9"/>
    </row>
    <row r="65" customFormat="false" ht="15" hidden="false" customHeight="false" outlineLevel="0" collapsed="false">
      <c r="A65" s="5" t="s">
        <v>184</v>
      </c>
      <c r="B65" s="5"/>
      <c r="C65" s="5"/>
      <c r="D65" s="5"/>
      <c r="E65" s="5"/>
    </row>
    <row r="66" customFormat="false" ht="15" hidden="false" customHeight="false" outlineLevel="0" collapsed="false">
      <c r="A66" s="6" t="s">
        <v>21</v>
      </c>
      <c r="B66" s="6" t="s">
        <v>22</v>
      </c>
      <c r="C66" s="6" t="s">
        <v>23</v>
      </c>
      <c r="D66" s="6" t="s">
        <v>24</v>
      </c>
    </row>
    <row r="67" customFormat="false" ht="15" hidden="false" customHeight="false" outlineLevel="0" collapsed="false">
      <c r="A67" s="7" t="s">
        <v>185</v>
      </c>
      <c r="B67" s="12" t="n">
        <f aca="false">'Rating Engine (Kern)'!$B$8/('Rating Engine (Kern)'!$B$9*'Rating Engine (Kern)'!$B$50)</f>
        <v>0.000246627001641435</v>
      </c>
      <c r="C67" s="9" t="s">
        <v>128</v>
      </c>
      <c r="D67" s="9"/>
    </row>
    <row r="68" customFormat="false" ht="15" hidden="false" customHeight="false" outlineLevel="0" collapsed="false">
      <c r="A68" s="7" t="s">
        <v>186</v>
      </c>
      <c r="B68" s="12" t="n">
        <f aca="false">'Rating Engine (Kern)'!$B$8*LN('Rating Engine (Kern)'!$B$8/'Rating Engine (Kern)'!$B$9)/(2*Inputs!$B$26)</f>
        <v>3.73417597516168E-005</v>
      </c>
      <c r="C68" s="9" t="s">
        <v>128</v>
      </c>
      <c r="D68" s="9"/>
    </row>
    <row r="69" customFormat="false" ht="15" hidden="false" customHeight="false" outlineLevel="0" collapsed="false">
      <c r="A69" s="7" t="s">
        <v>187</v>
      </c>
      <c r="B69" s="12" t="n">
        <f aca="false">1/'Rating Engine (Kern)'!$B$63</f>
        <v>0.00335581402487622</v>
      </c>
      <c r="C69" s="9" t="s">
        <v>128</v>
      </c>
      <c r="D69" s="9"/>
    </row>
    <row r="70" customFormat="false" ht="15" hidden="false" customHeight="false" outlineLevel="0" collapsed="false">
      <c r="A70" s="7" t="s">
        <v>188</v>
      </c>
      <c r="B70" s="12" t="n">
        <f aca="false">'Rating Engine (Kern)'!$B$69+Inputs!$B$28+'Rating Engine (Kern)'!$B$68+'Rating Engine (Kern)'!$B$67+Inputs!$B$27*('Rating Engine (Kern)'!$B$8/'Rating Engine (Kern)'!$B$9)</f>
        <v>0.00395017239665888</v>
      </c>
      <c r="C70" s="9" t="s">
        <v>128</v>
      </c>
      <c r="D70" s="9"/>
    </row>
    <row r="71" customFormat="false" ht="15" hidden="false" customHeight="false" outlineLevel="0" collapsed="false">
      <c r="A71" s="7" t="s">
        <v>189</v>
      </c>
      <c r="B71" s="12" t="n">
        <f aca="false">1/'Rating Engine (Kern)'!$B$70</f>
        <v>253.153508147091</v>
      </c>
      <c r="C71" s="9" t="s">
        <v>171</v>
      </c>
      <c r="D71" s="9"/>
    </row>
    <row r="72" customFormat="false" ht="15" hidden="false" customHeight="false" outlineLevel="0" collapsed="false">
      <c r="A72" s="7" t="s">
        <v>190</v>
      </c>
      <c r="B72" s="12" t="n">
        <f aca="false">IF('Rating Engine (Kern)'!$B$39&gt;0,'Rating Engine (Kern)'!$B$16/('Rating Engine (Kern)'!$B$71*'Rating Engine (Kern)'!$B$39),1000000)</f>
        <v>25.0223609156257</v>
      </c>
      <c r="C72" s="9" t="s">
        <v>118</v>
      </c>
      <c r="D72" s="9"/>
    </row>
    <row r="73" customFormat="false" ht="15" hidden="false" customHeight="false" outlineLevel="0" collapsed="false">
      <c r="A73" s="7" t="s">
        <v>191</v>
      </c>
      <c r="B73" s="12" t="n">
        <f aca="false">'Rating Engine (Kern)'!$B$12*PI()*'Rating Engine (Kern)'!$B$8*'Rating Engine (Kern)'!$B$10</f>
        <v>25.6353960532927</v>
      </c>
      <c r="C73" s="9" t="s">
        <v>118</v>
      </c>
      <c r="D73" s="9"/>
    </row>
    <row r="74" customFormat="false" ht="15" hidden="false" customHeight="false" outlineLevel="0" collapsed="false">
      <c r="A74" s="7" t="s">
        <v>192</v>
      </c>
      <c r="B74" s="12" t="n">
        <f aca="false">'Rating Engine (Kern)'!$B$73/'Rating Engine (Kern)'!$B$72</f>
        <v>1.02449949226351</v>
      </c>
      <c r="C74" s="9" t="s">
        <v>128</v>
      </c>
      <c r="D74" s="9" t="s">
        <v>193</v>
      </c>
    </row>
    <row r="76" customFormat="false" ht="15" hidden="false" customHeight="false" outlineLevel="0" collapsed="false">
      <c r="A76" s="5" t="s">
        <v>194</v>
      </c>
      <c r="B76" s="5"/>
      <c r="C76" s="5"/>
      <c r="D76" s="5"/>
      <c r="E76" s="5"/>
    </row>
    <row r="77" customFormat="false" ht="15" hidden="false" customHeight="false" outlineLevel="0" collapsed="false">
      <c r="A77" s="6" t="s">
        <v>21</v>
      </c>
      <c r="B77" s="6" t="s">
        <v>22</v>
      </c>
      <c r="C77" s="6" t="s">
        <v>23</v>
      </c>
      <c r="D77" s="6" t="s">
        <v>24</v>
      </c>
    </row>
    <row r="78" customFormat="false" ht="15" hidden="false" customHeight="false" outlineLevel="0" collapsed="false">
      <c r="A78" s="7" t="s">
        <v>195</v>
      </c>
      <c r="B78" s="12" t="n">
        <f aca="false">IF('Rating Engine (Kern)'!$B$47&lt;2300,64/'Rating Engine (Kern)'!$B$47,(-1.8*LOG10(((Inputs!$B$29/'Rating Engine (Kern)'!$B$9)/3.7)^1.11+6.9/'Rating Engine (Kern)'!$B$47))^-2)</f>
        <v>0.0208025898221144</v>
      </c>
      <c r="C78" s="9" t="s">
        <v>128</v>
      </c>
      <c r="D78" s="9" t="s">
        <v>196</v>
      </c>
    </row>
    <row r="79" customFormat="false" ht="15" hidden="false" customHeight="false" outlineLevel="0" collapsed="false">
      <c r="A79" s="7" t="s">
        <v>197</v>
      </c>
      <c r="B79" s="12" t="n">
        <f aca="false">'Rating Engine (Kern)'!$B$11*'Rating Engine (Kern)'!$B$78*('Rating Engine (Kern)'!$B$10/'Rating Engine (Kern)'!$B$9)*(0.5*Inputs!$B$20*'Rating Engine (Kern)'!$B$46^2)</f>
        <v>13975.8602222795</v>
      </c>
      <c r="C79" s="9" t="s">
        <v>198</v>
      </c>
      <c r="D79" s="9"/>
    </row>
    <row r="80" customFormat="false" ht="15" hidden="false" customHeight="false" outlineLevel="0" collapsed="false">
      <c r="A80" s="7" t="s">
        <v>199</v>
      </c>
      <c r="B80" s="12" t="n">
        <f aca="false">'Rating Engine (Kern)'!$B$11*2.5*(0.5*Inputs!$B$20*'Rating Engine (Kern)'!$B$46^2)</f>
        <v>6897.48245334032</v>
      </c>
      <c r="C80" s="9" t="s">
        <v>198</v>
      </c>
      <c r="D80" s="9" t="s">
        <v>200</v>
      </c>
    </row>
    <row r="81" customFormat="false" ht="15" hidden="false" customHeight="false" outlineLevel="0" collapsed="false">
      <c r="A81" s="7" t="s">
        <v>201</v>
      </c>
      <c r="B81" s="12" t="n">
        <f aca="false">('Rating Engine (Kern)'!$B$79+'Rating Engine (Kern)'!$B$80)/1000</f>
        <v>20.8733426756198</v>
      </c>
      <c r="C81" s="9" t="s">
        <v>80</v>
      </c>
      <c r="D81" s="9"/>
    </row>
    <row r="82" customFormat="false" ht="15" hidden="false" customHeight="false" outlineLevel="0" collapsed="false">
      <c r="A82" s="7" t="s">
        <v>202</v>
      </c>
      <c r="B82" s="12" t="n">
        <f aca="false">IF('Rating Engine (Kern)'!$B$10&gt;'Rating Engine (Kern)'!$B$56,INT('Rating Engine (Kern)'!$B$10/'Rating Engine (Kern)'!$B$56)-1,0)</f>
        <v>149</v>
      </c>
      <c r="C82" s="9" t="s">
        <v>128</v>
      </c>
      <c r="D82" s="9"/>
    </row>
    <row r="83" customFormat="false" ht="15" hidden="false" customHeight="false" outlineLevel="0" collapsed="false">
      <c r="A83" s="7" t="s">
        <v>203</v>
      </c>
      <c r="B83" s="12" t="n">
        <f aca="false">'Rating Engine (Kern)'!$B$82+1</f>
        <v>150</v>
      </c>
      <c r="C83" s="9" t="s">
        <v>128</v>
      </c>
      <c r="D83" s="9"/>
    </row>
    <row r="84" customFormat="false" ht="15" hidden="false" customHeight="false" outlineLevel="0" collapsed="false">
      <c r="A84" s="7" t="s">
        <v>204</v>
      </c>
      <c r="B84" s="12" t="n">
        <f aca="false">IF('Rating Engine (Kern)'!$B$60&lt;2300,64/'Rating Engine (Kern)'!$B$60,0.316*'Rating Engine (Kern)'!$B$60^-0.25)</f>
        <v>0.0453847191081089</v>
      </c>
      <c r="C84" s="9" t="s">
        <v>128</v>
      </c>
      <c r="D84" s="9"/>
    </row>
    <row r="85" customFormat="false" ht="15" hidden="false" customHeight="false" outlineLevel="0" collapsed="false">
      <c r="A85" s="7" t="s">
        <v>205</v>
      </c>
      <c r="B85" s="12" t="n">
        <f aca="false">'Rating Engine (Kern)'!$B$84*('Rating Engine (Kern)'!$B$7/'Rating Engine (Kern)'!$B$58)*(0.5*Inputs!$B$10*'Rating Engine (Kern)'!$B$59^2)*'Rating Engine (Kern)'!$B$83/1000</f>
        <v>44.5235744041131</v>
      </c>
      <c r="C85" s="9" t="s">
        <v>80</v>
      </c>
      <c r="D85" s="9"/>
    </row>
    <row r="87" customFormat="false" ht="15" hidden="false" customHeight="false" outlineLevel="0" collapsed="false">
      <c r="A87" s="7" t="s">
        <v>206</v>
      </c>
      <c r="B87" s="12" t="str">
        <f aca="false">IF(AND('Rating Engine (Kern)'!$B$81&lt;=Inputs!$B$48,'Rating Engine (Kern)'!$B$85&lt;=Inputs!$B$48),"YES","NO")</f>
        <v>YES</v>
      </c>
      <c r="C87" s="9" t="s">
        <v>128</v>
      </c>
      <c r="D87" s="9"/>
    </row>
    <row r="88" customFormat="false" ht="15" hidden="false" customHeight="false" outlineLevel="0" collapsed="false">
      <c r="A88" s="7" t="s">
        <v>207</v>
      </c>
      <c r="B88" s="12" t="str">
        <f aca="false">IF('Rating Engine (Kern)'!$B$73&gt;='Rating Engine (Kern)'!$B$72,"YES","NO")</f>
        <v>YES</v>
      </c>
      <c r="C88" s="9" t="s">
        <v>128</v>
      </c>
      <c r="D88" s="9"/>
    </row>
  </sheetData>
  <mergeCells count="9">
    <mergeCell ref="A1:E1"/>
    <mergeCell ref="A3:E3"/>
    <mergeCell ref="A5:E5"/>
    <mergeCell ref="A14:E14"/>
    <mergeCell ref="A20:E20"/>
    <mergeCell ref="A41:E41"/>
    <mergeCell ref="A52:E52"/>
    <mergeCell ref="A65:E65"/>
    <mergeCell ref="A76:E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62"/>
  </cols>
  <sheetData>
    <row r="1" customFormat="false" ht="21.75" hidden="false" customHeight="true" outlineLevel="0" collapsed="false">
      <c r="A1" s="1" t="s">
        <v>208</v>
      </c>
      <c r="B1" s="1"/>
      <c r="C1" s="1"/>
      <c r="D1" s="1"/>
      <c r="E1" s="1"/>
    </row>
    <row r="3" customFormat="false" ht="27.75" hidden="false" customHeight="true" outlineLevel="0" collapsed="false">
      <c r="A3" s="10" t="s">
        <v>209</v>
      </c>
      <c r="B3" s="10"/>
      <c r="C3" s="10"/>
      <c r="D3" s="10"/>
      <c r="E3" s="10"/>
    </row>
    <row r="5" customFormat="false" ht="15" hidden="false" customHeight="false" outlineLevel="0" collapsed="false">
      <c r="A5" s="5" t="s">
        <v>210</v>
      </c>
      <c r="B5" s="5"/>
      <c r="C5" s="5"/>
      <c r="D5" s="5"/>
      <c r="E5" s="5"/>
    </row>
    <row r="6" customFormat="false" ht="15" hidden="false" customHeight="false" outlineLevel="0" collapsed="false">
      <c r="A6" s="6" t="s">
        <v>211</v>
      </c>
      <c r="B6" s="6" t="s">
        <v>212</v>
      </c>
      <c r="C6" s="6" t="s">
        <v>213</v>
      </c>
      <c r="D6" s="6" t="s">
        <v>214</v>
      </c>
      <c r="E6" s="6" t="s">
        <v>215</v>
      </c>
    </row>
    <row r="7" customFormat="false" ht="15" hidden="false" customHeight="false" outlineLevel="0" collapsed="false">
      <c r="A7" s="7" t="n">
        <v>1</v>
      </c>
      <c r="B7" s="7" t="n">
        <v>0.319</v>
      </c>
      <c r="C7" s="7" t="n">
        <v>2.142</v>
      </c>
      <c r="D7" s="7" t="n">
        <v>0.215</v>
      </c>
      <c r="E7" s="7" t="n">
        <v>2.207</v>
      </c>
    </row>
    <row r="8" customFormat="false" ht="15" hidden="false" customHeight="false" outlineLevel="0" collapsed="false">
      <c r="A8" s="7" t="n">
        <v>2</v>
      </c>
      <c r="B8" s="7" t="n">
        <v>0.249</v>
      </c>
      <c r="C8" s="7" t="n">
        <v>2.207</v>
      </c>
      <c r="D8" s="7" t="n">
        <v>0.156</v>
      </c>
      <c r="E8" s="7" t="n">
        <v>2.291</v>
      </c>
    </row>
    <row r="9" customFormat="false" ht="15" hidden="false" customHeight="false" outlineLevel="0" collapsed="false">
      <c r="A9" s="7" t="n">
        <v>4</v>
      </c>
      <c r="B9" s="7" t="n">
        <v>0.175</v>
      </c>
      <c r="C9" s="7" t="n">
        <v>2.285</v>
      </c>
      <c r="D9" s="7" t="n">
        <v>0.158</v>
      </c>
      <c r="E9" s="7" t="n">
        <v>2.263</v>
      </c>
    </row>
    <row r="10" customFormat="false" ht="15" hidden="false" customHeight="false" outlineLevel="0" collapsed="false">
      <c r="A10" s="7" t="n">
        <v>6</v>
      </c>
      <c r="B10" s="7" t="n">
        <v>0.0743</v>
      </c>
      <c r="C10" s="7" t="n">
        <v>2.499</v>
      </c>
      <c r="D10" s="7" t="n">
        <v>0.0402</v>
      </c>
      <c r="E10" s="7" t="n">
        <v>2.617</v>
      </c>
    </row>
    <row r="11" customFormat="false" ht="15" hidden="false" customHeight="false" outlineLevel="0" collapsed="false">
      <c r="A11" s="7" t="n">
        <v>8</v>
      </c>
      <c r="B11" s="7" t="n">
        <v>0.0365</v>
      </c>
      <c r="C11" s="7" t="n">
        <v>2.675</v>
      </c>
      <c r="D11" s="7" t="n">
        <v>0.0331</v>
      </c>
      <c r="E11" s="7" t="n">
        <v>2.643</v>
      </c>
    </row>
    <row r="13" customFormat="false" ht="15" hidden="false" customHeight="false" outlineLevel="0" collapsed="false">
      <c r="A13" s="5" t="s">
        <v>216</v>
      </c>
      <c r="B13" s="5"/>
      <c r="C13" s="5"/>
      <c r="D13" s="5"/>
      <c r="E13" s="5"/>
    </row>
    <row r="14" customFormat="false" ht="15" hidden="false" customHeight="false" outlineLevel="0" collapsed="false">
      <c r="A14" s="6" t="s">
        <v>21</v>
      </c>
      <c r="B14" s="6" t="s">
        <v>22</v>
      </c>
      <c r="C14" s="6" t="s">
        <v>23</v>
      </c>
      <c r="D14" s="6" t="s">
        <v>24</v>
      </c>
    </row>
    <row r="15" customFormat="false" ht="15" hidden="false" customHeight="false" outlineLevel="0" collapsed="false">
      <c r="A15" s="7" t="s">
        <v>217</v>
      </c>
      <c r="B15" s="11" t="n">
        <f aca="false">'Rating Engine (Kern)'!$B$73</f>
        <v>25.6353960532927</v>
      </c>
      <c r="C15" s="9" t="s">
        <v>118</v>
      </c>
      <c r="D15" s="9" t="s">
        <v>218</v>
      </c>
    </row>
    <row r="16" customFormat="false" ht="15" hidden="false" customHeight="false" outlineLevel="0" collapsed="false">
      <c r="A16" s="7" t="s">
        <v>219</v>
      </c>
      <c r="B16" s="11" t="n">
        <f aca="false">Optimizer!$B$11</f>
        <v>8</v>
      </c>
      <c r="C16" s="9" t="s">
        <v>128</v>
      </c>
      <c r="D16" s="9"/>
    </row>
    <row r="18" customFormat="false" ht="15" hidden="false" customHeight="false" outlineLevel="0" collapsed="false">
      <c r="A18" s="5" t="s">
        <v>220</v>
      </c>
      <c r="B18" s="5"/>
      <c r="C18" s="5"/>
      <c r="D18" s="5"/>
      <c r="E18" s="5"/>
    </row>
    <row r="19" customFormat="false" ht="15" hidden="false" customHeight="false" outlineLevel="0" collapsed="false">
      <c r="A19" s="6" t="s">
        <v>21</v>
      </c>
      <c r="B19" s="6" t="s">
        <v>22</v>
      </c>
      <c r="C19" s="6" t="s">
        <v>23</v>
      </c>
      <c r="D19" s="6" t="s">
        <v>24</v>
      </c>
    </row>
    <row r="20" customFormat="false" ht="15" hidden="false" customHeight="false" outlineLevel="0" collapsed="false">
      <c r="A20" s="7" t="s">
        <v>221</v>
      </c>
      <c r="B20" s="12" t="n">
        <f aca="false">Inputs!$B$53/1000</f>
        <v>0.03</v>
      </c>
      <c r="C20" s="9" t="s">
        <v>59</v>
      </c>
      <c r="D20" s="9"/>
    </row>
    <row r="21" customFormat="false" ht="15" hidden="false" customHeight="false" outlineLevel="0" collapsed="false">
      <c r="A21" s="7" t="s">
        <v>222</v>
      </c>
      <c r="B21" s="11" t="n">
        <f aca="false">Inputs!$B$54</f>
        <v>6.1</v>
      </c>
      <c r="C21" s="9" t="s">
        <v>59</v>
      </c>
      <c r="D21" s="9"/>
    </row>
    <row r="22" customFormat="false" ht="15" hidden="false" customHeight="false" outlineLevel="0" collapsed="false">
      <c r="A22" s="7" t="s">
        <v>223</v>
      </c>
      <c r="B22" s="12" t="n">
        <f aca="false">Inputs!$B$56/1000</f>
        <v>0.0016</v>
      </c>
      <c r="C22" s="9" t="s">
        <v>59</v>
      </c>
      <c r="D22" s="9"/>
    </row>
    <row r="23" customFormat="false" ht="15" hidden="false" customHeight="false" outlineLevel="0" collapsed="false">
      <c r="A23" s="7" t="s">
        <v>224</v>
      </c>
      <c r="B23" s="12" t="n">
        <f aca="false">'Kern Re-Rate'!$B$20-2*'Kern Re-Rate'!$B$22</f>
        <v>0.0268</v>
      </c>
      <c r="C23" s="9" t="s">
        <v>59</v>
      </c>
      <c r="D23" s="9"/>
    </row>
    <row r="25" customFormat="false" ht="15" hidden="false" customHeight="false" outlineLevel="0" collapsed="false">
      <c r="A25" s="5" t="s">
        <v>225</v>
      </c>
      <c r="B25" s="5"/>
      <c r="C25" s="5"/>
      <c r="D25" s="5"/>
      <c r="E25" s="5"/>
    </row>
    <row r="26" customFormat="false" ht="15" hidden="false" customHeight="false" outlineLevel="0" collapsed="false">
      <c r="A26" s="6" t="s">
        <v>21</v>
      </c>
      <c r="B26" s="6" t="s">
        <v>22</v>
      </c>
      <c r="C26" s="6" t="s">
        <v>23</v>
      </c>
      <c r="D26" s="6" t="s">
        <v>24</v>
      </c>
    </row>
    <row r="27" customFormat="false" ht="15" hidden="false" customHeight="false" outlineLevel="0" collapsed="false">
      <c r="A27" s="7" t="s">
        <v>226</v>
      </c>
      <c r="B27" s="12" t="n">
        <f aca="false">PI()*'Kern Re-Rate'!$B$20*'Kern Re-Rate'!$B$21</f>
        <v>0.574911455606932</v>
      </c>
      <c r="C27" s="9" t="s">
        <v>118</v>
      </c>
      <c r="D27" s="9"/>
    </row>
    <row r="28" customFormat="false" ht="15" hidden="false" customHeight="false" outlineLevel="0" collapsed="false">
      <c r="A28" s="7" t="s">
        <v>227</v>
      </c>
      <c r="B28" s="12" t="n">
        <f aca="false">CEILING('Kern Re-Rate'!$B$15/'Kern Re-Rate'!$B$27,1)</f>
        <v>45</v>
      </c>
      <c r="C28" s="9" t="s">
        <v>128</v>
      </c>
      <c r="D28" s="9"/>
    </row>
    <row r="29" customFormat="false" ht="15" hidden="false" customHeight="false" outlineLevel="0" collapsed="false">
      <c r="A29" s="7" t="s">
        <v>191</v>
      </c>
      <c r="B29" s="12" t="n">
        <f aca="false">'Kern Re-Rate'!$B$28*'Kern Re-Rate'!$B$27</f>
        <v>25.8710155023119</v>
      </c>
      <c r="C29" s="9" t="s">
        <v>118</v>
      </c>
      <c r="D29" s="9"/>
    </row>
    <row r="31" customFormat="false" ht="15" hidden="false" customHeight="false" outlineLevel="0" collapsed="false">
      <c r="A31" s="5" t="s">
        <v>228</v>
      </c>
      <c r="B31" s="5"/>
      <c r="C31" s="5"/>
      <c r="D31" s="5"/>
      <c r="E31" s="5"/>
    </row>
    <row r="32" customFormat="false" ht="15" hidden="false" customHeight="false" outlineLevel="0" collapsed="false">
      <c r="A32" s="6" t="s">
        <v>21</v>
      </c>
      <c r="B32" s="6" t="s">
        <v>22</v>
      </c>
      <c r="C32" s="6" t="s">
        <v>23</v>
      </c>
      <c r="D32" s="6" t="s">
        <v>24</v>
      </c>
    </row>
    <row r="33" customFormat="false" ht="15" hidden="false" customHeight="false" outlineLevel="0" collapsed="false">
      <c r="A33" s="7" t="s">
        <v>229</v>
      </c>
      <c r="B33" s="12" t="n">
        <f aca="false">IFERROR(IF(LOWER(Inputs!$B$55)="triangular",INDEX($B$7:$B$11,MATCH('Kern Re-Rate'!$B$16,$A$7:$A$11,0)),INDEX($D$7:$D$11,MATCH('Kern Re-Rate'!$B$16,$A$7:$A$11,0))),IF(LOWER(Inputs!$B$55)="triangular",INDEX($B$7:$B$11,2),INDEX($D$7:$D$11,2)))</f>
        <v>0.0365</v>
      </c>
      <c r="C33" s="9" t="s">
        <v>128</v>
      </c>
      <c r="D33" s="9" t="s">
        <v>230</v>
      </c>
    </row>
    <row r="34" customFormat="false" ht="15" hidden="false" customHeight="false" outlineLevel="0" collapsed="false">
      <c r="A34" s="7" t="s">
        <v>231</v>
      </c>
      <c r="B34" s="12" t="n">
        <f aca="false">IFERROR(IF(LOWER(Inputs!$B$55)="triangular",INDEX($C$7:$C$11,MATCH('Kern Re-Rate'!$B$16,$A$7:$A$11,0)),INDEX($E$7:$E$11,MATCH('Kern Re-Rate'!$B$16,$A$7:$A$11,0))),IF(LOWER(Inputs!$B$55)="triangular",INDEX($C$7:$C$11,2),INDEX($E$7:$E$11,2)))</f>
        <v>2.675</v>
      </c>
      <c r="C34" s="9" t="s">
        <v>128</v>
      </c>
      <c r="D34" s="9"/>
    </row>
    <row r="35" customFormat="false" ht="15" hidden="false" customHeight="false" outlineLevel="0" collapsed="false">
      <c r="A35" s="7" t="s">
        <v>232</v>
      </c>
      <c r="B35" s="12" t="n">
        <f aca="false">'Kern Re-Rate'!$B$20*('Kern Re-Rate'!$B$28/'Kern Re-Rate'!$B$33)^(1/'Kern Re-Rate'!$B$34)</f>
        <v>0.429146164903476</v>
      </c>
      <c r="C35" s="9" t="s">
        <v>59</v>
      </c>
      <c r="D35" s="9" t="s">
        <v>233</v>
      </c>
    </row>
    <row r="36" customFormat="false" ht="15" hidden="false" customHeight="false" outlineLevel="0" collapsed="false">
      <c r="A36" s="7" t="s">
        <v>97</v>
      </c>
      <c r="B36" s="11" t="n">
        <f aca="false">Inputs!$B$60</f>
        <v>0.038</v>
      </c>
      <c r="C36" s="9" t="s">
        <v>59</v>
      </c>
      <c r="D36" s="9" t="s">
        <v>234</v>
      </c>
    </row>
    <row r="37" customFormat="false" ht="15" hidden="false" customHeight="false" outlineLevel="0" collapsed="false">
      <c r="A37" s="7" t="s">
        <v>235</v>
      </c>
      <c r="B37" s="12" t="n">
        <f aca="false">'Kern Re-Rate'!$B$35+'Kern Re-Rate'!$B$36</f>
        <v>0.467146164903476</v>
      </c>
      <c r="C37" s="9" t="s">
        <v>59</v>
      </c>
      <c r="D37" s="9"/>
    </row>
    <row r="38" customFormat="false" ht="15" hidden="false" customHeight="false" outlineLevel="0" collapsed="false">
      <c r="A38" s="7" t="s">
        <v>236</v>
      </c>
      <c r="B38" s="12" t="n">
        <f aca="false">CEILING('Kern Re-Rate'!$B$37/0.05,1)*0.05</f>
        <v>0.5</v>
      </c>
      <c r="C38" s="9" t="s">
        <v>59</v>
      </c>
      <c r="D38" s="9" t="s">
        <v>237</v>
      </c>
    </row>
    <row r="40" customFormat="false" ht="15" hidden="false" customHeight="false" outlineLevel="0" collapsed="false">
      <c r="A40" s="5" t="s">
        <v>238</v>
      </c>
      <c r="B40" s="5"/>
      <c r="C40" s="5"/>
      <c r="D40" s="5"/>
      <c r="E40" s="5"/>
    </row>
    <row r="41" customFormat="false" ht="15" hidden="false" customHeight="false" outlineLevel="0" collapsed="false">
      <c r="A41" s="6" t="s">
        <v>21</v>
      </c>
      <c r="B41" s="6" t="s">
        <v>22</v>
      </c>
      <c r="C41" s="6" t="s">
        <v>23</v>
      </c>
      <c r="D41" s="6" t="s">
        <v>24</v>
      </c>
    </row>
    <row r="42" customFormat="false" ht="15" hidden="false" customHeight="false" outlineLevel="0" collapsed="false">
      <c r="A42" s="7" t="s">
        <v>239</v>
      </c>
      <c r="B42" s="12" t="n">
        <f aca="false">Inputs!$B$33*Inputs!$B$53/1000</f>
        <v>0.0375</v>
      </c>
      <c r="C42" s="9" t="s">
        <v>59</v>
      </c>
      <c r="D42" s="9"/>
    </row>
    <row r="43" customFormat="false" ht="15" hidden="false" customHeight="false" outlineLevel="0" collapsed="false">
      <c r="A43" s="7" t="s">
        <v>240</v>
      </c>
      <c r="B43" s="12" t="n">
        <f aca="false">0.4*'Kern Re-Rate'!$B$38</f>
        <v>0.2</v>
      </c>
      <c r="C43" s="9" t="s">
        <v>59</v>
      </c>
      <c r="D43" s="9" t="s">
        <v>241</v>
      </c>
    </row>
    <row r="44" customFormat="false" ht="15" hidden="false" customHeight="false" outlineLevel="0" collapsed="false">
      <c r="A44" s="7" t="s">
        <v>162</v>
      </c>
      <c r="B44" s="12" t="n">
        <f aca="false">'Kern Re-Rate'!$B$28/'Kern Re-Rate'!$B$16</f>
        <v>5.625</v>
      </c>
      <c r="C44" s="9" t="s">
        <v>128</v>
      </c>
      <c r="D44" s="9" t="s">
        <v>242</v>
      </c>
    </row>
    <row r="45" customFormat="false" ht="15" hidden="false" customHeight="false" outlineLevel="0" collapsed="false">
      <c r="A45" s="7" t="s">
        <v>243</v>
      </c>
      <c r="B45" s="12" t="n">
        <f aca="false">'Kern Re-Rate'!$B$44*PI()/4*'Kern Re-Rate'!$B$23^2</f>
        <v>0.00317308711994203</v>
      </c>
      <c r="C45" s="9" t="s">
        <v>118</v>
      </c>
      <c r="D45" s="9"/>
    </row>
    <row r="46" customFormat="false" ht="15" hidden="false" customHeight="false" outlineLevel="0" collapsed="false">
      <c r="A46" s="7" t="s">
        <v>164</v>
      </c>
      <c r="B46" s="12" t="n">
        <f aca="false">'Rating Engine (Kern)'!$B$18/(Inputs!$B$20*'Kern Re-Rate'!$B$45)</f>
        <v>0.785677717527431</v>
      </c>
      <c r="C46" s="9" t="s">
        <v>165</v>
      </c>
      <c r="D46" s="9"/>
    </row>
    <row r="47" customFormat="false" ht="15" hidden="false" customHeight="false" outlineLevel="0" collapsed="false">
      <c r="A47" s="7" t="s">
        <v>244</v>
      </c>
      <c r="B47" s="12" t="n">
        <f aca="false">Inputs!$B$20*'Kern Re-Rate'!$B$46*'Kern Re-Rate'!$B$23/Inputs!$B$21</f>
        <v>41211.3282626616</v>
      </c>
      <c r="C47" s="9" t="s">
        <v>128</v>
      </c>
      <c r="D47" s="9"/>
    </row>
    <row r="48" customFormat="false" ht="15" hidden="false" customHeight="false" outlineLevel="0" collapsed="false">
      <c r="A48" s="7" t="s">
        <v>245</v>
      </c>
      <c r="B48" s="12" t="n">
        <f aca="false">Inputs!$B$19*Inputs!$B$21/Inputs!$B$22</f>
        <v>3.26100595966007</v>
      </c>
      <c r="C48" s="9" t="s">
        <v>128</v>
      </c>
      <c r="D48" s="9"/>
    </row>
    <row r="49" customFormat="false" ht="15" hidden="false" customHeight="false" outlineLevel="0" collapsed="false">
      <c r="A49" s="7" t="s">
        <v>246</v>
      </c>
      <c r="B49" s="12" t="n">
        <f aca="false">IF('Kern Re-Rate'!$B$47&gt;2300,0.023*'Kern Re-Rate'!$B$47^0.8*'Kern Re-Rate'!$B$48^0.4,3.66)</f>
        <v>181.585749467312</v>
      </c>
      <c r="C49" s="9" t="s">
        <v>128</v>
      </c>
      <c r="D49" s="9"/>
    </row>
    <row r="50" customFormat="false" ht="15" hidden="false" customHeight="false" outlineLevel="0" collapsed="false">
      <c r="A50" s="7" t="s">
        <v>247</v>
      </c>
      <c r="B50" s="12" t="n">
        <f aca="false">'Kern Re-Rate'!$B$49*Inputs!$B$22/'Kern Re-Rate'!$B$23</f>
        <v>4377.0973885589</v>
      </c>
      <c r="C50" s="9" t="s">
        <v>171</v>
      </c>
      <c r="D50" s="9"/>
    </row>
    <row r="52" customFormat="false" ht="15" hidden="false" customHeight="false" outlineLevel="0" collapsed="false">
      <c r="A52" s="5" t="s">
        <v>248</v>
      </c>
      <c r="B52" s="5"/>
      <c r="C52" s="5"/>
      <c r="D52" s="5"/>
      <c r="E52" s="5"/>
    </row>
    <row r="53" customFormat="false" ht="15" hidden="false" customHeight="false" outlineLevel="0" collapsed="false">
      <c r="A53" s="6" t="s">
        <v>21</v>
      </c>
      <c r="B53" s="6" t="s">
        <v>22</v>
      </c>
      <c r="C53" s="6" t="s">
        <v>23</v>
      </c>
      <c r="D53" s="6" t="s">
        <v>24</v>
      </c>
    </row>
    <row r="54" customFormat="false" ht="15" hidden="false" customHeight="false" outlineLevel="0" collapsed="false">
      <c r="A54" s="7" t="s">
        <v>174</v>
      </c>
      <c r="B54" s="12" t="n">
        <f aca="false">'Kern Re-Rate'!$B$42-'Kern Re-Rate'!$B$20</f>
        <v>0.0075</v>
      </c>
      <c r="C54" s="9" t="s">
        <v>59</v>
      </c>
      <c r="D54" s="9"/>
    </row>
    <row r="55" customFormat="false" ht="15" hidden="false" customHeight="false" outlineLevel="0" collapsed="false">
      <c r="A55" s="7" t="s">
        <v>176</v>
      </c>
      <c r="B55" s="12" t="n">
        <f aca="false">'Kern Re-Rate'!$B$38*'Kern Re-Rate'!$B$54*'Kern Re-Rate'!$B$43/'Kern Re-Rate'!$B$42</f>
        <v>0.02</v>
      </c>
      <c r="C55" s="9" t="s">
        <v>118</v>
      </c>
      <c r="D55" s="9"/>
    </row>
    <row r="56" customFormat="false" ht="15" hidden="false" customHeight="false" outlineLevel="0" collapsed="false">
      <c r="A56" s="7" t="s">
        <v>249</v>
      </c>
      <c r="B56" s="12" t="n">
        <f aca="false">Inputs!$B$9/'Kern Re-Rate'!$B$55</f>
        <v>138.888888888889</v>
      </c>
      <c r="C56" s="9" t="s">
        <v>250</v>
      </c>
      <c r="D56" s="9"/>
    </row>
    <row r="57" customFormat="false" ht="15" hidden="false" customHeight="false" outlineLevel="0" collapsed="false">
      <c r="A57" s="7" t="s">
        <v>251</v>
      </c>
      <c r="B57" s="12" t="n">
        <f aca="false">(4*((SQRT(3)/4)*'Kern Re-Rate'!$B$42^2-(PI()/8)*'Kern Re-Rate'!$B$20^2))/(PI()*'Kern Re-Rate'!$B$20/2)</f>
        <v>0.021687083945793</v>
      </c>
      <c r="C57" s="9" t="s">
        <v>59</v>
      </c>
      <c r="D57" s="9" t="s">
        <v>252</v>
      </c>
    </row>
    <row r="58" customFormat="false" ht="15" hidden="false" customHeight="false" outlineLevel="0" collapsed="false">
      <c r="A58" s="7" t="s">
        <v>253</v>
      </c>
      <c r="B58" s="12" t="n">
        <f aca="false">'Kern Re-Rate'!$B$56*'Kern Re-Rate'!$B$57/Inputs!$B$13</f>
        <v>259.234283984375</v>
      </c>
      <c r="C58" s="9" t="s">
        <v>128</v>
      </c>
      <c r="D58" s="9"/>
    </row>
    <row r="59" customFormat="false" ht="15" hidden="false" customHeight="false" outlineLevel="0" collapsed="false">
      <c r="A59" s="7" t="s">
        <v>254</v>
      </c>
      <c r="B59" s="12" t="n">
        <f aca="false">Inputs!$B$11*Inputs!$B$13/Inputs!$B$12</f>
        <v>157.721109272468</v>
      </c>
      <c r="C59" s="9" t="s">
        <v>128</v>
      </c>
      <c r="D59" s="9"/>
    </row>
    <row r="60" customFormat="false" ht="15" hidden="false" customHeight="false" outlineLevel="0" collapsed="false">
      <c r="A60" s="7" t="s">
        <v>255</v>
      </c>
      <c r="B60" s="12" t="n">
        <f aca="false">IF('Kern Re-Rate'!$B$58&gt;100,0.36*(Inputs!$B$12/'Kern Re-Rate'!$B$57)*'Kern Re-Rate'!$B$58^0.55*'Kern Re-Rate'!$B$59^(1/3),1*(Inputs!$B$12/'Kern Re-Rate'!$B$57))</f>
        <v>267.306878915193</v>
      </c>
      <c r="C60" s="9" t="s">
        <v>171</v>
      </c>
      <c r="D60" s="9" t="s">
        <v>256</v>
      </c>
    </row>
    <row r="62" customFormat="false" ht="15" hidden="false" customHeight="false" outlineLevel="0" collapsed="false">
      <c r="A62" s="5" t="s">
        <v>257</v>
      </c>
      <c r="B62" s="5"/>
      <c r="C62" s="5"/>
      <c r="D62" s="5"/>
      <c r="E62" s="5"/>
    </row>
    <row r="63" customFormat="false" ht="15" hidden="false" customHeight="false" outlineLevel="0" collapsed="false">
      <c r="A63" s="6" t="s">
        <v>21</v>
      </c>
      <c r="B63" s="6" t="s">
        <v>22</v>
      </c>
      <c r="C63" s="6" t="s">
        <v>23</v>
      </c>
      <c r="D63" s="6" t="s">
        <v>24</v>
      </c>
    </row>
    <row r="64" customFormat="false" ht="15" hidden="false" customHeight="false" outlineLevel="0" collapsed="false">
      <c r="A64" s="7" t="s">
        <v>258</v>
      </c>
      <c r="B64" s="12" t="n">
        <f aca="false">'Kern Re-Rate'!$B$20*LN('Kern Re-Rate'!$B$20/'Kern Re-Rate'!$B$23)/(2*Inputs!$B$59)</f>
        <v>3.38386482436033E-005</v>
      </c>
      <c r="C64" s="9" t="s">
        <v>128</v>
      </c>
      <c r="D64" s="9"/>
    </row>
    <row r="65" customFormat="false" ht="15" hidden="false" customHeight="false" outlineLevel="0" collapsed="false">
      <c r="A65" s="7" t="s">
        <v>259</v>
      </c>
      <c r="B65" s="12" t="n">
        <f aca="false">1/'Kern Re-Rate'!$B$60+Inputs!$B$57+'Kern Re-Rate'!$B$64+('Kern Re-Rate'!$B$20/'Kern Re-Rate'!$B$23)*Inputs!$B$58+('Kern Re-Rate'!$B$20/('Kern Re-Rate'!$B$23*'Kern Re-Rate'!$B$50))</f>
        <v>0.00435447875952357</v>
      </c>
      <c r="C65" s="9" t="s">
        <v>128</v>
      </c>
      <c r="D65" s="9"/>
    </row>
    <row r="66" customFormat="false" ht="15" hidden="false" customHeight="false" outlineLevel="0" collapsed="false">
      <c r="A66" s="7" t="s">
        <v>260</v>
      </c>
      <c r="B66" s="12" t="n">
        <f aca="false">1/'Kern Re-Rate'!$B$65</f>
        <v>229.648611286236</v>
      </c>
      <c r="C66" s="9" t="s">
        <v>171</v>
      </c>
      <c r="D66" s="9"/>
    </row>
  </sheetData>
  <mergeCells count="10">
    <mergeCell ref="A1:E1"/>
    <mergeCell ref="A3:E3"/>
    <mergeCell ref="A5:E5"/>
    <mergeCell ref="A13:E13"/>
    <mergeCell ref="A18:E18"/>
    <mergeCell ref="A25:E25"/>
    <mergeCell ref="A31:E31"/>
    <mergeCell ref="A40:E40"/>
    <mergeCell ref="A52:E52"/>
    <mergeCell ref="A62:E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62"/>
  </cols>
  <sheetData>
    <row r="1" customFormat="false" ht="21.75" hidden="false" customHeight="true" outlineLevel="0" collapsed="false">
      <c r="A1" s="1" t="s">
        <v>261</v>
      </c>
      <c r="B1" s="1"/>
      <c r="C1" s="1"/>
      <c r="D1" s="1"/>
      <c r="E1" s="1"/>
    </row>
    <row r="3" customFormat="false" ht="25.5" hidden="false" customHeight="true" outlineLevel="0" collapsed="false">
      <c r="A3" s="10" t="s">
        <v>262</v>
      </c>
      <c r="B3" s="10"/>
      <c r="C3" s="10"/>
      <c r="D3" s="10"/>
      <c r="E3" s="10"/>
    </row>
    <row r="5" customFormat="false" ht="15" hidden="false" customHeight="false" outlineLevel="0" collapsed="false">
      <c r="A5" s="5" t="s">
        <v>263</v>
      </c>
      <c r="B5" s="5"/>
      <c r="C5" s="5"/>
      <c r="D5" s="5"/>
      <c r="E5" s="5"/>
    </row>
    <row r="6" customFormat="false" ht="15" hidden="false" customHeight="false" outlineLevel="0" collapsed="false">
      <c r="A6" s="6" t="s">
        <v>21</v>
      </c>
      <c r="B6" s="6" t="s">
        <v>22</v>
      </c>
      <c r="C6" s="6" t="s">
        <v>23</v>
      </c>
      <c r="D6" s="6" t="s">
        <v>24</v>
      </c>
    </row>
    <row r="7" customFormat="false" ht="15" hidden="false" customHeight="false" outlineLevel="0" collapsed="false">
      <c r="A7" s="7" t="s">
        <v>264</v>
      </c>
      <c r="B7" s="12" t="n">
        <f aca="false">Inputs!$B$9*Inputs!$B$11</f>
        <v>5286.38888888889</v>
      </c>
      <c r="C7" s="9" t="s">
        <v>265</v>
      </c>
      <c r="D7" s="9"/>
    </row>
    <row r="8" customFormat="false" ht="15" hidden="false" customHeight="false" outlineLevel="0" collapsed="false">
      <c r="A8" s="7" t="s">
        <v>266</v>
      </c>
      <c r="B8" s="12" t="n">
        <f aca="false">'Rating Engine (Kern)'!$B$18*Inputs!$B$19</f>
        <v>10279.0895061728</v>
      </c>
      <c r="C8" s="9" t="s">
        <v>265</v>
      </c>
      <c r="D8" s="9" t="s">
        <v>267</v>
      </c>
    </row>
    <row r="9" customFormat="false" ht="15" hidden="false" customHeight="false" outlineLevel="0" collapsed="false">
      <c r="A9" s="7" t="s">
        <v>268</v>
      </c>
      <c r="B9" s="12" t="n">
        <f aca="false">MIN('NTU Effectiveness'!$B$7,'NTU Effectiveness'!$B$8)</f>
        <v>5286.38888888889</v>
      </c>
      <c r="C9" s="9" t="s">
        <v>265</v>
      </c>
      <c r="D9" s="9"/>
    </row>
    <row r="10" customFormat="false" ht="15" hidden="false" customHeight="false" outlineLevel="0" collapsed="false">
      <c r="A10" s="7" t="s">
        <v>269</v>
      </c>
      <c r="B10" s="12" t="n">
        <f aca="false">MAX('NTU Effectiveness'!$B$7,'NTU Effectiveness'!$B$8)</f>
        <v>10279.0895061728</v>
      </c>
      <c r="C10" s="9" t="s">
        <v>265</v>
      </c>
      <c r="D10" s="9"/>
    </row>
    <row r="11" customFormat="false" ht="15" hidden="false" customHeight="false" outlineLevel="0" collapsed="false">
      <c r="A11" s="7" t="s">
        <v>270</v>
      </c>
      <c r="B11" s="12" t="n">
        <f aca="false">'NTU Effectiveness'!$B$9/'NTU Effectiveness'!$B$10</f>
        <v>0.514285714285714</v>
      </c>
      <c r="C11" s="9" t="s">
        <v>128</v>
      </c>
      <c r="D11" s="9"/>
    </row>
    <row r="13" customFormat="false" ht="15" hidden="false" customHeight="false" outlineLevel="0" collapsed="false">
      <c r="A13" s="5" t="s">
        <v>271</v>
      </c>
      <c r="B13" s="5"/>
      <c r="C13" s="5"/>
      <c r="D13" s="5"/>
      <c r="E13" s="5"/>
    </row>
    <row r="14" customFormat="false" ht="15" hidden="false" customHeight="false" outlineLevel="0" collapsed="false">
      <c r="A14" s="6" t="s">
        <v>21</v>
      </c>
      <c r="B14" s="6" t="s">
        <v>22</v>
      </c>
      <c r="C14" s="6" t="s">
        <v>23</v>
      </c>
      <c r="D14" s="6" t="s">
        <v>24</v>
      </c>
    </row>
    <row r="15" customFormat="false" ht="15" hidden="false" customHeight="false" outlineLevel="0" collapsed="false">
      <c r="A15" s="7" t="s">
        <v>272</v>
      </c>
      <c r="B15" s="11" t="n">
        <f aca="false">'Kern Re-Rate'!$B$66</f>
        <v>229.648611286236</v>
      </c>
      <c r="C15" s="9" t="s">
        <v>171</v>
      </c>
      <c r="D15" s="9"/>
    </row>
    <row r="16" customFormat="false" ht="15" hidden="false" customHeight="false" outlineLevel="0" collapsed="false">
      <c r="A16" s="7" t="s">
        <v>273</v>
      </c>
      <c r="B16" s="11" t="n">
        <f aca="false">'Kern Re-Rate'!$B$29</f>
        <v>25.8710155023119</v>
      </c>
      <c r="C16" s="9" t="s">
        <v>118</v>
      </c>
      <c r="D16" s="9"/>
    </row>
    <row r="17" customFormat="false" ht="15" hidden="false" customHeight="false" outlineLevel="0" collapsed="false">
      <c r="A17" s="7" t="s">
        <v>274</v>
      </c>
      <c r="B17" s="12" t="n">
        <f aca="false">'NTU Effectiveness'!$B$15*'NTU Effectiveness'!$B$16/'NTU Effectiveness'!$B$9</f>
        <v>1.12387546726994</v>
      </c>
      <c r="C17" s="9" t="s">
        <v>128</v>
      </c>
      <c r="D17" s="9"/>
    </row>
    <row r="18" customFormat="false" ht="15" hidden="false" customHeight="false" outlineLevel="0" collapsed="false">
      <c r="A18" s="7" t="s">
        <v>275</v>
      </c>
      <c r="B18" s="12" t="n">
        <f aca="false">SQRT(1+'NTU Effectiveness'!$B$11^2)</f>
        <v>1.12449535166597</v>
      </c>
      <c r="C18" s="9" t="s">
        <v>128</v>
      </c>
      <c r="D18" s="9"/>
    </row>
    <row r="19" customFormat="false" ht="15" hidden="false" customHeight="false" outlineLevel="0" collapsed="false">
      <c r="A19" s="7" t="s">
        <v>276</v>
      </c>
      <c r="B19" s="12" t="n">
        <f aca="false">EXP(-'NTU Effectiveness'!$B$17*'NTU Effectiveness'!$B$18)</f>
        <v>0.282580238454671</v>
      </c>
      <c r="C19" s="9" t="s">
        <v>128</v>
      </c>
      <c r="D19" s="9"/>
    </row>
    <row r="20" customFormat="false" ht="15" hidden="false" customHeight="false" outlineLevel="0" collapsed="false">
      <c r="A20" s="7" t="s">
        <v>277</v>
      </c>
      <c r="B20" s="12" t="n">
        <f aca="false">IF(ABS(1-'NTU Effectiveness'!$B$19)&lt;0.000000001,1/(1+'NTU Effectiveness'!$B$11),2/(1+'NTU Effectiveness'!$B$11+'NTU Effectiveness'!$B$18*(1+'NTU Effectiveness'!$B$19)/(1-'NTU Effectiveness'!$B$19)))</f>
        <v>0.567436614429442</v>
      </c>
      <c r="C20" s="9" t="s">
        <v>128</v>
      </c>
      <c r="D20" s="9" t="s">
        <v>278</v>
      </c>
    </row>
    <row r="22" customFormat="false" ht="15" hidden="false" customHeight="false" outlineLevel="0" collapsed="false">
      <c r="A22" s="5" t="s">
        <v>279</v>
      </c>
      <c r="B22" s="5"/>
      <c r="C22" s="5"/>
      <c r="D22" s="5"/>
      <c r="E22" s="5"/>
    </row>
    <row r="23" customFormat="false" ht="15" hidden="false" customHeight="false" outlineLevel="0" collapsed="false">
      <c r="A23" s="6" t="s">
        <v>21</v>
      </c>
      <c r="B23" s="6" t="s">
        <v>22</v>
      </c>
      <c r="C23" s="6" t="s">
        <v>23</v>
      </c>
      <c r="D23" s="6" t="s">
        <v>24</v>
      </c>
    </row>
    <row r="24" customFormat="false" ht="15" hidden="false" customHeight="false" outlineLevel="0" collapsed="false">
      <c r="A24" s="7" t="s">
        <v>280</v>
      </c>
      <c r="B24" s="11" t="n">
        <f aca="false">'Rating Engine (Kern)'!$B$17</f>
        <v>185.023611111111</v>
      </c>
      <c r="C24" s="9" t="s">
        <v>133</v>
      </c>
      <c r="D24" s="9" t="s">
        <v>281</v>
      </c>
    </row>
    <row r="25" customFormat="false" ht="15" hidden="false" customHeight="false" outlineLevel="0" collapsed="false">
      <c r="A25" s="7" t="s">
        <v>280</v>
      </c>
      <c r="B25" s="12" t="n">
        <f aca="false">'NTU Effectiveness'!$B$24*1000</f>
        <v>185023.611111111</v>
      </c>
      <c r="C25" s="9" t="s">
        <v>131</v>
      </c>
      <c r="D25" s="9"/>
    </row>
    <row r="26" customFormat="false" ht="15" hidden="false" customHeight="false" outlineLevel="0" collapsed="false">
      <c r="A26" s="7" t="s">
        <v>282</v>
      </c>
      <c r="B26" s="12" t="n">
        <f aca="false">'NTU Effectiveness'!$B$9*(Inputs!$B$7-Inputs!$B$64)</f>
        <v>290751.388888889</v>
      </c>
      <c r="C26" s="9" t="s">
        <v>131</v>
      </c>
      <c r="D26" s="9" t="s">
        <v>283</v>
      </c>
    </row>
    <row r="27" customFormat="false" ht="15" hidden="false" customHeight="false" outlineLevel="0" collapsed="false">
      <c r="A27" s="7" t="s">
        <v>284</v>
      </c>
      <c r="B27" s="12" t="n">
        <f aca="false">IF('NTU Effectiveness'!$B$26&gt;0,'NTU Effectiveness'!$B$25/'NTU Effectiveness'!$B$26,0)</f>
        <v>0.636363636363636</v>
      </c>
      <c r="C27" s="9" t="s">
        <v>128</v>
      </c>
      <c r="D27" s="9" t="s">
        <v>285</v>
      </c>
    </row>
  </sheetData>
  <mergeCells count="5">
    <mergeCell ref="A1:E1"/>
    <mergeCell ref="A3:E3"/>
    <mergeCell ref="A5:E5"/>
    <mergeCell ref="A13:E13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6" t="s">
        <v>286</v>
      </c>
    </row>
    <row r="3" customFormat="false" ht="15" hidden="false" customHeight="false" outlineLevel="0" collapsed="false">
      <c r="A3" s="13" t="s">
        <v>287</v>
      </c>
    </row>
    <row r="4" customFormat="false" ht="15" hidden="false" customHeight="false" outlineLevel="0" collapsed="false">
      <c r="A4" s="13"/>
    </row>
    <row r="5" customFormat="false" ht="15" hidden="false" customHeight="false" outlineLevel="0" collapsed="false">
      <c r="A5" s="13" t="s">
        <v>288</v>
      </c>
    </row>
    <row r="6" customFormat="false" ht="15" hidden="false" customHeight="false" outlineLevel="0" collapsed="false">
      <c r="A6" s="13" t="s">
        <v>289</v>
      </c>
    </row>
    <row r="7" customFormat="false" ht="15" hidden="false" customHeight="false" outlineLevel="0" collapsed="false">
      <c r="A7" s="13" t="s">
        <v>290</v>
      </c>
    </row>
    <row r="8" customFormat="false" ht="15" hidden="false" customHeight="false" outlineLevel="0" collapsed="false">
      <c r="A8" s="13" t="s">
        <v>291</v>
      </c>
    </row>
    <row r="9" customFormat="false" ht="15" hidden="false" customHeight="false" outlineLevel="0" collapsed="false">
      <c r="A9" s="13" t="s">
        <v>292</v>
      </c>
    </row>
    <row r="10" customFormat="false" ht="15" hidden="false" customHeight="false" outlineLevel="0" collapsed="false">
      <c r="A10" s="13" t="s">
        <v>288</v>
      </c>
    </row>
    <row r="11" customFormat="false" ht="15" hidden="false" customHeight="false" outlineLevel="0" collapsed="false">
      <c r="A11" s="13"/>
    </row>
    <row r="12" customFormat="false" ht="15" hidden="false" customHeight="false" outlineLevel="0" collapsed="false">
      <c r="A12" s="13" t="s">
        <v>293</v>
      </c>
    </row>
    <row r="13" customFormat="false" ht="15" hidden="false" customHeight="false" outlineLevel="0" collapsed="false">
      <c r="A13" s="13" t="s">
        <v>294</v>
      </c>
    </row>
    <row r="14" customFormat="false" ht="15" hidden="false" customHeight="false" outlineLevel="0" collapsed="false">
      <c r="A14" s="13" t="s">
        <v>295</v>
      </c>
    </row>
    <row r="15" customFormat="false" ht="15" hidden="false" customHeight="false" outlineLevel="0" collapsed="false">
      <c r="A15" s="13"/>
    </row>
    <row r="16" customFormat="false" ht="15" hidden="false" customHeight="false" outlineLevel="0" collapsed="false">
      <c r="A16" s="13" t="s">
        <v>296</v>
      </c>
    </row>
    <row r="17" customFormat="false" ht="15" hidden="false" customHeight="false" outlineLevel="0" collapsed="false">
      <c r="A17" s="13" t="s">
        <v>297</v>
      </c>
    </row>
    <row r="18" customFormat="false" ht="15" hidden="false" customHeight="false" outlineLevel="0" collapsed="false">
      <c r="A18" s="13" t="s">
        <v>298</v>
      </c>
    </row>
    <row r="19" customFormat="false" ht="15" hidden="false" customHeight="false" outlineLevel="0" collapsed="false">
      <c r="A19" s="13" t="s">
        <v>299</v>
      </c>
    </row>
    <row r="20" customFormat="false" ht="15" hidden="false" customHeight="false" outlineLevel="0" collapsed="false">
      <c r="A20" s="13" t="s">
        <v>300</v>
      </c>
    </row>
    <row r="21" customFormat="false" ht="15" hidden="false" customHeight="false" outlineLevel="0" collapsed="false">
      <c r="A21" s="13" t="s">
        <v>301</v>
      </c>
    </row>
    <row r="22" customFormat="false" ht="15" hidden="false" customHeight="false" outlineLevel="0" collapsed="false">
      <c r="A22" s="13" t="s">
        <v>302</v>
      </c>
    </row>
    <row r="23" customFormat="false" ht="15" hidden="false" customHeight="false" outlineLevel="0" collapsed="false">
      <c r="A23" s="13" t="s">
        <v>303</v>
      </c>
    </row>
    <row r="24" customFormat="false" ht="15" hidden="false" customHeight="false" outlineLevel="0" collapsed="false">
      <c r="A24" s="13" t="s">
        <v>304</v>
      </c>
    </row>
    <row r="25" customFormat="false" ht="15" hidden="false" customHeight="false" outlineLevel="0" collapsed="false">
      <c r="A25" s="13" t="s">
        <v>305</v>
      </c>
    </row>
    <row r="26" customFormat="false" ht="15" hidden="false" customHeight="false" outlineLevel="0" collapsed="false">
      <c r="A26" s="13" t="s">
        <v>306</v>
      </c>
    </row>
    <row r="27" customFormat="false" ht="15" hidden="false" customHeight="false" outlineLevel="0" collapsed="false">
      <c r="A27" s="13" t="s">
        <v>295</v>
      </c>
    </row>
    <row r="28" customFormat="false" ht="15" hidden="false" customHeight="false" outlineLevel="0" collapsed="false">
      <c r="A28" s="13"/>
    </row>
    <row r="29" customFormat="false" ht="15" hidden="false" customHeight="false" outlineLevel="0" collapsed="false">
      <c r="A29" s="13" t="s">
        <v>307</v>
      </c>
    </row>
    <row r="30" customFormat="false" ht="15" hidden="false" customHeight="false" outlineLevel="0" collapsed="false">
      <c r="A30" s="13" t="s">
        <v>308</v>
      </c>
    </row>
    <row r="31" customFormat="false" ht="15" hidden="false" customHeight="false" outlineLevel="0" collapsed="false">
      <c r="A31" s="13" t="s">
        <v>309</v>
      </c>
    </row>
    <row r="32" customFormat="false" ht="15" hidden="false" customHeight="false" outlineLevel="0" collapsed="false">
      <c r="A32" s="13" t="s">
        <v>310</v>
      </c>
    </row>
    <row r="33" customFormat="false" ht="15" hidden="false" customHeight="false" outlineLevel="0" collapsed="false">
      <c r="A33" s="13" t="s">
        <v>311</v>
      </c>
    </row>
    <row r="34" customFormat="false" ht="15" hidden="false" customHeight="false" outlineLevel="0" collapsed="false">
      <c r="A34" s="13"/>
    </row>
    <row r="35" customFormat="false" ht="15" hidden="false" customHeight="false" outlineLevel="0" collapsed="false">
      <c r="A35" s="13" t="s">
        <v>312</v>
      </c>
    </row>
    <row r="36" customFormat="false" ht="15" hidden="false" customHeight="false" outlineLevel="0" collapsed="false">
      <c r="A36" s="13" t="s">
        <v>313</v>
      </c>
    </row>
    <row r="37" customFormat="false" ht="15" hidden="false" customHeight="false" outlineLevel="0" collapsed="false">
      <c r="A37" s="13" t="s">
        <v>314</v>
      </c>
    </row>
    <row r="38" customFormat="false" ht="15" hidden="false" customHeight="false" outlineLevel="0" collapsed="false">
      <c r="A38" s="13" t="s">
        <v>315</v>
      </c>
    </row>
    <row r="39" customFormat="false" ht="15" hidden="false" customHeight="false" outlineLevel="0" collapsed="false">
      <c r="A39" s="13" t="s">
        <v>316</v>
      </c>
    </row>
    <row r="40" customFormat="false" ht="15" hidden="false" customHeight="false" outlineLevel="0" collapsed="false">
      <c r="A40" s="13"/>
    </row>
    <row r="41" customFormat="false" ht="15" hidden="false" customHeight="false" outlineLevel="0" collapsed="false">
      <c r="A41" s="13" t="s">
        <v>317</v>
      </c>
    </row>
    <row r="42" customFormat="false" ht="15" hidden="false" customHeight="false" outlineLevel="0" collapsed="false">
      <c r="A42" s="13" t="s">
        <v>318</v>
      </c>
    </row>
    <row r="43" customFormat="false" ht="15" hidden="false" customHeight="false" outlineLevel="0" collapsed="false">
      <c r="A43" s="13" t="s">
        <v>319</v>
      </c>
    </row>
    <row r="44" customFormat="false" ht="15" hidden="false" customHeight="false" outlineLevel="0" collapsed="false">
      <c r="A44" s="13" t="s">
        <v>320</v>
      </c>
    </row>
    <row r="45" customFormat="false" ht="15" hidden="false" customHeight="false" outlineLevel="0" collapsed="false">
      <c r="A45" s="13" t="s">
        <v>321</v>
      </c>
    </row>
    <row r="46" customFormat="false" ht="15" hidden="false" customHeight="false" outlineLevel="0" collapsed="false">
      <c r="A46" s="13" t="s">
        <v>322</v>
      </c>
    </row>
    <row r="47" customFormat="false" ht="15" hidden="false" customHeight="false" outlineLevel="0" collapsed="false">
      <c r="A47" s="13" t="s">
        <v>323</v>
      </c>
    </row>
    <row r="48" customFormat="false" ht="15" hidden="false" customHeight="false" outlineLevel="0" collapsed="false">
      <c r="A48" s="13" t="s">
        <v>324</v>
      </c>
    </row>
    <row r="49" customFormat="false" ht="15" hidden="false" customHeight="false" outlineLevel="0" collapsed="false">
      <c r="A49" s="13" t="s">
        <v>325</v>
      </c>
    </row>
    <row r="50" customFormat="false" ht="15" hidden="false" customHeight="false" outlineLevel="0" collapsed="false">
      <c r="A50" s="13" t="s">
        <v>326</v>
      </c>
    </row>
    <row r="51" customFormat="false" ht="15" hidden="false" customHeight="false" outlineLevel="0" collapsed="false">
      <c r="A51" s="13" t="s">
        <v>327</v>
      </c>
    </row>
    <row r="52" customFormat="false" ht="15" hidden="false" customHeight="false" outlineLevel="0" collapsed="false">
      <c r="A52" s="13" t="s">
        <v>328</v>
      </c>
    </row>
    <row r="53" customFormat="false" ht="15" hidden="false" customHeight="false" outlineLevel="0" collapsed="false">
      <c r="A53" s="13" t="s">
        <v>329</v>
      </c>
    </row>
    <row r="54" customFormat="false" ht="15" hidden="false" customHeight="false" outlineLevel="0" collapsed="false">
      <c r="A54" s="13" t="s">
        <v>330</v>
      </c>
    </row>
    <row r="55" customFormat="false" ht="15" hidden="false" customHeight="false" outlineLevel="0" collapsed="false">
      <c r="A55" s="13" t="s">
        <v>331</v>
      </c>
    </row>
    <row r="56" customFormat="false" ht="15" hidden="false" customHeight="false" outlineLevel="0" collapsed="false">
      <c r="A56" s="13" t="s">
        <v>332</v>
      </c>
    </row>
    <row r="57" customFormat="false" ht="15" hidden="false" customHeight="false" outlineLevel="0" collapsed="false">
      <c r="A57" s="13" t="s">
        <v>306</v>
      </c>
    </row>
    <row r="58" customFormat="false" ht="15" hidden="false" customHeight="false" outlineLevel="0" collapsed="false">
      <c r="A58" s="13" t="s">
        <v>333</v>
      </c>
    </row>
    <row r="59" customFormat="false" ht="15" hidden="false" customHeight="false" outlineLevel="0" collapsed="false">
      <c r="A59" s="13" t="s">
        <v>334</v>
      </c>
    </row>
    <row r="60" customFormat="false" ht="15" hidden="false" customHeight="false" outlineLevel="0" collapsed="false">
      <c r="A60" s="13" t="s">
        <v>295</v>
      </c>
    </row>
    <row r="61" customFormat="false" ht="15" hidden="false" customHeight="false" outlineLevel="0" collapsed="false">
      <c r="A61" s="13"/>
    </row>
    <row r="62" customFormat="false" ht="15" hidden="false" customHeight="false" outlineLevel="0" collapsed="false">
      <c r="A62" s="13" t="s">
        <v>335</v>
      </c>
    </row>
    <row r="63" customFormat="false" ht="15" hidden="false" customHeight="false" outlineLevel="0" collapsed="false">
      <c r="A63" s="13" t="s">
        <v>336</v>
      </c>
    </row>
    <row r="64" customFormat="false" ht="15" hidden="false" customHeight="false" outlineLevel="0" collapsed="false">
      <c r="A64" s="13" t="s">
        <v>337</v>
      </c>
    </row>
    <row r="65" customFormat="false" ht="15" hidden="false" customHeight="false" outlineLevel="0" collapsed="false">
      <c r="A65" s="13" t="s">
        <v>338</v>
      </c>
    </row>
    <row r="66" customFormat="false" ht="15" hidden="false" customHeight="false" outlineLevel="0" collapsed="false">
      <c r="A66" s="13" t="s">
        <v>339</v>
      </c>
    </row>
    <row r="67" customFormat="false" ht="15" hidden="false" customHeight="false" outlineLevel="0" collapsed="false">
      <c r="A67" s="13" t="s">
        <v>340</v>
      </c>
    </row>
    <row r="68" customFormat="false" ht="15" hidden="false" customHeight="false" outlineLevel="0" collapsed="false">
      <c r="A68" s="13" t="s">
        <v>341</v>
      </c>
    </row>
    <row r="69" customFormat="false" ht="15" hidden="false" customHeight="false" outlineLevel="0" collapsed="false">
      <c r="A69" s="13" t="s">
        <v>342</v>
      </c>
    </row>
    <row r="70" customFormat="false" ht="15" hidden="false" customHeight="false" outlineLevel="0" collapsed="false">
      <c r="A70" s="13" t="s">
        <v>343</v>
      </c>
    </row>
    <row r="71" customFormat="false" ht="15" hidden="false" customHeight="false" outlineLevel="0" collapsed="false">
      <c r="A71" s="13"/>
    </row>
    <row r="72" customFormat="false" ht="15" hidden="false" customHeight="false" outlineLevel="0" collapsed="false">
      <c r="A72" s="13" t="s">
        <v>344</v>
      </c>
    </row>
    <row r="73" customFormat="false" ht="15" hidden="false" customHeight="false" outlineLevel="0" collapsed="false">
      <c r="A73" s="13" t="s">
        <v>345</v>
      </c>
    </row>
    <row r="74" customFormat="false" ht="15" hidden="false" customHeight="false" outlineLevel="0" collapsed="false">
      <c r="A74" s="13" t="s">
        <v>346</v>
      </c>
    </row>
    <row r="75" customFormat="false" ht="15" hidden="false" customHeight="false" outlineLevel="0" collapsed="false">
      <c r="A75" s="13" t="s">
        <v>347</v>
      </c>
    </row>
    <row r="76" customFormat="false" ht="15" hidden="false" customHeight="false" outlineLevel="0" collapsed="false">
      <c r="A76" s="13" t="s">
        <v>348</v>
      </c>
    </row>
    <row r="77" customFormat="false" ht="15" hidden="false" customHeight="false" outlineLevel="0" collapsed="false">
      <c r="A77" s="13" t="s">
        <v>349</v>
      </c>
    </row>
    <row r="78" customFormat="false" ht="15" hidden="false" customHeight="false" outlineLevel="0" collapsed="false">
      <c r="A78" s="13"/>
    </row>
    <row r="79" customFormat="false" ht="15" hidden="false" customHeight="false" outlineLevel="0" collapsed="false">
      <c r="A79" s="13" t="s">
        <v>350</v>
      </c>
    </row>
    <row r="80" customFormat="false" ht="15" hidden="false" customHeight="false" outlineLevel="0" collapsed="false">
      <c r="A80" s="13" t="s">
        <v>351</v>
      </c>
    </row>
    <row r="81" customFormat="false" ht="15" hidden="false" customHeight="false" outlineLevel="0" collapsed="false">
      <c r="A81" s="13"/>
    </row>
    <row r="82" customFormat="false" ht="15" hidden="false" customHeight="false" outlineLevel="0" collapsed="false">
      <c r="A82" s="13" t="s">
        <v>352</v>
      </c>
    </row>
    <row r="83" customFormat="false" ht="15" hidden="false" customHeight="false" outlineLevel="0" collapsed="false">
      <c r="A83" s="13" t="s">
        <v>353</v>
      </c>
    </row>
    <row r="84" customFormat="false" ht="15" hidden="false" customHeight="false" outlineLevel="0" collapsed="false">
      <c r="A84" s="13" t="s">
        <v>354</v>
      </c>
    </row>
    <row r="85" customFormat="false" ht="15" hidden="false" customHeight="false" outlineLevel="0" collapsed="false">
      <c r="A85" s="13"/>
    </row>
    <row r="86" customFormat="false" ht="15" hidden="false" customHeight="false" outlineLevel="0" collapsed="false">
      <c r="A86" s="13" t="s">
        <v>355</v>
      </c>
    </row>
    <row r="87" customFormat="false" ht="15" hidden="false" customHeight="false" outlineLevel="0" collapsed="false">
      <c r="A87" s="13" t="s">
        <v>356</v>
      </c>
    </row>
    <row r="88" customFormat="false" ht="15" hidden="false" customHeight="false" outlineLevel="0" collapsed="false">
      <c r="A88" s="13" t="s">
        <v>357</v>
      </c>
    </row>
    <row r="89" customFormat="false" ht="15" hidden="false" customHeight="false" outlineLevel="0" collapsed="false">
      <c r="A89" s="13" t="s">
        <v>358</v>
      </c>
    </row>
    <row r="90" customFormat="false" ht="15" hidden="false" customHeight="false" outlineLevel="0" collapsed="false">
      <c r="A90" s="13" t="s">
        <v>359</v>
      </c>
    </row>
    <row r="91" customFormat="false" ht="15" hidden="false" customHeight="false" outlineLevel="0" collapsed="false">
      <c r="A91" s="13" t="s">
        <v>360</v>
      </c>
    </row>
    <row r="92" customFormat="false" ht="15" hidden="false" customHeight="false" outlineLevel="0" collapsed="false">
      <c r="A92" s="13" t="s">
        <v>361</v>
      </c>
    </row>
    <row r="93" customFormat="false" ht="15" hidden="false" customHeight="false" outlineLevel="0" collapsed="false">
      <c r="A93" s="13" t="s">
        <v>362</v>
      </c>
    </row>
    <row r="94" customFormat="false" ht="15" hidden="false" customHeight="false" outlineLevel="0" collapsed="false">
      <c r="A94" s="13"/>
    </row>
    <row r="95" customFormat="false" ht="15" hidden="false" customHeight="false" outlineLevel="0" collapsed="false">
      <c r="A95" s="13" t="s">
        <v>363</v>
      </c>
    </row>
    <row r="96" customFormat="false" ht="15" hidden="false" customHeight="false" outlineLevel="0" collapsed="false">
      <c r="A96" s="13" t="s">
        <v>364</v>
      </c>
    </row>
    <row r="97" customFormat="false" ht="15" hidden="false" customHeight="false" outlineLevel="0" collapsed="false">
      <c r="A97" s="13" t="s">
        <v>365</v>
      </c>
    </row>
    <row r="98" customFormat="false" ht="15" hidden="false" customHeight="false" outlineLevel="0" collapsed="false">
      <c r="A98" s="13" t="s">
        <v>366</v>
      </c>
    </row>
    <row r="99" customFormat="false" ht="15" hidden="false" customHeight="false" outlineLevel="0" collapsed="false">
      <c r="A99" s="13" t="s">
        <v>367</v>
      </c>
    </row>
    <row r="100" customFormat="false" ht="15" hidden="false" customHeight="false" outlineLevel="0" collapsed="false">
      <c r="A100" s="13" t="s">
        <v>368</v>
      </c>
    </row>
    <row r="101" customFormat="false" ht="15" hidden="false" customHeight="false" outlineLevel="0" collapsed="false">
      <c r="A101" s="13" t="s">
        <v>369</v>
      </c>
    </row>
    <row r="102" customFormat="false" ht="15" hidden="false" customHeight="false" outlineLevel="0" collapsed="false">
      <c r="A102" s="13" t="s">
        <v>370</v>
      </c>
    </row>
    <row r="103" customFormat="false" ht="15" hidden="false" customHeight="false" outlineLevel="0" collapsed="false">
      <c r="A103" s="13" t="s">
        <v>371</v>
      </c>
    </row>
    <row r="104" customFormat="false" ht="15" hidden="false" customHeight="false" outlineLevel="0" collapsed="false">
      <c r="A104" s="13" t="s">
        <v>372</v>
      </c>
    </row>
    <row r="105" customFormat="false" ht="15" hidden="false" customHeight="false" outlineLevel="0" collapsed="false">
      <c r="A105" s="13"/>
    </row>
    <row r="106" customFormat="false" ht="15" hidden="false" customHeight="false" outlineLevel="0" collapsed="false">
      <c r="A106" s="13" t="s">
        <v>373</v>
      </c>
    </row>
    <row r="107" customFormat="false" ht="15" hidden="false" customHeight="false" outlineLevel="0" collapsed="false">
      <c r="A107" s="13" t="s">
        <v>374</v>
      </c>
    </row>
    <row r="108" customFormat="false" ht="15" hidden="false" customHeight="false" outlineLevel="0" collapsed="false">
      <c r="A108" s="13"/>
    </row>
    <row r="109" customFormat="false" ht="15" hidden="false" customHeight="false" outlineLevel="0" collapsed="false">
      <c r="A109" s="13" t="s">
        <v>375</v>
      </c>
    </row>
    <row r="110" customFormat="false" ht="15" hidden="false" customHeight="false" outlineLevel="0" collapsed="false">
      <c r="A110" s="13" t="s">
        <v>376</v>
      </c>
    </row>
    <row r="111" customFormat="false" ht="15" hidden="false" customHeight="false" outlineLevel="0" collapsed="false">
      <c r="A111" s="13"/>
    </row>
    <row r="112" customFormat="false" ht="15" hidden="false" customHeight="false" outlineLevel="0" collapsed="false">
      <c r="A112" s="13" t="s">
        <v>377</v>
      </c>
    </row>
    <row r="113" customFormat="false" ht="15" hidden="false" customHeight="false" outlineLevel="0" collapsed="false">
      <c r="A113" s="13" t="s">
        <v>378</v>
      </c>
    </row>
    <row r="114" customFormat="false" ht="15" hidden="false" customHeight="false" outlineLevel="0" collapsed="false">
      <c r="A114" s="13" t="s">
        <v>304</v>
      </c>
    </row>
    <row r="115" customFormat="false" ht="15" hidden="false" customHeight="false" outlineLevel="0" collapsed="false">
      <c r="A115" s="13" t="s">
        <v>379</v>
      </c>
    </row>
    <row r="116" customFormat="false" ht="15" hidden="false" customHeight="false" outlineLevel="0" collapsed="false">
      <c r="A116" s="13" t="s">
        <v>380</v>
      </c>
    </row>
    <row r="117" customFormat="false" ht="15" hidden="false" customHeight="false" outlineLevel="0" collapsed="false">
      <c r="A117" s="13" t="s">
        <v>306</v>
      </c>
    </row>
    <row r="118" customFormat="false" ht="15" hidden="false" customHeight="false" outlineLevel="0" collapsed="false">
      <c r="A118" s="13" t="s">
        <v>381</v>
      </c>
    </row>
    <row r="119" customFormat="false" ht="15" hidden="false" customHeight="false" outlineLevel="0" collapsed="false">
      <c r="A119" s="13"/>
    </row>
    <row r="120" customFormat="false" ht="15" hidden="false" customHeight="false" outlineLevel="0" collapsed="false">
      <c r="A120" s="13" t="s">
        <v>382</v>
      </c>
    </row>
    <row r="121" customFormat="false" ht="15" hidden="false" customHeight="false" outlineLevel="0" collapsed="false">
      <c r="A121" s="13" t="s">
        <v>383</v>
      </c>
    </row>
    <row r="122" customFormat="false" ht="15" hidden="false" customHeight="false" outlineLevel="0" collapsed="false">
      <c r="A122" s="13" t="s">
        <v>384</v>
      </c>
    </row>
    <row r="123" customFormat="false" ht="15" hidden="false" customHeight="false" outlineLevel="0" collapsed="false">
      <c r="A123" s="13" t="s">
        <v>385</v>
      </c>
    </row>
    <row r="124" customFormat="false" ht="15" hidden="false" customHeight="false" outlineLevel="0" collapsed="false">
      <c r="A124" s="13" t="s">
        <v>386</v>
      </c>
    </row>
    <row r="125" customFormat="false" ht="15" hidden="false" customHeight="false" outlineLevel="0" collapsed="false">
      <c r="A125" s="13"/>
    </row>
    <row r="126" customFormat="false" ht="15" hidden="false" customHeight="false" outlineLevel="0" collapsed="false">
      <c r="A126" s="13" t="s">
        <v>387</v>
      </c>
    </row>
    <row r="127" customFormat="false" ht="15" hidden="false" customHeight="false" outlineLevel="0" collapsed="false">
      <c r="A127" s="13" t="s">
        <v>388</v>
      </c>
    </row>
    <row r="128" customFormat="false" ht="15" hidden="false" customHeight="false" outlineLevel="0" collapsed="false">
      <c r="A128" s="13" t="s">
        <v>389</v>
      </c>
    </row>
    <row r="129" customFormat="false" ht="15" hidden="false" customHeight="false" outlineLevel="0" collapsed="false">
      <c r="A129" s="13" t="s">
        <v>390</v>
      </c>
    </row>
    <row r="130" customFormat="false" ht="15" hidden="false" customHeight="false" outlineLevel="0" collapsed="false">
      <c r="A130" s="13"/>
    </row>
    <row r="131" customFormat="false" ht="15" hidden="false" customHeight="false" outlineLevel="0" collapsed="false">
      <c r="A131" s="13" t="s">
        <v>391</v>
      </c>
    </row>
    <row r="132" customFormat="false" ht="15" hidden="false" customHeight="false" outlineLevel="0" collapsed="false">
      <c r="A132" s="13" t="s">
        <v>392</v>
      </c>
    </row>
    <row r="133" customFormat="false" ht="15" hidden="false" customHeight="false" outlineLevel="0" collapsed="false">
      <c r="A133" s="13" t="s">
        <v>393</v>
      </c>
    </row>
    <row r="134" customFormat="false" ht="15" hidden="false" customHeight="false" outlineLevel="0" collapsed="false">
      <c r="A134" s="13" t="s">
        <v>394</v>
      </c>
    </row>
    <row r="135" customFormat="false" ht="15" hidden="false" customHeight="false" outlineLevel="0" collapsed="false">
      <c r="A135" s="13" t="s">
        <v>395</v>
      </c>
    </row>
    <row r="136" customFormat="false" ht="15" hidden="false" customHeight="false" outlineLevel="0" collapsed="false">
      <c r="A136" s="13" t="s">
        <v>396</v>
      </c>
    </row>
    <row r="137" customFormat="false" ht="15" hidden="false" customHeight="false" outlineLevel="0" collapsed="false">
      <c r="A137" s="13" t="s">
        <v>397</v>
      </c>
    </row>
    <row r="138" customFormat="false" ht="15" hidden="false" customHeight="false" outlineLevel="0" collapsed="false">
      <c r="A138" s="13" t="s">
        <v>398</v>
      </c>
    </row>
    <row r="139" customFormat="false" ht="15" hidden="false" customHeight="false" outlineLevel="0" collapsed="false">
      <c r="A139" s="13" t="s">
        <v>399</v>
      </c>
    </row>
    <row r="140" customFormat="false" ht="15" hidden="false" customHeight="false" outlineLevel="0" collapsed="false">
      <c r="A140" s="13" t="s">
        <v>400</v>
      </c>
    </row>
    <row r="141" customFormat="false" ht="15" hidden="false" customHeight="false" outlineLevel="0" collapsed="false">
      <c r="A141" s="13" t="s">
        <v>401</v>
      </c>
    </row>
    <row r="142" customFormat="false" ht="15" hidden="false" customHeight="false" outlineLevel="0" collapsed="false">
      <c r="A142" s="13"/>
    </row>
    <row r="143" customFormat="false" ht="15" hidden="false" customHeight="false" outlineLevel="0" collapsed="false">
      <c r="A143" s="13" t="s">
        <v>402</v>
      </c>
    </row>
    <row r="144" customFormat="false" ht="15" hidden="false" customHeight="false" outlineLevel="0" collapsed="false">
      <c r="A144" s="13" t="s">
        <v>403</v>
      </c>
    </row>
    <row r="145" customFormat="false" ht="15" hidden="false" customHeight="false" outlineLevel="0" collapsed="false">
      <c r="A145" s="13" t="s">
        <v>404</v>
      </c>
    </row>
    <row r="146" customFormat="false" ht="15" hidden="false" customHeight="false" outlineLevel="0" collapsed="false">
      <c r="A146" s="13" t="s">
        <v>405</v>
      </c>
    </row>
    <row r="147" customFormat="false" ht="15" hidden="false" customHeight="false" outlineLevel="0" collapsed="false">
      <c r="A147" s="13" t="s">
        <v>406</v>
      </c>
    </row>
    <row r="148" customFormat="false" ht="15" hidden="false" customHeight="false" outlineLevel="0" collapsed="false">
      <c r="A148" s="13" t="s">
        <v>407</v>
      </c>
    </row>
    <row r="149" customFormat="false" ht="15" hidden="false" customHeight="false" outlineLevel="0" collapsed="false">
      <c r="A149" s="13" t="s">
        <v>408</v>
      </c>
    </row>
    <row r="150" customFormat="false" ht="15" hidden="false" customHeight="false" outlineLevel="0" collapsed="false">
      <c r="A150" s="13" t="s">
        <v>409</v>
      </c>
    </row>
    <row r="151" customFormat="false" ht="15" hidden="false" customHeight="false" outlineLevel="0" collapsed="false">
      <c r="A151" s="13" t="s">
        <v>410</v>
      </c>
    </row>
    <row r="152" customFormat="false" ht="15" hidden="false" customHeight="false" outlineLevel="0" collapsed="false">
      <c r="A152" s="13" t="s">
        <v>411</v>
      </c>
    </row>
    <row r="153" customFormat="false" ht="15" hidden="false" customHeight="false" outlineLevel="0" collapsed="false">
      <c r="A153" s="13" t="s">
        <v>412</v>
      </c>
    </row>
    <row r="154" customFormat="false" ht="15" hidden="false" customHeight="false" outlineLevel="0" collapsed="false">
      <c r="A154" s="13" t="s">
        <v>413</v>
      </c>
    </row>
    <row r="155" customFormat="false" ht="15" hidden="false" customHeight="false" outlineLevel="0" collapsed="false">
      <c r="A155" s="13" t="s">
        <v>414</v>
      </c>
    </row>
    <row r="156" customFormat="false" ht="15" hidden="false" customHeight="false" outlineLevel="0" collapsed="false">
      <c r="A156" s="13" t="s">
        <v>415</v>
      </c>
    </row>
    <row r="157" customFormat="false" ht="15" hidden="false" customHeight="false" outlineLevel="0" collapsed="false">
      <c r="A157" s="13" t="s">
        <v>416</v>
      </c>
    </row>
    <row r="158" customFormat="false" ht="15" hidden="false" customHeight="false" outlineLevel="0" collapsed="false">
      <c r="A158" s="13" t="s">
        <v>417</v>
      </c>
    </row>
    <row r="159" customFormat="false" ht="15" hidden="false" customHeight="false" outlineLevel="0" collapsed="false">
      <c r="A159" s="13" t="s">
        <v>418</v>
      </c>
    </row>
    <row r="160" customFormat="false" ht="15" hidden="false" customHeight="false" outlineLevel="0" collapsed="false">
      <c r="A160" s="13" t="s">
        <v>419</v>
      </c>
    </row>
    <row r="161" customFormat="false" ht="15" hidden="false" customHeight="false" outlineLevel="0" collapsed="false">
      <c r="A161" s="13" t="s">
        <v>420</v>
      </c>
    </row>
    <row r="162" customFormat="false" ht="15" hidden="false" customHeight="false" outlineLevel="0" collapsed="false">
      <c r="A162" s="13" t="s">
        <v>421</v>
      </c>
    </row>
    <row r="163" customFormat="false" ht="15" hidden="false" customHeight="false" outlineLevel="0" collapsed="false">
      <c r="A163" s="13" t="s">
        <v>422</v>
      </c>
    </row>
    <row r="164" customFormat="false" ht="15" hidden="false" customHeight="false" outlineLevel="0" collapsed="false">
      <c r="A164" s="13" t="s">
        <v>423</v>
      </c>
    </row>
    <row r="165" customFormat="false" ht="15" hidden="false" customHeight="false" outlineLevel="0" collapsed="false">
      <c r="A165" s="13" t="s">
        <v>424</v>
      </c>
    </row>
    <row r="166" customFormat="false" ht="15" hidden="false" customHeight="false" outlineLevel="0" collapsed="false">
      <c r="A166" s="13" t="s">
        <v>425</v>
      </c>
    </row>
    <row r="167" customFormat="false" ht="15" hidden="false" customHeight="false" outlineLevel="0" collapsed="false">
      <c r="A167" s="13" t="s">
        <v>426</v>
      </c>
    </row>
    <row r="168" customFormat="false" ht="15" hidden="false" customHeight="false" outlineLevel="0" collapsed="false">
      <c r="A168" s="13" t="s">
        <v>427</v>
      </c>
    </row>
    <row r="169" customFormat="false" ht="15" hidden="false" customHeight="false" outlineLevel="0" collapsed="false">
      <c r="A169" s="13" t="s">
        <v>428</v>
      </c>
    </row>
    <row r="170" customFormat="false" ht="15" hidden="false" customHeight="false" outlineLevel="0" collapsed="false">
      <c r="A170" s="13" t="s">
        <v>429</v>
      </c>
    </row>
    <row r="171" customFormat="false" ht="15" hidden="false" customHeight="false" outlineLevel="0" collapsed="false">
      <c r="A171" s="13" t="s">
        <v>430</v>
      </c>
    </row>
    <row r="172" customFormat="false" ht="15" hidden="false" customHeight="false" outlineLevel="0" collapsed="false">
      <c r="A172" s="13" t="s">
        <v>431</v>
      </c>
    </row>
    <row r="173" customFormat="false" ht="15" hidden="false" customHeight="false" outlineLevel="0" collapsed="false">
      <c r="A173" s="13" t="s">
        <v>432</v>
      </c>
    </row>
    <row r="174" customFormat="false" ht="15" hidden="false" customHeight="false" outlineLevel="0" collapsed="false">
      <c r="A174" s="13" t="s">
        <v>433</v>
      </c>
    </row>
    <row r="175" customFormat="false" ht="15" hidden="false" customHeight="false" outlineLevel="0" collapsed="false">
      <c r="A175" s="13"/>
    </row>
    <row r="176" customFormat="false" ht="15" hidden="false" customHeight="false" outlineLevel="0" collapsed="false">
      <c r="A176" s="13" t="s">
        <v>434</v>
      </c>
    </row>
    <row r="177" customFormat="false" ht="15" hidden="false" customHeight="false" outlineLevel="0" collapsed="false">
      <c r="A177" s="13" t="s">
        <v>435</v>
      </c>
    </row>
    <row r="178" customFormat="false" ht="15" hidden="false" customHeight="false" outlineLevel="0" collapsed="false">
      <c r="A178" s="13" t="s">
        <v>436</v>
      </c>
    </row>
    <row r="179" customFormat="false" ht="15" hidden="false" customHeight="false" outlineLevel="0" collapsed="false">
      <c r="A179" s="13" t="s">
        <v>437</v>
      </c>
    </row>
    <row r="180" customFormat="false" ht="15" hidden="false" customHeight="false" outlineLevel="0" collapsed="false">
      <c r="A180" s="13"/>
    </row>
    <row r="181" customFormat="false" ht="15" hidden="false" customHeight="false" outlineLevel="0" collapsed="false">
      <c r="A181" s="13" t="s">
        <v>438</v>
      </c>
    </row>
    <row r="182" customFormat="false" ht="15" hidden="false" customHeight="false" outlineLevel="0" collapsed="false">
      <c r="A182" s="13" t="s">
        <v>439</v>
      </c>
    </row>
    <row r="183" customFormat="false" ht="15" hidden="false" customHeight="false" outlineLevel="0" collapsed="false">
      <c r="A183" s="13" t="s">
        <v>440</v>
      </c>
    </row>
    <row r="184" customFormat="false" ht="15" hidden="false" customHeight="false" outlineLevel="0" collapsed="false">
      <c r="A184" s="13" t="s">
        <v>441</v>
      </c>
    </row>
    <row r="185" customFormat="false" ht="15" hidden="false" customHeight="false" outlineLevel="0" collapsed="false">
      <c r="A185" s="13"/>
    </row>
    <row r="186" customFormat="false" ht="15" hidden="false" customHeight="false" outlineLevel="0" collapsed="false">
      <c r="A186" s="13" t="s">
        <v>442</v>
      </c>
    </row>
    <row r="187" customFormat="false" ht="15" hidden="false" customHeight="false" outlineLevel="0" collapsed="false">
      <c r="A187" s="13" t="s">
        <v>443</v>
      </c>
    </row>
    <row r="188" customFormat="false" ht="15" hidden="false" customHeight="false" outlineLevel="0" collapsed="false">
      <c r="A188" s="13" t="s">
        <v>444</v>
      </c>
    </row>
    <row r="189" customFormat="false" ht="15" hidden="false" customHeight="false" outlineLevel="0" collapsed="false">
      <c r="A189" s="13" t="s">
        <v>445</v>
      </c>
    </row>
    <row r="190" customFormat="false" ht="15" hidden="false" customHeight="false" outlineLevel="0" collapsed="false">
      <c r="A190" s="13" t="s">
        <v>446</v>
      </c>
    </row>
    <row r="191" customFormat="false" ht="15" hidden="false" customHeight="false" outlineLevel="0" collapsed="false">
      <c r="A191" s="13" t="s">
        <v>447</v>
      </c>
    </row>
    <row r="192" customFormat="false" ht="15" hidden="false" customHeight="false" outlineLevel="0" collapsed="false">
      <c r="A192" s="13" t="s">
        <v>448</v>
      </c>
    </row>
    <row r="193" customFormat="false" ht="15" hidden="false" customHeight="false" outlineLevel="0" collapsed="false">
      <c r="A193" s="13" t="s">
        <v>449</v>
      </c>
    </row>
    <row r="194" customFormat="false" ht="15" hidden="false" customHeight="false" outlineLevel="0" collapsed="false">
      <c r="A194" s="13" t="s">
        <v>450</v>
      </c>
    </row>
    <row r="195" customFormat="false" ht="15" hidden="false" customHeight="false" outlineLevel="0" collapsed="false">
      <c r="A195" s="13"/>
    </row>
    <row r="196" customFormat="false" ht="15" hidden="false" customHeight="false" outlineLevel="0" collapsed="false">
      <c r="A196" s="13" t="s">
        <v>451</v>
      </c>
    </row>
    <row r="197" customFormat="false" ht="15" hidden="false" customHeight="false" outlineLevel="0" collapsed="false">
      <c r="A197" s="13" t="s">
        <v>452</v>
      </c>
    </row>
    <row r="198" customFormat="false" ht="15" hidden="false" customHeight="false" outlineLevel="0" collapsed="false">
      <c r="A198" s="13" t="s">
        <v>453</v>
      </c>
    </row>
    <row r="199" customFormat="false" ht="15" hidden="false" customHeight="false" outlineLevel="0" collapsed="false">
      <c r="A199" s="13" t="s">
        <v>454</v>
      </c>
    </row>
    <row r="200" customFormat="false" ht="15" hidden="false" customHeight="false" outlineLevel="0" collapsed="false">
      <c r="A200" s="13" t="s">
        <v>455</v>
      </c>
    </row>
    <row r="201" customFormat="false" ht="15" hidden="false" customHeight="false" outlineLevel="0" collapsed="false">
      <c r="A201" s="13" t="s">
        <v>456</v>
      </c>
    </row>
    <row r="202" customFormat="false" ht="15" hidden="false" customHeight="false" outlineLevel="0" collapsed="false">
      <c r="A202" s="13" t="s">
        <v>457</v>
      </c>
    </row>
    <row r="203" customFormat="false" ht="15" hidden="false" customHeight="false" outlineLevel="0" collapsed="false">
      <c r="A203" s="13" t="s">
        <v>458</v>
      </c>
    </row>
    <row r="204" customFormat="false" ht="15" hidden="false" customHeight="false" outlineLevel="0" collapsed="false">
      <c r="A204" s="13" t="s">
        <v>459</v>
      </c>
    </row>
    <row r="205" customFormat="false" ht="15" hidden="false" customHeight="false" outlineLevel="0" collapsed="false">
      <c r="A205" s="13" t="s">
        <v>460</v>
      </c>
    </row>
    <row r="206" customFormat="false" ht="15" hidden="false" customHeight="false" outlineLevel="0" collapsed="false">
      <c r="A206" s="13"/>
    </row>
    <row r="207" customFormat="false" ht="15" hidden="false" customHeight="false" outlineLevel="0" collapsed="false">
      <c r="A207" s="13" t="s">
        <v>461</v>
      </c>
    </row>
    <row r="208" customFormat="false" ht="15" hidden="false" customHeight="false" outlineLevel="0" collapsed="false">
      <c r="A208" s="13" t="s">
        <v>462</v>
      </c>
    </row>
    <row r="209" customFormat="false" ht="15" hidden="false" customHeight="false" outlineLevel="0" collapsed="false">
      <c r="A209" s="13" t="s">
        <v>463</v>
      </c>
    </row>
    <row r="210" customFormat="false" ht="15" hidden="false" customHeight="false" outlineLevel="0" collapsed="false">
      <c r="A210" s="13" t="s">
        <v>464</v>
      </c>
    </row>
    <row r="211" customFormat="false" ht="15" hidden="false" customHeight="false" outlineLevel="0" collapsed="false">
      <c r="A211" s="13" t="s">
        <v>465</v>
      </c>
    </row>
    <row r="212" customFormat="false" ht="15" hidden="false" customHeight="false" outlineLevel="0" collapsed="false">
      <c r="A212" s="13" t="s">
        <v>466</v>
      </c>
    </row>
    <row r="213" customFormat="false" ht="15" hidden="false" customHeight="false" outlineLevel="0" collapsed="false">
      <c r="A213" s="13" t="s">
        <v>467</v>
      </c>
    </row>
    <row r="214" customFormat="false" ht="15" hidden="false" customHeight="false" outlineLevel="0" collapsed="false">
      <c r="A214" s="13" t="s">
        <v>468</v>
      </c>
    </row>
    <row r="215" customFormat="false" ht="15" hidden="false" customHeight="false" outlineLevel="0" collapsed="false">
      <c r="A215" s="13" t="s">
        <v>469</v>
      </c>
    </row>
    <row r="216" customFormat="false" ht="15" hidden="false" customHeight="false" outlineLevel="0" collapsed="false">
      <c r="A216" s="13" t="s">
        <v>470</v>
      </c>
    </row>
    <row r="217" customFormat="false" ht="15" hidden="false" customHeight="false" outlineLevel="0" collapsed="false">
      <c r="A217" s="13" t="s">
        <v>471</v>
      </c>
    </row>
    <row r="218" customFormat="false" ht="15" hidden="false" customHeight="false" outlineLevel="0" collapsed="false">
      <c r="A218" s="13" t="s">
        <v>472</v>
      </c>
    </row>
    <row r="219" customFormat="false" ht="15" hidden="false" customHeight="false" outlineLevel="0" collapsed="false">
      <c r="A219" s="13" t="s">
        <v>331</v>
      </c>
    </row>
    <row r="220" customFormat="false" ht="15" hidden="false" customHeight="false" outlineLevel="0" collapsed="false">
      <c r="A220" s="13" t="s">
        <v>473</v>
      </c>
    </row>
    <row r="221" customFormat="false" ht="15" hidden="false" customHeight="false" outlineLevel="0" collapsed="false">
      <c r="A221" s="13" t="s">
        <v>474</v>
      </c>
    </row>
    <row r="222" customFormat="false" ht="15" hidden="false" customHeight="false" outlineLevel="0" collapsed="false">
      <c r="A222" s="13" t="s">
        <v>475</v>
      </c>
    </row>
    <row r="223" customFormat="false" ht="15" hidden="false" customHeight="false" outlineLevel="0" collapsed="false">
      <c r="A223" s="13" t="s">
        <v>476</v>
      </c>
    </row>
    <row r="224" customFormat="false" ht="15" hidden="false" customHeight="false" outlineLevel="0" collapsed="false">
      <c r="A224" s="13"/>
    </row>
    <row r="225" customFormat="false" ht="15" hidden="false" customHeight="false" outlineLevel="0" collapsed="false">
      <c r="A225" s="13" t="s">
        <v>477</v>
      </c>
    </row>
    <row r="226" customFormat="false" ht="15" hidden="false" customHeight="false" outlineLevel="0" collapsed="false">
      <c r="A226" s="13" t="s">
        <v>478</v>
      </c>
    </row>
    <row r="227" customFormat="false" ht="15" hidden="false" customHeight="false" outlineLevel="0" collapsed="false">
      <c r="A227" s="13" t="s">
        <v>479</v>
      </c>
    </row>
    <row r="228" customFormat="false" ht="15" hidden="false" customHeight="false" outlineLevel="0" collapsed="false">
      <c r="A228" s="13" t="s">
        <v>480</v>
      </c>
    </row>
    <row r="229" customFormat="false" ht="15" hidden="false" customHeight="false" outlineLevel="0" collapsed="false">
      <c r="A229" s="13" t="s">
        <v>481</v>
      </c>
    </row>
    <row r="230" customFormat="false" ht="15" hidden="false" customHeight="false" outlineLevel="0" collapsed="false">
      <c r="A230" s="13" t="s">
        <v>482</v>
      </c>
    </row>
    <row r="231" customFormat="false" ht="15" hidden="false" customHeight="false" outlineLevel="0" collapsed="false">
      <c r="A231" s="13" t="s">
        <v>483</v>
      </c>
    </row>
    <row r="232" customFormat="false" ht="15" hidden="false" customHeight="false" outlineLevel="0" collapsed="false">
      <c r="A232" s="13" t="s">
        <v>484</v>
      </c>
    </row>
    <row r="233" customFormat="false" ht="15" hidden="false" customHeight="false" outlineLevel="0" collapsed="false">
      <c r="A233" s="13" t="s">
        <v>304</v>
      </c>
    </row>
    <row r="234" customFormat="false" ht="15" hidden="false" customHeight="false" outlineLevel="0" collapsed="false">
      <c r="A234" s="13" t="s">
        <v>485</v>
      </c>
    </row>
    <row r="235" customFormat="false" ht="15" hidden="false" customHeight="false" outlineLevel="0" collapsed="false">
      <c r="A235" s="13" t="s">
        <v>306</v>
      </c>
    </row>
    <row r="236" customFormat="false" ht="15" hidden="false" customHeight="false" outlineLevel="0" collapsed="false">
      <c r="A236" s="13"/>
    </row>
    <row r="237" customFormat="false" ht="15" hidden="false" customHeight="false" outlineLevel="0" collapsed="false">
      <c r="A237" s="13" t="s">
        <v>486</v>
      </c>
    </row>
    <row r="238" customFormat="false" ht="15" hidden="false" customHeight="false" outlineLevel="0" collapsed="false">
      <c r="A238" s="13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2026-09-05T04:52:58Z</dcterms:created>
  <dc:creator>openpyxl</dc:creator>
  <dc:description/>
  <dc:language>en-US</dc:language>
  <cp:lastModifiedBy/>
  <dcterms:modified xsi:type="dcterms:W3CDTF">2026-09-05T04:52:58Z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