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5.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00_README" sheetId="1" state="visible" r:id="rId3"/>
    <sheet name="01_Process" sheetId="2" state="visible" r:id="rId4"/>
    <sheet name="02_FOPDT" sheetId="3" state="visible" r:id="rId5"/>
    <sheet name="03_Tunings" sheetId="4" state="visible" r:id="rId6"/>
    <sheet name="04_Titration" sheetId="5" state="visible" r:id="rId7"/>
    <sheet name="05_Schedules" sheetId="6" state="visible" r:id="rId8"/>
    <sheet name="06_Bode" sheetId="7" state="visible" r:id="rId9"/>
    <sheet name="07_Metrics_Step" sheetId="8" state="visible" r:id="rId10"/>
    <sheet name="08_Metrics_Summary" sheetId="9" state="visible" r:id="rId11"/>
    <sheet name="09_Margins" sheetId="10" state="visible" r:id="rId12"/>
    <sheet name="10_Robust_Summary" sheetId="11" state="visible" r:id="rId13"/>
    <sheet name="11_Robust_Step" sheetId="12" state="visible" r:id="rId14"/>
    <sheet name="12_Traces" sheetId="13" state="visible" r:id="rId15"/>
    <sheet name="13_Insights" sheetId="14" state="visible" r:id="rId16"/>
    <sheet name="14_Charts" sheetId="15" state="visible" r:id="rId17"/>
    <sheet name="15_Figure_Insights" sheetId="16" state="visible" r:id="rId18"/>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9" authorId="0">
      <text>
        <r>
          <rPr>
            <sz val="10"/>
            <rFont val="Arial"/>
            <family val="2"/>
          </rPr>
          <t xml:space="preserve">Arithmetic mean of the three regional gains. This is the "detune for the average" assumption the report critiques: because Kp spans a ~27x range, the mean is dominated by the near-neutral value and is not representative of either extreme.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40" authorId="0">
      <text>
        <r>
          <rPr>
            <sz val="10"/>
            <rFont val="Arial"/>
            <family val="2"/>
          </rPr>
          <t xml:space="preserve">Do not read these as controller gains. They are the ratio Kp(pH 6)/Kp(pH), i.e. the shape an ideal inverse-gain schedule would follow, normalised so pH 6 equals 1.</t>
        </r>
      </text>
    </comment>
    <comment ref="C21" authorId="0">
      <text>
        <r>
          <rPr>
            <sz val="10"/>
            <rFont val="Arial"/>
            <family val="2"/>
          </rPr>
          <t xml:space="preserve">The alkaline Kc numerator is 2.9*tau + theta in the notebook, where the acidic and near-neutral use 2*tau + theta. That is a hand-adjustment, not the standard IMC-PID rule. Flag it in the report or justify it.</t>
        </r>
      </text>
    </comment>
  </commentList>
</comments>
</file>

<file path=xl/sharedStrings.xml><?xml version="1.0" encoding="utf-8"?>
<sst xmlns="http://schemas.openxmlformats.org/spreadsheetml/2006/main" count="962" uniqueCount="454">
  <si>
    <t xml:space="preserve">Lab-Scale CSTR pH Neutralisation — Controller Briefing Pack</t>
  </si>
  <si>
    <t xml:space="preserve">Generated from Lab_Scale_CSTR_Simulation_2.ipynb (all cells re-executed, including the robustness/margin cells that had no stored outputs). CSC421 Technical Report.</t>
  </si>
  <si>
    <t xml:space="preserve">What is in this workbook</t>
  </si>
  <si>
    <t xml:space="preserve">Sheet</t>
  </si>
  <si>
    <t xml:space="preserve">Contents</t>
  </si>
  <si>
    <t xml:space="preserve">What it is for</t>
  </si>
  <si>
    <t xml:space="preserve">01_Process</t>
  </si>
  <si>
    <t xml:space="preserve">Physical constants, titration facts, actuator limits</t>
  </si>
  <si>
    <t xml:space="preserve">The plant definition every downstream number depends on. Change nothing here without re-running the notebook.</t>
  </si>
  <si>
    <t xml:space="preserve">02_FOPDT</t>
  </si>
  <si>
    <t xml:space="preserve">Step-test identification: Kp, tau, theta per region + averages</t>
  </si>
  <si>
    <t xml:space="preserve">The evidence for the nonlinearity claim: process gain varies ~27x between regions while tau and theta also move.</t>
  </si>
  <si>
    <t xml:space="preserve">03_Tunings</t>
  </si>
  <si>
    <t xml:space="preserve">All four controller tunings, derived by live formula from 02_FOPDT</t>
  </si>
  <si>
    <t xml:space="preserve">Shows the design math is reproducible, not pasted. Edit an FOPDT value in 02 and every tuning updates.</t>
  </si>
  <si>
    <t xml:space="preserve">04_Titration</t>
  </si>
  <si>
    <t xml:space="preserve">Steady-state pH vs base flow, plus dPH/dQb slope (raw and floored)</t>
  </si>
  <si>
    <t xml:space="preserve">The static nonlinearity. Also the gain source the pure gain-scheduled controller reads from.</t>
  </si>
  <si>
    <t xml:space="preserve">05_Schedules</t>
  </si>
  <si>
    <t xml:space="preserve">Kc/Ti/Td vs pH for both scheduled controllers on a common pH grid</t>
  </si>
  <si>
    <t xml:space="preserve">Lets you overlay the two scheduling philosophies and see where they disagree.</t>
  </si>
  <si>
    <t xml:space="preserve">06_Bode</t>
  </si>
  <si>
    <t xml:space="preserve">Open-loop magnitude/phase per region + Ku, Pu</t>
  </si>
  <si>
    <t xml:space="preserve">Frequency-domain backing for "near-neutral is the least robust region".</t>
  </si>
  <si>
    <t xml:space="preserve">07_Metrics_Step</t>
  </si>
  <si>
    <t xml:space="preserve">IAE/ISE/ITAE/overshoot/settling per setpoint step, all 4 controllers</t>
  </si>
  <si>
    <t xml:space="preserve">Raw per-transition results from the standardised comparison scenario.</t>
  </si>
  <si>
    <t xml:space="preserve">08_Metrics_Summary</t>
  </si>
  <si>
    <t xml:space="preserve">Mean metrics per controller (AVERAGEIF over 07)</t>
  </si>
  <si>
    <t xml:space="preserve">The headline comparison table for the Results section.</t>
  </si>
  <si>
    <t xml:space="preserve">09_Margins</t>
  </si>
  <si>
    <t xml:space="preserve">Gain and phase margin, each controller against each region model</t>
  </si>
  <si>
    <t xml:space="preserve">Plant-model mismatch in the frequency domain: how a locally-correct tuning fares elsewhere.</t>
  </si>
  <si>
    <t xml:space="preserve">10_Robust_Summary</t>
  </si>
  <si>
    <t xml:space="preserve">Mean metrics per mismatch case x controller, + % IAE degradation</t>
  </si>
  <si>
    <t xml:space="preserve">The robustness headline. Degradation columns are live formulas off the nominal row.</t>
  </si>
  <si>
    <t xml:space="preserve">11_Robust_Step</t>
  </si>
  <si>
    <t xml:space="preserve">Per-step metrics for all 24 mismatch runs</t>
  </si>
  <si>
    <t xml:space="preserve">Backing detail for sheet 10.</t>
  </si>
  <si>
    <t xml:space="preserve">12_Traces</t>
  </si>
  <si>
    <t xml:space="preserve">Time series: SP, pH and base flow for all four controllers</t>
  </si>
  <si>
    <t xml:space="preserve">Downsampled 5:1 from the simulation. Build any custom chart you want from here.</t>
  </si>
  <si>
    <t xml:space="preserve">13_Insights</t>
  </si>
  <si>
    <t xml:space="preserve">Rankings, best/worst per metric, robustness score, read-across notes</t>
  </si>
  <si>
    <t xml:space="preserve">Derived interpretation — all formulas, so it follows the data if anything upstream changes.</t>
  </si>
  <si>
    <t xml:space="preserve">14_Charts</t>
  </si>
  <si>
    <t xml:space="preserve">Chart dashboard</t>
  </si>
  <si>
    <t xml:space="preserve">Every chart in one place for pulling into the report.</t>
  </si>
  <si>
    <t xml:space="preserve">15_Figure_Insights</t>
  </si>
  <si>
    <t xml:space="preserve">Per-chart insight and literature cross-check for every figure in 14_Charts</t>
  </si>
  <si>
    <t xml:space="preserve">Ties each chart to a specific numeric reading and to the literature that supports, qualifies, or contradicts it, so a figure is never presented without a citation trail.</t>
  </si>
  <si>
    <t xml:space="preserve">Colour convention</t>
  </si>
  <si>
    <t xml:space="preserve">Blue text</t>
  </si>
  <si>
    <t xml:space="preserve">Value produced by the notebook simulation (a hardcoded input here)</t>
  </si>
  <si>
    <t xml:space="preserve">Black text</t>
  </si>
  <si>
    <t xml:space="preserve">Computed by a formula inside this workbook</t>
  </si>
  <si>
    <t xml:space="preserve">Green text</t>
  </si>
  <si>
    <t xml:space="preserve">Link to another sheet in this workbook</t>
  </si>
  <si>
    <t xml:space="preserve">Yellow fill</t>
  </si>
  <si>
    <t xml:space="preserve">Key assumption or a number the report should defend</t>
  </si>
  <si>
    <t xml:space="preserve">Provenance and caveats</t>
  </si>
  <si>
    <t xml:space="preserve">Source</t>
  </si>
  <si>
    <t xml:space="preserve">Lab_Scale_CSTR_Simulation_2.ipynb, project "CSC421 Technical Report". Notebook re-executed end to end; cells 44-50 (stability margins and plant-model mismatch) had never been run and produced no stored outputs, so those results appear here for the first time.</t>
  </si>
  <si>
    <t xml:space="preserve">Comparison basis</t>
  </si>
  <si>
    <t xml:space="preserve">Every controller is run on the identical scenario: initial pH 7.0, setpoint steps to 8.0 (t=60000 s), 7.0 (t=80000 s), 6.0 (t=100000 s); acid-concentration disturbances of +5% (t=20000 s), -5% (t=65000 s), +5% (t=120000 s); tend = 170000 s, 8500 samples.</t>
  </si>
  <si>
    <t xml:space="preserve">Settling time</t>
  </si>
  <si>
    <t xml:space="preserve">Reported on a 5% band around the new setpoint. "Not settled" means the response was still outside that band at the end of the segment — reported as infinity by the notebook, blanked here so charts and averages behave.</t>
  </si>
  <si>
    <t xml:space="preserve">Step 1 caveat</t>
  </si>
  <si>
    <t xml:space="preserve">Segment 1 in the per-step tables is a 7.00 -&gt; 7.00 "transition": it is not a setpoint change at all, it is the initial-condition and first-disturbance period. Its IAE dominates the mean for the fixed-gain controllers. Sheet 13 reports the mean both with and without it.</t>
  </si>
  <si>
    <t xml:space="preserve">Mismatch cases</t>
  </si>
  <si>
    <t xml:space="preserve">Run exactly as coded in the notebook: volume +/-20%, acid concentration +15%, base concentration -15%, and a combined worst case. Percentages are illustrative lab-rig uncertainty, not measured tolerances — the report should say so.</t>
  </si>
  <si>
    <t xml:space="preserve">Infinite gain margin</t>
  </si>
  <si>
    <t xml:space="preserve">The IMC-scheduled PID shows GM = infinity in all three regions. With a Pade-approximated dead time and strong derivative action the loop phase approaches -180 deg asymptotically without crossing it. That is a property of the approximation, not a guarantee of unconditional stability on the real plant.</t>
  </si>
  <si>
    <t xml:space="preserve">Process definition — lab-scale CSTR</t>
  </si>
  <si>
    <t xml:space="preserve">Constants as defined in the notebook Shared setup section.</t>
  </si>
  <si>
    <t xml:space="preserve">Physical constants</t>
  </si>
  <si>
    <t xml:space="preserve">Quantity</t>
  </si>
  <si>
    <t xml:space="preserve">Value</t>
  </si>
  <si>
    <t xml:space="preserve">Unit</t>
  </si>
  <si>
    <t xml:space="preserve">Note</t>
  </si>
  <si>
    <t xml:space="preserve">Acid volumetric flow, Qa</t>
  </si>
  <si>
    <t xml:space="preserve">mL/s</t>
  </si>
  <si>
    <t xml:space="preserve">Fixed; the manipulated variable is the base flow Qb.</t>
  </si>
  <si>
    <t xml:space="preserve">Acid concentration, Ca</t>
  </si>
  <si>
    <t xml:space="preserve">mol/L</t>
  </si>
  <si>
    <t xml:space="preserve">Strong acid. Perturbed +/-5% as the disturbance in every comparison run.</t>
  </si>
  <si>
    <t xml:space="preserve">Base concentration, Cb</t>
  </si>
  <si>
    <t xml:space="preserve">Strong base. Ca = Cb here, which places equivalence at Qb = Qa exactly.</t>
  </si>
  <si>
    <t xml:space="preserve">Water equilibrium constant, Kw</t>
  </si>
  <si>
    <t xml:space="preserve">-</t>
  </si>
  <si>
    <t xml:space="preserve">Used in the charge-balance to pH conversion.</t>
  </si>
  <si>
    <t xml:space="preserve">Reactor volume, V</t>
  </si>
  <si>
    <t xml:space="preserve">mL</t>
  </si>
  <si>
    <t xml:space="preserve">Well-mixed assumption; sets the residence time.</t>
  </si>
  <si>
    <t xml:space="preserve">Derived process facts</t>
  </si>
  <si>
    <t xml:space="preserve">Equivalence-point base flow, Qb,eq</t>
  </si>
  <si>
    <t xml:space="preserve">Where the charge balance x = 0, i.e. pH 7. Formula: Qa*Ca/Cb.</t>
  </si>
  <si>
    <t xml:space="preserve">Nominal residence time, V/(Qa+Qb,eq)</t>
  </si>
  <si>
    <t xml:space="preserve">s</t>
  </si>
  <si>
    <t xml:space="preserve">Sets the order of magnitude of the open-loop time constants in sheet 02.</t>
  </si>
  <si>
    <t xml:space="preserve">pH at zero base flow</t>
  </si>
  <si>
    <t xml:space="preserve">Acid-only start condition; matches -log10(Ca) for a strong acid.</t>
  </si>
  <si>
    <t xml:space="preserve">Actuator upper bound, F_max</t>
  </si>
  <si>
    <t xml:space="preserve">Computed as 2x the flow that would hold pH 9, not a magic number. Saturating here is a real constraint in the aggressive runs.</t>
  </si>
  <si>
    <t xml:space="preserve">Schedule lookup filter, tau_f</t>
  </si>
  <si>
    <t xml:space="preserve">Applied only to the pure gain-scheduled controller: the pH used to index the schedule is filtered, the pH used for the control error is not. Comparable to a real transmitter damping setting.</t>
  </si>
  <si>
    <t xml:space="preserve">Comparison scenario (identical for every controller)</t>
  </si>
  <si>
    <t xml:space="preserve">Event</t>
  </si>
  <si>
    <t xml:space="preserve">Time (s)</t>
  </si>
  <si>
    <t xml:space="preserve">Setpoint change</t>
  </si>
  <si>
    <t xml:space="preserve">pH setpoint</t>
  </si>
  <si>
    <t xml:space="preserve">Acid conc. disturbance</t>
  </si>
  <si>
    <t xml:space="preserve">Multiplier applied to Ca (unmeasured load disturbance)</t>
  </si>
  <si>
    <t xml:space="preserve">Simulation end / samples</t>
  </si>
  <si>
    <t xml:space="preserve">Sample count chosen so dt stays well below the fastest regional dynamics.</t>
  </si>
  <si>
    <t xml:space="preserve">FOPDT identification by region</t>
  </si>
  <si>
    <t xml:space="preserve">Two-stage step tests around pH 4, 6 and 9; 63.2%/28.3% fit. These three parameter sets drive every tuning in this workbook.</t>
  </si>
  <si>
    <t xml:space="preserve">Identified parameters</t>
  </si>
  <si>
    <t xml:space="preserve">Region</t>
  </si>
  <si>
    <t xml:space="preserve">Identified at pH</t>
  </si>
  <si>
    <t xml:space="preserve">Step in Qb (%)</t>
  </si>
  <si>
    <t xml:space="preserve">Kp (pH per mL/s)</t>
  </si>
  <si>
    <t xml:space="preserve">tau (s)</t>
  </si>
  <si>
    <t xml:space="preserve">theta (s)</t>
  </si>
  <si>
    <t xml:space="preserve">theta/tau</t>
  </si>
  <si>
    <t xml:space="preserve">Kp / min(Kp)</t>
  </si>
  <si>
    <t xml:space="preserve">Dead-time character</t>
  </si>
  <si>
    <t xml:space="preserve">Acidic</t>
  </si>
  <si>
    <t xml:space="preserve">Near-neutral</t>
  </si>
  <si>
    <t xml:space="preserve">Alkaline</t>
  </si>
  <si>
    <t xml:space="preserve">Average (used for the fixed-gain tunings)</t>
  </si>
  <si>
    <t xml:space="preserve">Nonlinearity metrics (the quantitative case for scheduling)</t>
  </si>
  <si>
    <t xml:space="preserve">Metric</t>
  </si>
  <si>
    <t xml:space="preserve">Interpretation</t>
  </si>
  <si>
    <t xml:space="preserve">Process gain ratio, max(Kp)/min(Kp)</t>
  </si>
  <si>
    <t xml:space="preserve">A single fixed gain must be safe at the highest-gain operating point, so it is that many times too sluggish at the lowest.</t>
  </si>
  <si>
    <t xml:space="preserve">Time constant ratio, max/min</t>
  </si>
  <si>
    <t xml:space="preserve">The dynamics move too, not only the DC gain. This is why gain-only scheduling cannot recover full performance.</t>
  </si>
  <si>
    <t xml:space="preserve">Dead time ratio, max/min</t>
  </si>
  <si>
    <t xml:space="preserve">Dead-time variation directly changes the achievable bandwidth region to region.</t>
  </si>
  <si>
    <t xml:space="preserve">Averaged Kp vs near-neutral Kp</t>
  </si>
  <si>
    <t xml:space="preserve">How badly the averaged model under-states the gain exactly where the process is hardest to control.</t>
  </si>
  <si>
    <t xml:space="preserve">Frequency-domain limits per region (from sheet 06)</t>
  </si>
  <si>
    <t xml:space="preserve">Ultimate gain Ku</t>
  </si>
  <si>
    <t xml:space="preserve">Ultimate period Pu (s)</t>
  </si>
  <si>
    <t xml:space="preserve">Comment</t>
  </si>
  <si>
    <t xml:space="preserve">Averaged model</t>
  </si>
  <si>
    <t xml:space="preserve">Controller tunings — derived live from sheet 02</t>
  </si>
  <si>
    <t xml:space="preserve">Every value below is a formula on the identified FOPDT parameters, so the design is reproducible rather than transcribed.</t>
  </si>
  <si>
    <t xml:space="preserve">1. Conventional PI — Ziegler-Nichols open-loop on the AVERAGED model</t>
  </si>
  <si>
    <t xml:space="preserve">Parameter</t>
  </si>
  <si>
    <t xml:space="preserve">Formula used</t>
  </si>
  <si>
    <t xml:space="preserve">Design note</t>
  </si>
  <si>
    <t xml:space="preserve">Proportional gain Kc</t>
  </si>
  <si>
    <t xml:space="preserve">0.9*tau/(Kp*theta)</t>
  </si>
  <si>
    <t xml:space="preserve">mL/s per pH</t>
  </si>
  <si>
    <t xml:space="preserve">One tuning that must remain stable everywhere. Safe by construction, sluggish by consequence.</t>
  </si>
  <si>
    <t xml:space="preserve">Integral time Ti</t>
  </si>
  <si>
    <t xml:space="preserve">3.33*theta</t>
  </si>
  <si>
    <t xml:space="preserve">ZN reaction-curve rule, Table 2 of "Modelling and Designing Controllers for pH Process".</t>
  </si>
  <si>
    <t xml:space="preserve">Derivative time Td</t>
  </si>
  <si>
    <t xml:space="preserve">PI only</t>
  </si>
  <si>
    <t xml:space="preserve">No derivative action: pH measurement noise makes D risky on a real rig.</t>
  </si>
  <si>
    <t xml:space="preserve">2. IMC PI — lambda tuning on the same AVERAGED model</t>
  </si>
  <si>
    <t xml:space="preserve">Closed-loop time constant lambda</t>
  </si>
  <si>
    <t xml:space="preserve">3 * 0.75 * theta</t>
  </si>
  <si>
    <t xml:space="preserve">The single robustness knob. lambda/theta = 2.25 here — a conservative choice; Rivera/Morari suggest lambda &gt; 0.8*theta as the robustness floor.</t>
  </si>
  <si>
    <t xml:space="preserve">(2*tau + theta) / (Kp*(2*lambda + theta))</t>
  </si>
  <si>
    <t xml:space="preserve">Roughly 43% of the ZN gain — the detuning is where the extra robustness comes from.</t>
  </si>
  <si>
    <t xml:space="preserve">tau + theta/20</t>
  </si>
  <si>
    <t xml:space="preserve">Cancels the dominant plant pole of the averaged model.</t>
  </si>
  <si>
    <t xml:space="preserve">Kc(IMC) / Kc(ZN)</t>
  </si>
  <si>
    <t xml:space="preserve">ratio</t>
  </si>
  <si>
    <t xml:space="preserve">The quantitative statement of "IMC is conservative by design".</t>
  </si>
  <si>
    <t xml:space="preserve">3. IMC-scheduled PID — IMC applied per region, then interpolated</t>
  </si>
  <si>
    <t xml:space="preserve">lambda (s)</t>
  </si>
  <si>
    <t xml:space="preserve">Kc</t>
  </si>
  <si>
    <t xml:space="preserve">Ti (s)</t>
  </si>
  <si>
    <t xml:space="preserve">Td (s)</t>
  </si>
  <si>
    <t xml:space="preserve">lambda = 3*theta: relatively aggressive, the acidic region tolerates it.</t>
  </si>
  <si>
    <t xml:space="preserve">lambda = 20*theta: heavily detuned on purpose — this is the steep, low-margin region.</t>
  </si>
  <si>
    <t xml:space="preserve">lambda = 20*theta, with a 2.9 numerator coefficient (notebook uses 2.9 here, not 2.0).</t>
  </si>
  <si>
    <t xml:space="preserve">Kc breakpoints (pH, Kc)</t>
  </si>
  <si>
    <t xml:space="preserve">(0.0, 0.2535);  (5.5, 0.0035);  (7.5, 0.0012);  (8.5, 0.0035);  (9.5, 0.1257);  (14.0, 0.1257)</t>
  </si>
  <si>
    <t xml:space="preserve">Note on the pH 7.5 breakpoint</t>
  </si>
  <si>
    <t xml:space="preserve">Kc is cut to 36% of the near-neutral value at pH 7.5. This is an empirical patch for the steepest part of the titration curve sitting past the pH 6 identification point — i.e. the identification grid is too coarse where the process changes fastest. Worth stating openly as a limitation rather than presenting as design.</t>
  </si>
  <si>
    <t xml:space="preserve">4. Pure gain-scheduled PID — classical, IMC-independent</t>
  </si>
  <si>
    <t xml:space="preserve">Basis</t>
  </si>
  <si>
    <t xml:space="preserve">Reference pH</t>
  </si>
  <si>
    <t xml:space="preserve">chosen</t>
  </si>
  <si>
    <t xml:space="preserve">Schedule is anchored at neutrality and scaled by the inverse process gain elsewhere.</t>
  </si>
  <si>
    <t xml:space="preserve">Reference Kc</t>
  </si>
  <si>
    <t xml:space="preserve">0.2 * Ku (near-neutral)</t>
  </si>
  <si>
    <t xml:space="preserve">Deliberately 0.2*Ku, not the ZN closed-loop 0.6*Ku: 0.6 was tried and is unstable here.</t>
  </si>
  <si>
    <t xml:space="preserve">Reference Ti</t>
  </si>
  <si>
    <t xml:space="preserve">2.0 * Pu (near-neutral)</t>
  </si>
  <si>
    <t xml:space="preserve">Fixed — only Kc is scheduled. This is the design choice the results punish.</t>
  </si>
  <si>
    <t xml:space="preserve">Schedule cap multiple</t>
  </si>
  <si>
    <t xml:space="preserve">x</t>
  </si>
  <si>
    <t xml:space="preserve">Kc is clipped to [Kc_ref/3, Kc_ref*3]. Guards against the unbounded extrapolation Leith &amp; Leithead (2000) warn about.</t>
  </si>
  <si>
    <t xml:space="preserve">Process-gain floor</t>
  </si>
  <si>
    <t xml:space="preserve">5% of max titration slope</t>
  </si>
  <si>
    <t xml:space="preserve">pH per mL/s</t>
  </si>
  <si>
    <t xml:space="preserve">Stops 1/Kp blowing up in the flat regions far from equivalence.</t>
  </si>
  <si>
    <t xml:space="preserve">Side-by-side: what each controller actually applies at the three operating points</t>
  </si>
  <si>
    <t xml:space="preserve">Controller</t>
  </si>
  <si>
    <t xml:space="preserve">Kc @ pH 4</t>
  </si>
  <si>
    <t xml:space="preserve">Kc @ pH 6</t>
  </si>
  <si>
    <t xml:space="preserve">Kc @ pH 9</t>
  </si>
  <si>
    <t xml:space="preserve">Kc spread (max/min)</t>
  </si>
  <si>
    <t xml:space="preserve">Scheduling philosophy</t>
  </si>
  <si>
    <t xml:space="preserve">Conventional PI</t>
  </si>
  <si>
    <t xml:space="preserve">None. One gain, meant to be safe everywhere — in practice it limit-cycles (see 13_Insights).</t>
  </si>
  <si>
    <t xml:space="preserve">IMC PI</t>
  </si>
  <si>
    <t xml:space="preserve">None. One gain, robustness set by lambda.</t>
  </si>
  <si>
    <t xml:space="preserve">IMC-scheduled PID</t>
  </si>
  <si>
    <t xml:space="preserve">Kc, Ti and Td all scheduled — compensates gain AND dynamics.</t>
  </si>
  <si>
    <t xml:space="preserve">Pure gain-scheduled PID</t>
  </si>
  <si>
    <t xml:space="preserve">Kc only, from the titration slope. Ti, Td fixed.</t>
  </si>
  <si>
    <t xml:space="preserve">Ideal shape (Kc proportional to 1/Kp), normalised to pH 6</t>
  </si>
  <si>
    <t xml:space="preserve">RELATIVE shape, not absolute gains — these are Kp(pH6)/Kp(pH) ratios. A schedule that perfectly inverted the process gain would need this ~27x spread. Neither implemented schedule reaches it: the IMC one gets to ~24x, the pure one is capped at 3x by design.</t>
  </si>
  <si>
    <t xml:space="preserve">Titration curve and process gain</t>
  </si>
  <si>
    <t xml:space="preserve">Steady-state pH vs base flow, and the local process gain dPH/dQb the pure gain-scheduled controller reads from.</t>
  </si>
  <si>
    <t xml:space="preserve">Qb (mL/s)</t>
  </si>
  <si>
    <t xml:space="preserve">Steady-state pH</t>
  </si>
  <si>
    <t xml:space="preserve">Raw slope dPH/dQb</t>
  </si>
  <si>
    <t xml:space="preserve">Floored slope Kp(pH)</t>
  </si>
  <si>
    <t xml:space="preserve">Operating window</t>
  </si>
  <si>
    <t xml:space="preserve">Lower pH setpoint</t>
  </si>
  <si>
    <t xml:space="preserve">Upper pH setpoint</t>
  </si>
  <si>
    <t xml:space="preserve">Band top (for edge lines)</t>
  </si>
  <si>
    <t xml:space="preserve">Window outline x</t>
  </si>
  <si>
    <t xml:space="preserve">Window outline y</t>
  </si>
  <si>
    <t xml:space="preserve">Gain schedules on a common pH grid</t>
  </si>
  <si>
    <t xml:space="preserve">Both scheduled controllers evaluated on the same pH axis, so the two philosophies can be overlaid directly.</t>
  </si>
  <si>
    <t xml:space="preserve">pH</t>
  </si>
  <si>
    <t xml:space="preserve">IMC-sched Kc</t>
  </si>
  <si>
    <t xml:space="preserve">IMC-sched Ti (s)</t>
  </si>
  <si>
    <t xml:space="preserve">IMC-sched Td (s)</t>
  </si>
  <si>
    <t xml:space="preserve">Pure-sched Kc</t>
  </si>
  <si>
    <t xml:space="preserve">Conventional Kc (flat)</t>
  </si>
  <si>
    <t xml:space="preserve">IMC PI Kc (flat)</t>
  </si>
  <si>
    <t xml:space="preserve">Read: the IMC-scheduled Kc collapses by two orders of magnitude through the neutral band while the pure schedule only varies within its +/-3x cap. That single difference explains most of the performance gap in sheet 08 — and also why the pure schedule never destabilises.</t>
  </si>
  <si>
    <t xml:space="preserve">Open-loop frequency response by region</t>
  </si>
  <si>
    <t xml:space="preserve">FOPDT with first-order Pade dead time. The near-neutral curve is the binding constraint on any fixed tuning.</t>
  </si>
  <si>
    <t xml:space="preserve">omega (rad/s)</t>
  </si>
  <si>
    <t xml:space="preserve">Acidic |G| (dB)</t>
  </si>
  <si>
    <t xml:space="preserve">Near-neutral |G| (dB)</t>
  </si>
  <si>
    <t xml:space="preserve">Alkaline |G| (dB)</t>
  </si>
  <si>
    <t xml:space="preserve">Acidic phase (deg)</t>
  </si>
  <si>
    <t xml:space="preserve">Near-neutral phase (deg)</t>
  </si>
  <si>
    <t xml:space="preserve">Alkaline phase (deg)</t>
  </si>
  <si>
    <t xml:space="preserve">Closed-loop performance, per setpoint segment</t>
  </si>
  <si>
    <t xml:space="preserve">Identical scenario for all four controllers. Segment 1 is the initial-condition/first-disturbance period, not a setpoint change.</t>
  </si>
  <si>
    <t xml:space="preserve">Segment</t>
  </si>
  <si>
    <t xml:space="preserve">SP transition</t>
  </si>
  <si>
    <t xml:space="preserve">IAE</t>
  </si>
  <si>
    <t xml:space="preserve">ISE</t>
  </si>
  <si>
    <t xml:space="preserve">ITAE</t>
  </si>
  <si>
    <t xml:space="preserve">Overshoot (pH)</t>
  </si>
  <si>
    <t xml:space="preserve">Settling time (s)</t>
  </si>
  <si>
    <t xml:space="preserve">Settled?</t>
  </si>
  <si>
    <t xml:space="preserve">7.00 -&gt; 7.00</t>
  </si>
  <si>
    <t xml:space="preserve">7.00 -&gt; 8.00</t>
  </si>
  <si>
    <t xml:space="preserve">8.00 -&gt; 7.00</t>
  </si>
  <si>
    <t xml:space="preserve">7.00 -&gt; 6.00</t>
  </si>
  <si>
    <t xml:space="preserve">Settling time uses a 5% band on the new setpoint. "Not settled" = still outside the band when the segment ended. Both fixed-gain controllers fail to settle on every segment of this scenario.</t>
  </si>
  <si>
    <t xml:space="preserve">Controller comparison — headline table</t>
  </si>
  <si>
    <t xml:space="preserve">All values are AVERAGEIF / COUNTIF formulas over 07_Metrics_Step, so this table follows the raw data.</t>
  </si>
  <si>
    <t xml:space="preserve">Mean across all four segments</t>
  </si>
  <si>
    <t xml:space="preserve">Mean IAE</t>
  </si>
  <si>
    <t xml:space="preserve">Mean ISE</t>
  </si>
  <si>
    <t xml:space="preserve">Mean ITAE</t>
  </si>
  <si>
    <t xml:space="preserve">Mean overshoot (pH)</t>
  </si>
  <si>
    <t xml:space="preserve">Worst settling time (s)</t>
  </si>
  <si>
    <t xml:space="preserve">Segments settled</t>
  </si>
  <si>
    <t xml:space="preserve">IAE rank</t>
  </si>
  <si>
    <t xml:space="preserve">vs best IAE</t>
  </si>
  <si>
    <t xml:space="preserve">Mean excluding segment 1 (setpoint tracking only)</t>
  </si>
  <si>
    <t xml:space="preserve">Why both tables: segment 1 carries the +5% acid disturbance at t=20000 s with no setpoint change, so it is a pure regulation test. Including it flatters the scheduled controllers; excluding it isolates tracking. Report both and say which claim rests on which.</t>
  </si>
  <si>
    <t xml:space="preserve">Stability margins — every controller against every region model</t>
  </si>
  <si>
    <t xml:space="preserve">This is plant-model mismatch in the frequency domain: a tuning that is only locally correct is scored against all three identified plants. NOTE: these results had never been generated before.</t>
  </si>
  <si>
    <t xml:space="preserve">Kc applied</t>
  </si>
  <si>
    <t xml:space="preserve">Gain margin (dB)</t>
  </si>
  <si>
    <t xml:space="preserve">Phase margin (deg)</t>
  </si>
  <si>
    <t xml:space="preserve">Verdict</t>
  </si>
  <si>
    <t xml:space="preserve">Design rule of thumb used in the verdict column: GM &gt; 6 dB and PM &gt; 30 deg is the usual minimum; GM &gt; 10 dB and PM &gt; 45 deg is comfortable. Blank gain margin = the loop phase never crosses -180 deg on the Pade-approximated model; treat as "not a real infinity".</t>
  </si>
  <si>
    <t xml:space="preserve">Weakest region per controller</t>
  </si>
  <si>
    <t xml:space="preserve">Min gain margin (dB)</t>
  </si>
  <si>
    <t xml:space="preserve">Min phase margin (deg)</t>
  </si>
  <si>
    <t xml:space="preserve">Weakest region (by PM)</t>
  </si>
  <si>
    <t xml:space="preserve">Robustness to plant-model mismatch</t>
  </si>
  <si>
    <t xml:space="preserve">Same scenario, same tunings, but the true plant constants differ from the ones the controllers were designed on. Degradation columns are live formulas.</t>
  </si>
  <si>
    <t xml:space="preserve">Mean metrics per mismatch case</t>
  </si>
  <si>
    <t xml:space="preserve">Mismatch case</t>
  </si>
  <si>
    <t xml:space="preserve">Worst settling (s)</t>
  </si>
  <si>
    <t xml:space="preserve">IAE change vs nominal</t>
  </si>
  <si>
    <t xml:space="preserve">Nominal (no mismatch)</t>
  </si>
  <si>
    <t xml:space="preserve">Reactor volume +20%</t>
  </si>
  <si>
    <t xml:space="preserve">Reactor volume -20%</t>
  </si>
  <si>
    <t xml:space="preserve">Acid conc. +15%</t>
  </si>
  <si>
    <t xml:space="preserve">Base conc. -15% (reagent weak)</t>
  </si>
  <si>
    <t xml:space="preserve">Combined worst-case</t>
  </si>
  <si>
    <t xml:space="preserve">IAE degradation matrix (% vs each controller's own nominal result)</t>
  </si>
  <si>
    <t xml:space="preserve">Worst controller</t>
  </si>
  <si>
    <t xml:space="preserve">Spread (pp)</t>
  </si>
  <si>
    <t xml:space="preserve">Mean |degradation| across the 5 non-nominal cases</t>
  </si>
  <si>
    <t xml:space="preserve">Lower = less sensitive to plant-model error</t>
  </si>
  <si>
    <t xml:space="preserve">Reading note: a NEGATIVE degradation means the mismatched plant happened to be EASIER to control than the nominal one (e.g. a larger reactor volume slows the process down and flatters a sluggish tuning). It is not evidence of robustness — it is evidence that the mismatch direction matters. Argue from the mean absolute degradation and the worst single case, not from the signed average.</t>
  </si>
  <si>
    <t xml:space="preserve">Robustness runs — per-segment detail</t>
  </si>
  <si>
    <t xml:space="preserve">24 runs (6 mismatch cases x 4 controllers), each scored on the same 4 segments.</t>
  </si>
  <si>
    <t xml:space="preserve">Closed-loop time series</t>
  </si>
  <si>
    <t xml:space="preserve">Downsampled 5:1 from the 8500-sample simulation (1700 rows). Everything needed to rebuild any response plot.</t>
  </si>
  <si>
    <t xml:space="preserve">Setpoint</t>
  </si>
  <si>
    <t xml:space="preserve">pH — Conventional PI</t>
  </si>
  <si>
    <t xml:space="preserve">pH — IMC PI</t>
  </si>
  <si>
    <t xml:space="preserve">pH — IMC-scheduled PID</t>
  </si>
  <si>
    <t xml:space="preserve">pH — Pure gain-scheduled PID</t>
  </si>
  <si>
    <t xml:space="preserve">Qb — Conventional PI</t>
  </si>
  <si>
    <t xml:space="preserve">Qb — IMC PI</t>
  </si>
  <si>
    <t xml:space="preserve">Qb — IMC-scheduled PID</t>
  </si>
  <si>
    <t xml:space="preserve">Qb — Pure gain-scheduled PID</t>
  </si>
  <si>
    <t xml:space="preserve">Derived interpretation</t>
  </si>
  <si>
    <t xml:space="preserve">Every cell here is a formula over the sheets above — it follows the data. The commentary is the part you should rewrite in your own words.</t>
  </si>
  <si>
    <t xml:space="preserve">Scorecard — lower rank is better in every column</t>
  </si>
  <si>
    <t xml:space="preserve">Nominal IAE rank</t>
  </si>
  <si>
    <t xml:space="preserve">Tracking-only IAE rank</t>
  </si>
  <si>
    <t xml:space="preserve">Worst-region PM (deg)</t>
  </si>
  <si>
    <t xml:space="preserve">Mean |IAE degradation|</t>
  </si>
  <si>
    <t xml:space="preserve">Worst-case mean IAE (any mismatch)</t>
  </si>
  <si>
    <t xml:space="preserve">Overall read</t>
  </si>
  <si>
    <t xml:space="preserve">Best value</t>
  </si>
  <si>
    <t xml:space="preserve">Columns B, C, E, F: lower is better. Column D: higher is better.</t>
  </si>
  <si>
    <t xml:space="preserve">Columns E and F disagree on purpose, and that disagreement is the most interesting result in the pack. E says the IMC-scheduled PID is the most mismatch-sensitive controller of the four; F says it is still the best controller under every mismatch case tested. Both are true: a 37% degradation of a small IAE is a smaller absolute penalty than a 7% degradation of a large one.</t>
  </si>
  <si>
    <t xml:space="preserve">Sustained-oscillation diagnostic (quiescent window, t &gt; 130,000 s)</t>
  </si>
  <si>
    <t xml:space="preserve">pH peak-to-peak</t>
  </si>
  <si>
    <t xml:space="preserve">pH min</t>
  </si>
  <si>
    <t xml:space="preserve">pH max</t>
  </si>
  <si>
    <t xml:space="preserve">Approx. period (s)</t>
  </si>
  <si>
    <t xml:space="preserve">Behaviour</t>
  </si>
  <si>
    <t xml:space="preserve">no sustained cycle</t>
  </si>
  <si>
    <t xml:space="preserve">This is the most important caveat in the pack. Both fixed-gain controllers and, to a lesser degree, the pure gain-scheduled controller never converge — they hold a standing oscillation long after the last setpoint change and the last disturbance. Their IAE / ISE / ITAE figures are therefore integrals of a limit cycle, not of a decaying tracking error, so the "5.6x worse than the IMC-scheduled PID" number means "oscillates" rather than "responds more slowly". Only the IMC-scheduled PID actually settles (0.19 pH peak-to-peak, no sustained cycle). Compare the cycle periods against the ultimate periods in 02_FOPDT (Pu = 187 s near-neutral, 660 s acidic): a ~540 s cycle is consistent with the loop repeatedly traversing the steep region, which is exactly what the 1.2 dB / 7.6 deg near-neutral margin predicts.</t>
  </si>
  <si>
    <t xml:space="preserve">Best and worst on each measure</t>
  </si>
  <si>
    <t xml:space="preserve">Measure</t>
  </si>
  <si>
    <t xml:space="preserve">Best</t>
  </si>
  <si>
    <t xml:space="preserve">Worst</t>
  </si>
  <si>
    <t xml:space="preserve">Worst value</t>
  </si>
  <si>
    <t xml:space="preserve">Gap</t>
  </si>
  <si>
    <t xml:space="preserve">Mean IAE (all segments)</t>
  </si>
  <si>
    <t xml:space="preserve">Mean IAE (tracking only)</t>
  </si>
  <si>
    <t xml:space="preserve">Worst-region phase margin (deg)</t>
  </si>
  <si>
    <t xml:space="preserve">What the numbers support, and what they do not</t>
  </si>
  <si>
    <t xml:space="preserve">Claim you can make</t>
  </si>
  <si>
    <t xml:space="preserve">Evidence in this workbook</t>
  </si>
  <si>
    <t xml:space="preserve">Caveat to state</t>
  </si>
  <si>
    <t xml:space="preserve">The process is strongly nonlinear and a single fixed tuning cannot serve it.</t>
  </si>
  <si>
    <t xml:space="preserve">02_FOPDT: Kp spans ~27x, tau ~3.5x, theta ~6x across the three regions.</t>
  </si>
  <si>
    <t xml:space="preserve">The identification is on a simulated plant, so the nonlinearity is exactly as modelled — it is not experimental evidence.</t>
  </si>
  <si>
    <t xml:space="preserve">Scheduling the gain is not enough; the dynamics must be scheduled too.</t>
  </si>
  <si>
    <t xml:space="preserve">The pure gain-scheduled PID (Kc only) is beaten by the IMC-scheduled PID (Kc, Ti, Td) on mean IAE in 08.</t>
  </si>
  <si>
    <t xml:space="preserve">The two also differ in reference tuning aggressiveness, so this is not a clean single-variable comparison. Say so.</t>
  </si>
  <si>
    <t xml:space="preserve">IMC is more conservative than Ziegler-Nichols on the same model.</t>
  </si>
  <si>
    <t xml:space="preserve">03_Tunings: Kc(IMC)/Kc(ZN) ratio; 09_Margins: IMC PI has larger GM and PM in every region.</t>
  </si>
  <si>
    <t xml:space="preserve">The conservatism is set by the lambda choice, which was picked, not derived. A different lambda moves the whole result.</t>
  </si>
  <si>
    <t xml:space="preserve">The near-neutral region is the binding constraint on any fixed tuning.</t>
  </si>
  <si>
    <t xml:space="preserve">02_FOPDT Ku table: near-neutral has the lowest ultimate gain. 09_Margins: Conventional PI drops to ~1 dB / ~8 deg there.</t>
  </si>
  <si>
    <t xml:space="preserve">Based on the Pade-approximated FOPDT model, not the full nonlinear plant.</t>
  </si>
  <si>
    <t xml:space="preserve">Performance and mismatch-sensitivity trade off: the best nominal controller is the MOST sensitive to plant-model error.</t>
  </si>
  <si>
    <t xml:space="preserve">10_Robust_Summary: mean |IAE degradation| is ~37% for the IMC-scheduled PID against ~7% for the Conventional PI, and +92% in the combined worst case. Rank order on nominal IAE is the reverse.</t>
  </si>
  <si>
    <t xml:space="preserve">Do NOT write that the scheduled controller is "more robust" — this data says the opposite in relative terms. The defensible version is the absolute one on the next row.</t>
  </si>
  <si>
    <t xml:space="preserve">Even fully degraded, the IMC-scheduled PID beats the fixed-gain controllers in absolute terms.</t>
  </si>
  <si>
    <t xml:space="preserve">10_Robust_Summary: its worst case (combined, mean IAE 23875) is still below the Conventional PI's BEST case (volume +20%, 66538) and the IMC PI's best (45405).</t>
  </si>
  <si>
    <t xml:space="preserve">This is the claim to lead with. Relative sensitivity is high because its nominal baseline is small — a large percentage of a small number. State both framings or the comparison is misleading.</t>
  </si>
  <si>
    <t xml:space="preserve">The averaged-model tunings do not merely respond slowly — they limit-cycle.</t>
  </si>
  <si>
    <t xml:space="preserve">Oscillation diagnostic above: in the quiescent window (t &gt; 130,000 s) Conventional PI holds 4.8 pH peak-to-peak at ~540 s and IMC PI 3.4 pH at ~526 s, against 0.19 pH and no cycle for the IMC-scheduled PID.</t>
  </si>
  <si>
    <t xml:space="preserve">Do not describe these controllers as "sluggish" or "detuned but stable" — the trace contradicts it. Their error integrals measure oscillation amplitude, so quoting an IAE ratio without saying this overstates a tracking claim.</t>
  </si>
  <si>
    <t xml:space="preserve">Open questions the current results do not answer</t>
  </si>
  <si>
    <t xml:space="preserve">•  No noise. Every run is on a noise-free measurement, which is the condition most favourable to derivative action — and the IMC-scheduled PID is the only controller using Td. Adding realistic pH transmitter noise is the single highest-value extra experiment.</t>
  </si>
  <si>
    <t xml:space="preserve">•  No actuator dynamics or valve rate limit beyond the flow clamp. The aggressive scheduled tunings would be the first to suffer from a real pump.</t>
  </si>
  <si>
    <t xml:space="preserve">•  The comparison scenario visits pH 6-8 only. The acidic and alkaline tunings are never exercised in the headline table, yet the margins table scores them there. Consider a wider setpoint sweep so 08 and 09 test the same thing.</t>
  </si>
  <si>
    <t xml:space="preserve">•  Segment 1 (7.00 -&gt; 7.00) dominates the fixed-gain controllers' mean IAE, which makes the headline gap partly an artefact of the averaging. Both variants are given in sheet 08 — use whichever you can defend, but say which.</t>
  </si>
  <si>
    <t xml:space="preserve">•  The pH 7.5 Kc breakpoint (36% of the near-neutral value) and the 2.9 coefficient in the alkaline IMC gain are hand-adjustments. They should be presented as empirical corrections, not as outcomes of the design method.</t>
  </si>
  <si>
    <t xml:space="preserve">Every chart is linked to the data sheets — change the data and the chart follows.</t>
  </si>
  <si>
    <t xml:space="preserve">Figure insights and literature cross-check</t>
  </si>
  <si>
    <t xml:space="preserve">Written interpretation, not a formula output (unlike 13_Insights) — read each row alongside the matching chart on 14_Charts. Quotes are kept under 15 words and each source is quoted at most once; everything else is paraphrase. Full entries for every citation are in the report's own reference list except where noted.</t>
  </si>
  <si>
    <t xml:space="preserve">#</t>
  </si>
  <si>
    <t xml:space="preserve">Chart (14_Charts)</t>
  </si>
  <si>
    <t xml:space="preserve">What it shows</t>
  </si>
  <si>
    <t xml:space="preserve">Key insight / reading</t>
  </si>
  <si>
    <t xml:space="preserve">Literature cross-check</t>
  </si>
  <si>
    <t xml:space="preserve">Titration curve — the static nonlinearity</t>
  </si>
  <si>
    <t xml:space="preserve">Steady-state pH vs base flow Qb across the full range, with the acidic / near-neutral / alkaline operating windows marked.</t>
  </si>
  <si>
    <t xml:space="preserve">pH moves by several units inside the roughly 4.9-5.1 mL/s window around equivalence (Qb,eq = 5 mL/s, sheet 01_Process) — the single fact every controller in this workbook exists to handle.</t>
  </si>
  <si>
    <t xml:space="preserve">Same curve is the organising figure in Alvarez et al. (2001)'s benchmark and in Kalafatis et al. (1992)'s identification study. Using it as the central figure here matches standard practice in the field rather than being a shortcut.</t>
  </si>
  <si>
    <t xml:space="preserve">phneutralizationprocessasabenchmarkfortestingnonlinearcontrollers.pdf; IDENTIFICATION_AND_ROBUST_CONTROL_OF_pH_IN_A_CSTR_USING_STEP_RESPONSE_DATA_.pdf</t>
  </si>
  <si>
    <t xml:space="preserve">Process gain from the titration slope</t>
  </si>
  <si>
    <t xml:space="preserve">Local process gain dPH/dQb (raw and floored at 5% of its own maximum) plotted against pH, sheet 04_Titration.</t>
  </si>
  <si>
    <t xml:space="preserve">The floored slope spans about 20x: ~246.5 near-neutral against a 12.33 floor elsewhere (sheet 04_Titration). That ratio is the direct, chart-level evidence that no single fixed gain is safe everywhere.</t>
  </si>
  <si>
    <t xml:space="preserve">Hermansson &amp; Syafiie (2015) report a larger figure for pH loops generally. Worth stating in the report why this workbook's number is smaller: the near-neutral identification point is pH 6, not the true equivalence point pH 7, so it understates the worst-case gain rather than contradicting the literature figure.
"the variational range of the gain setting recommendation ... is 100 times greater"</t>
  </si>
  <si>
    <t xml:space="preserve">Hermansson__MPC_of_pH_neutralization_processes_A_review.pdf</t>
  </si>
  <si>
    <t xml:space="preserve">Scheduled Kc vs pH — the two philosophies</t>
  </si>
  <si>
    <t xml:space="preserve">Kc(pH) for both scheduled controllers, IMC-scheduled PID and pure gain-scheduled PID, on a common pH grid, sheet 05_Schedules.</t>
  </si>
  <si>
    <t xml:space="preserve">IMC-scheduled Kc spans ~24.6x across the three anchor points; the pure gain-scheduled controller is capped at 3x by design (sheet 03_Tunings). Neither reaches the ~27.5x an exactly gain-inverting schedule would need.</t>
  </si>
  <si>
    <t xml:space="preserve">Same discrete/interval structure as Holaza et al. (2017)'s multi-PID design. Leith &amp; Leithead (2000) caution that this style of interpolation between operating points is not usually justified on more than convenience grounds.
"the interpolation approaches utilised in conventional gain-scheduling are often rather arbitrary"</t>
  </si>
  <si>
    <t xml:space="preserve">Holaza__A_Novel_Approach_of_Control_Design_of_the_pH_in_the_Neutralization_Reactor.pdf; Survey_of_GainScheduling_Analysis__Design.pdf</t>
  </si>
  <si>
    <t xml:space="preserve">IMC-scheduled Ti and Td vs pH</t>
  </si>
  <si>
    <t xml:space="preserve">Ti and Td schedules alongside Kc for the IMC-scheduled PID, from the same regional Horn/IMC design, sheets 03_Tunings and 05_Schedules.</t>
  </si>
  <si>
    <t xml:space="preserve">Ti and Td move by roughly 3.5x and 6x across regions respectively (time-constant and dead-time ratios, sheet 02_FOPDT) — the reason a gain-only schedule (chart 3, pure GS) cannot fully recover this controller's performance: the dynamics shift with pH, not only the steady-state gain.</t>
  </si>
  <si>
    <t xml:space="preserve">The formula plotted here is Horn et al. (1996)'s alternative IMC filter design. Their own paper states it is only valid where dead time &lt; lambda &lt; time constant — worth checking which of the three regions actually satisfy that window before citing the plotted Td values as trustworthy.</t>
  </si>
  <si>
    <t xml:space="preserve">improvedfilterdesignininternalmodelcontrol.pdf</t>
  </si>
  <si>
    <t xml:space="preserve">Open-loop magnitude by region</t>
  </si>
  <si>
    <t xml:space="preserve">Bode magnitude of the open-loop FOPDT model, one curve per region, sheet 06_Bode.</t>
  </si>
  <si>
    <t xml:space="preserve">Near-neutral has by far the lowest ultimate gain, Ku = 0.142 against 1.77 (acidic) and 3.61 (alkaline) (sheet 02_FOPDT) — the frequency-domain confirmation that near-neutral is the least robust operating point, independent of the time-domain result in chart 7.</t>
  </si>
  <si>
    <t xml:space="preserve">Standard Bode-based gain-margin/phase-margin definitions, following Marlin (2015) — already the report's own cited source for this method.</t>
  </si>
  <si>
    <t xml:space="preserve">Marlin (2015) — course text, no PDF held in the project library</t>
  </si>
  <si>
    <t xml:space="preserve">Open-loop phase by region</t>
  </si>
  <si>
    <t xml:space="preserve">Bode phase of the same three regional models, sheet 06_Bode.</t>
  </si>
  <si>
    <t xml:space="preserve">Near-neutral phase crosses -180 deg at the shortest period, Pu = 187 s, against 660 s (acidic) and 114 s (alkaline) (sheet 02_FOPDT) — the same near-neutral-is-worst story as chart 5, read off a different axis.</t>
  </si>
  <si>
    <t xml:space="preserve">Read margins from this chart cautiously: Rivera et al. (1986) note that frequency-domain margins computed this way, at a single frozen operating point, can still be misleading about the real, time-varying loop.
"... tend to be overly optimistic"</t>
  </si>
  <si>
    <t xml:space="preserve">Internal_model_control_PID_controller_de.pdf</t>
  </si>
  <si>
    <t xml:space="preserve">Closed-loop pH response — all four controllers</t>
  </si>
  <si>
    <t xml:space="preserve">Full pH trace for all four controllers under the standardised comparison scenario, sheet 12_Traces.</t>
  </si>
  <si>
    <t xml:space="preserve">Only the two scheduled controllers converge. Both fixed-gain controllers sustain a visible limit cycle for the entire run (0 of 4 segments settled for either, sheet 08_Metrics_Summary).</t>
  </si>
  <si>
    <t xml:space="preserve">Consistent with the field's near-unanimous verdict that a single fixed gain cannot hold across the pH range; Kambale et al. (2015)'s review reaches the same conclusion surveying other controller families.</t>
  </si>
  <si>
    <t xml:space="preserve">Controllers_used_in_pH_Neutralization_Process_A_Review.pdf</t>
  </si>
  <si>
    <t xml:space="preserve">Closed-loop pH response — scheduled controllers only</t>
  </si>
  <si>
    <t xml:space="preserve">Same trace, rescaled to just the two scheduled controllers so their behaviour is actually visible next to each other, sheet 12_Traces.</t>
  </si>
  <si>
    <t xml:space="preserve">IMC-scheduled PID settles every step; the pure gain-scheduled PID shows its largest overshoot on the step into the alkaline region — consistent with its Kc range being capped at 3x (chart 3) where the true gain ratio is larger.</t>
  </si>
  <si>
    <t xml:space="preserve">Kalafatis et al. (1992) found the near-equivalence region needs disproportionately more detuning for robust stability than a schedule sized for the other regions would supply.
"a much smaller value of lambda ... to guarantee robust stability"</t>
  </si>
  <si>
    <t xml:space="preserve">IDENTIFICATION_AND_ROBUST_CONTROL_OF_pH_IN_A_CSTR_USING_STEP_RESPONSE_DATA_.pdf</t>
  </si>
  <si>
    <t xml:space="preserve">Manipulated variable — base flow Qb</t>
  </si>
  <si>
    <t xml:space="preserve">Base flow Qb over time for all four controllers, sheet 12_Traces.</t>
  </si>
  <si>
    <t xml:space="preserve">Not scored by any metric elsewhere in this workbook. Worth checking by eye whether the pure gain-scheduled controller's Qb trace is visibly more jumpy than the IMC-scheduled one's, since IAE/ISE/ITAE (charts 10 and 13) only score pH error, not control effort.</t>
  </si>
  <si>
    <t xml:space="preserve">This is exactly the comparison Holaza et al. (2017) made when benchmarking gain-scheduling against MPC on the same kind of process.
"the profile of the manipulated variable in the gain scheduling control is more violent"</t>
  </si>
  <si>
    <t xml:space="preserve">Holaza__A_Novel_Approach_of_Control_Design_of_the_pH_in_the_Neutralization_Reactor.pdf</t>
  </si>
  <si>
    <t xml:space="preserve">Mean IAE by controller (all segments vs tracking only)</t>
  </si>
  <si>
    <t xml:space="preserve">Two bars per controller: mean IAE including vs excluding the null first step, sheet 08_Metrics_Summary.</t>
  </si>
  <si>
    <t xml:space="preserve">The ranking is identical either way (IMC-scheduled PID best in both), so it can be reported safely. The absolute IAE still drops for every controller once segment 1 is excluded (e.g. Conventional PI 70,128 -&gt; 65,312; IMC-scheduled PID 12,425 -&gt; 11,681).</t>
  </si>
  <si>
    <t xml:space="preserve">Use caution citing Sharmila &amp; Vidhyanandhan (2016) as a benchmark for a table like this one: their own reported metrics are identical across pH 4, 7 and 11, a known analytical defect rather than a source to cross-check numbers against.</t>
  </si>
  <si>
    <t xml:space="preserve">Modelling_and_Designing_Controllers_for_pH_process.pdf</t>
  </si>
  <si>
    <t xml:space="preserve">Phase margin by controller and region</t>
  </si>
  <si>
    <t xml:space="preserve">Phase margin, each controller scored against each of the three regional models, sheet 09_Margins.</t>
  </si>
  <si>
    <t xml:space="preserve">Conventional PI's near-neutral PM is 7.6 deg (GM 1.2 dB) — barely stable. IMC-scheduled PID shows an undefined/infinite gain margin in every region, which is a Pade-approximation artefact (see 00_README's own caveat), not evidence of unconditional stability.</t>
  </si>
  <si>
    <t xml:space="preserve">Leith &amp; Leithead (2000): a family of frozen-point margins is a fundamentally different object from the actual time-varying closed loop. Good margins here do not, by themselves, prove the scheduled loop is safe as pH actually moves.</t>
  </si>
  <si>
    <t xml:space="preserve">Survey_of_GainScheduling_Analysis__Design.pdf</t>
  </si>
  <si>
    <t xml:space="preserve">IAE change vs nominal, by mismatch case</t>
  </si>
  <si>
    <t xml:space="preserve">Percentage IAE degradation per controller under six plant-model mismatch cases, sheet 10_Robust_Summary.</t>
  </si>
  <si>
    <t xml:space="preserve">Relative degradation and absolute worst-case IAE can rank the controllers differently. Report both together rather than citing whichever framing favours the point being made.</t>
  </si>
  <si>
    <t xml:space="preserve">No external citation needed — this is a methodological point about reading the workbook's own two robustness tables (09_Margins and 10_Robust_Summary) consistently, already flagged in the report as needing both framings.</t>
  </si>
  <si>
    <t xml:space="preserve">Internal — see 10_Robust_Summary</t>
  </si>
  <si>
    <t xml:space="preserve">Mean overshoot by controller</t>
  </si>
  <si>
    <t xml:space="preserve">Mean overshoot in pH units per controller, sheet 08_Metrics_Summary.</t>
  </si>
  <si>
    <t xml:space="preserve">Overshoot ranks the four controllers in the same order as mean IAE (chart 10), in both the all-segments and tracking-only versions. That agreement is worth stating explicitly in the report — it is not guaranteed, since the two measures penalise different things.</t>
  </si>
  <si>
    <t xml:space="preserve">IAE/ISE/ITAE and overshoot are complementary, not interchangeable, performance measures — Marlin (2015), the report's own cited source for these definitions.</t>
  </si>
</sst>
</file>

<file path=xl/styles.xml><?xml version="1.0" encoding="utf-8"?>
<styleSheet xmlns="http://schemas.openxmlformats.org/spreadsheetml/2006/main">
  <numFmts count="16">
    <numFmt numFmtId="164" formatCode="General"/>
    <numFmt numFmtId="165" formatCode="0.0000"/>
    <numFmt numFmtId="166" formatCode="0.000E+00"/>
    <numFmt numFmtId="167" formatCode="0.000"/>
    <numFmt numFmtId="168" formatCode="#,##0"/>
    <numFmt numFmtId="169" formatCode="0.0"/>
    <numFmt numFmtId="170" formatCode="0.00"/>
    <numFmt numFmtId="171" formatCode="0.00\%"/>
    <numFmt numFmtId="172" formatCode="0.00\x"/>
    <numFmt numFmtId="173" formatCode="0.0\x"/>
    <numFmt numFmtId="174" formatCode="0.0%"/>
    <numFmt numFmtId="175" formatCode="0.000000"/>
    <numFmt numFmtId="176" formatCode="0.00E+00"/>
    <numFmt numFmtId="177" formatCode="\+0.0%;\-0.0%;0.0%"/>
    <numFmt numFmtId="178" formatCode="General"/>
    <numFmt numFmtId="179" formatCode="0"/>
  </numFmts>
  <fonts count="25">
    <font>
      <sz val="11"/>
      <color theme="1"/>
      <name val="Calibri"/>
      <family val="2"/>
      <charset val="1"/>
    </font>
    <font>
      <sz val="10"/>
      <name val="Arial"/>
      <family val="0"/>
    </font>
    <font>
      <sz val="10"/>
      <name val="Arial"/>
      <family val="0"/>
    </font>
    <font>
      <sz val="10"/>
      <name val="Arial"/>
      <family val="0"/>
    </font>
    <font>
      <b val="true"/>
      <sz val="14"/>
      <color rgb="FFFFFFFF"/>
      <name val="Arial"/>
      <family val="2"/>
      <charset val="1"/>
    </font>
    <font>
      <i val="true"/>
      <sz val="9"/>
      <color rgb="FF595959"/>
      <name val="Arial"/>
      <family val="2"/>
      <charset val="1"/>
    </font>
    <font>
      <b val="true"/>
      <sz val="11"/>
      <color rgb="FFFFFFFF"/>
      <name val="Arial"/>
      <family val="2"/>
      <charset val="1"/>
    </font>
    <font>
      <b val="true"/>
      <sz val="10"/>
      <color rgb="FFFFFFFF"/>
      <name val="Arial"/>
      <family val="2"/>
      <charset val="1"/>
    </font>
    <font>
      <b val="true"/>
      <sz val="10"/>
      <name val="Arial"/>
      <family val="2"/>
      <charset val="1"/>
    </font>
    <font>
      <sz val="10"/>
      <name val="Arial"/>
      <family val="2"/>
      <charset val="1"/>
    </font>
    <font>
      <b val="true"/>
      <sz val="10"/>
      <name val="Arial"/>
      <family val="0"/>
      <charset val="1"/>
    </font>
    <font>
      <sz val="10"/>
      <name val="Arial"/>
      <family val="0"/>
      <charset val="1"/>
    </font>
    <font>
      <sz val="10"/>
      <color rgb="FF0000FF"/>
      <name val="Arial"/>
      <family val="2"/>
      <charset val="1"/>
    </font>
    <font>
      <sz val="10"/>
      <color rgb="FF000000"/>
      <name val="Arial"/>
      <family val="2"/>
      <charset val="1"/>
    </font>
    <font>
      <sz val="10"/>
      <color rgb="FF008000"/>
      <name val="Arial"/>
      <family val="2"/>
      <charset val="1"/>
    </font>
    <font>
      <sz val="10"/>
      <name val="Arial"/>
      <family val="2"/>
    </font>
    <font>
      <sz val="10"/>
      <color theme="1"/>
      <name val="Arial"/>
      <family val="2"/>
      <charset val="1"/>
    </font>
    <font>
      <b val="true"/>
      <sz val="10"/>
      <color theme="1"/>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sz val="9"/>
      <color rgb="FF595959"/>
      <name val="Arial"/>
      <family val="0"/>
      <charset val="1"/>
    </font>
    <font>
      <b val="true"/>
      <sz val="10"/>
      <color rgb="FFFFFFFF"/>
      <name val="Arial"/>
      <family val="0"/>
      <charset val="1"/>
    </font>
    <font>
      <u val="single"/>
      <sz val="10"/>
      <color rgb="FF1155CC"/>
      <name val="Arial"/>
      <family val="0"/>
      <charset val="1"/>
    </font>
  </fonts>
  <fills count="8">
    <fill>
      <patternFill patternType="none"/>
    </fill>
    <fill>
      <patternFill patternType="gray125"/>
    </fill>
    <fill>
      <patternFill patternType="solid">
        <fgColor rgb="FF1F3864"/>
        <bgColor rgb="FF404040"/>
      </patternFill>
    </fill>
    <fill>
      <patternFill patternType="solid">
        <fgColor rgb="FF2E5C8A"/>
        <bgColor rgb="FF1F77B4"/>
      </patternFill>
    </fill>
    <fill>
      <patternFill patternType="solid">
        <fgColor rgb="FFFFF2CC"/>
        <bgColor rgb="FFFCE4E4"/>
      </patternFill>
    </fill>
    <fill>
      <patternFill patternType="solid">
        <fgColor rgb="FFE2EFDA"/>
        <bgColor rgb="FFFFF2CC"/>
      </patternFill>
    </fill>
    <fill>
      <patternFill patternType="solid">
        <fgColor rgb="FFD9D9D9"/>
        <bgColor rgb="FFE2EFDA"/>
      </patternFill>
    </fill>
    <fill>
      <patternFill patternType="solid">
        <fgColor rgb="FFFCE4E4"/>
        <bgColor rgb="FFFFF2CC"/>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false" indent="1"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1"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71" fontId="12" fillId="0" borderId="1" xfId="0" applyFont="true" applyBorder="true" applyAlignment="true" applyProtection="false">
      <alignment horizontal="center" vertical="bottom" textRotation="0" wrapText="false" indent="0" shrinkToFit="false"/>
      <protection locked="true" hidden="false"/>
    </xf>
    <xf numFmtId="172"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73" fontId="13" fillId="0" borderId="1" xfId="0" applyFont="true" applyBorder="true" applyAlignment="false" applyProtection="false">
      <alignment horizontal="general" vertical="bottom" textRotation="0" wrapText="false" indent="0" shrinkToFit="false"/>
      <protection locked="true" hidden="false"/>
    </xf>
    <xf numFmtId="174" fontId="13"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5" fontId="14"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70" fontId="14" fillId="4" borderId="1"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4" fontId="9" fillId="4" borderId="2" xfId="0" applyFont="true" applyBorder="true" applyAlignment="true" applyProtection="false">
      <alignment horizontal="general" vertical="center" textRotation="0" wrapText="tru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75" fontId="13"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75" fontId="14" fillId="5" borderId="1" xfId="0" applyFont="true" applyBorder="true" applyAlignment="false" applyProtection="false">
      <alignment horizontal="general" vertical="bottom" textRotation="0" wrapText="false" indent="0" shrinkToFit="false"/>
      <protection locked="true" hidden="false"/>
    </xf>
    <xf numFmtId="175" fontId="12" fillId="5" borderId="1" xfId="0" applyFont="true" applyBorder="true" applyAlignment="false" applyProtection="false">
      <alignment horizontal="general" vertical="bottom" textRotation="0" wrapText="false" indent="0" shrinkToFit="false"/>
      <protection locked="true" hidden="false"/>
    </xf>
    <xf numFmtId="173" fontId="13"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true" applyProtection="false">
      <alignment horizontal="general" vertical="center" textRotation="0" wrapText="true" indent="0" shrinkToFit="false"/>
      <protection locked="true" hidden="false"/>
    </xf>
    <xf numFmtId="176"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7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7" fontId="13" fillId="6" borderId="1" xfId="0" applyFont="true" applyBorder="true" applyAlignment="false" applyProtection="false">
      <alignment horizontal="general" vertical="bottom" textRotation="0" wrapText="false" indent="0" shrinkToFit="false"/>
      <protection locked="true" hidden="false"/>
    </xf>
    <xf numFmtId="177"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4" fontId="13"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4" borderId="4" xfId="0" applyFont="true" applyBorder="true" applyAlignment="true" applyProtection="false">
      <alignment horizontal="general" vertical="top" textRotation="0" wrapText="tru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74" fontId="14"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78" fontId="13" fillId="5" borderId="1" xfId="0" applyFont="true" applyBorder="true" applyAlignment="true" applyProtection="false">
      <alignment horizontal="center" vertical="bottom" textRotation="0" wrapText="false" indent="0" shrinkToFit="false"/>
      <protection locked="true" hidden="false"/>
    </xf>
    <xf numFmtId="169" fontId="13" fillId="5" borderId="1" xfId="0" applyFont="true" applyBorder="true" applyAlignment="false" applyProtection="false">
      <alignment horizontal="general" vertical="bottom" textRotation="0" wrapText="false" indent="0" shrinkToFit="false"/>
      <protection locked="true" hidden="false"/>
    </xf>
    <xf numFmtId="168" fontId="13" fillId="5" borderId="1" xfId="0" applyFont="true" applyBorder="true" applyAlignment="false" applyProtection="false">
      <alignment horizontal="general" vertical="bottom" textRotation="0" wrapText="false" indent="0" shrinkToFit="false"/>
      <protection locked="true" hidden="false"/>
    </xf>
    <xf numFmtId="164" fontId="9" fillId="7" borderId="4" xfId="0" applyFont="true" applyBorder="true" applyAlignment="true" applyProtection="false">
      <alignment horizontal="general" vertical="top" textRotation="0" wrapText="true" indent="0" shrinkToFit="false"/>
      <protection locked="true" hidden="false"/>
    </xf>
    <xf numFmtId="176" fontId="13"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21" fillId="2" borderId="0" xfId="0" applyFont="true" applyBorder="true" applyAlignment="true" applyProtection="false">
      <alignment horizontal="general" vertical="center" textRotation="0" wrapText="false" indent="1"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1F77B4"/>
      <rgbColor rgb="FFBFBFBF"/>
      <rgbColor rgb="FF808080"/>
      <rgbColor rgb="FF7F9CBF"/>
      <rgbColor rgb="FFC0504D"/>
      <rgbColor rgb="FFFFF2CC"/>
      <rgbColor rgb="FFCCFFFF"/>
      <rgbColor rgb="FF660066"/>
      <rgbColor rgb="FFED7D31"/>
      <rgbColor rgb="FF1155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9467BD"/>
      <rgbColor rgb="FFA6A6A6"/>
      <rgbColor rgb="FFFCE4E4"/>
      <rgbColor rgb="FF4F81BD"/>
      <rgbColor rgb="FF33CCCC"/>
      <rgbColor rgb="FF9BBB59"/>
      <rgbColor rgb="FFFFCC00"/>
      <rgbColor rgb="FFBF8F00"/>
      <rgbColor rgb="FFFF7F0E"/>
      <rgbColor rgb="FF8064A2"/>
      <rgbColor rgb="FF878787"/>
      <rgbColor rgb="FF1F3864"/>
      <rgbColor rgb="FF2CA02C"/>
      <rgbColor rgb="FF003300"/>
      <rgbColor rgb="FF333300"/>
      <rgbColor rgb="FFD62728"/>
      <rgbColor rgb="FF595959"/>
      <rgbColor rgb="FF2E5C8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Titration curve — the static nonlinearity</a:t>
            </a:r>
          </a:p>
        </c:rich>
      </c:tx>
      <c:overlay val="0"/>
      <c:spPr>
        <a:noFill/>
        <a:ln w="0">
          <a:noFill/>
        </a:ln>
      </c:spPr>
    </c:title>
    <c:autoTitleDeleted val="0"/>
    <c:plotArea>
      <c:scatterChart>
        <c:scatterStyle val="line"/>
        <c:varyColors val="0"/>
        <c:ser>
          <c:idx val="0"/>
          <c:order val="0"/>
          <c:tx>
            <c:strRef>
              <c:f>"pH"</c:f>
              <c:strCache>
                <c:ptCount val="1"/>
                <c:pt idx="0">
                  <c:v>pH</c:v>
                </c:pt>
              </c:strCache>
            </c:strRef>
          </c:tx>
          <c:spPr>
            <a:solidFill>
              <a:srgbClr val="1f77b4"/>
            </a:solidFill>
            <a:ln w="2016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04_Titration!$A$5:$A$1004</c:f>
              <c:numCache>
                <c:formatCode>0.000</c:formatCode>
                <c:ptCount val="1000"/>
                <c:pt idx="0">
                  <c:v>0</c:v>
                </c:pt>
                <c:pt idx="1">
                  <c:v>0.0150075037518759</c:v>
                </c:pt>
                <c:pt idx="2">
                  <c:v>0.0300150075037519</c:v>
                </c:pt>
                <c:pt idx="3">
                  <c:v>0.0450225112556278</c:v>
                </c:pt>
                <c:pt idx="4">
                  <c:v>0.0600300150075038</c:v>
                </c:pt>
                <c:pt idx="5">
                  <c:v>0.0750375187593797</c:v>
                </c:pt>
                <c:pt idx="6">
                  <c:v>0.0900450225112556</c:v>
                </c:pt>
                <c:pt idx="7">
                  <c:v>0.105052526263132</c:v>
                </c:pt>
                <c:pt idx="8">
                  <c:v>0.120060030015008</c:v>
                </c:pt>
                <c:pt idx="9">
                  <c:v>0.135067533766883</c:v>
                </c:pt>
                <c:pt idx="10">
                  <c:v>0.150075037518759</c:v>
                </c:pt>
                <c:pt idx="11">
                  <c:v>0.165082541270635</c:v>
                </c:pt>
                <c:pt idx="12">
                  <c:v>0.180090045022511</c:v>
                </c:pt>
                <c:pt idx="13">
                  <c:v>0.195097548774387</c:v>
                </c:pt>
                <c:pt idx="14">
                  <c:v>0.210105052526263</c:v>
                </c:pt>
                <c:pt idx="15">
                  <c:v>0.225112556278139</c:v>
                </c:pt>
                <c:pt idx="16">
                  <c:v>0.240120060030015</c:v>
                </c:pt>
                <c:pt idx="17">
                  <c:v>0.255127563781891</c:v>
                </c:pt>
                <c:pt idx="18">
                  <c:v>0.270135067533767</c:v>
                </c:pt>
                <c:pt idx="19">
                  <c:v>0.285142571285643</c:v>
                </c:pt>
                <c:pt idx="20">
                  <c:v>0.300150075037519</c:v>
                </c:pt>
                <c:pt idx="21">
                  <c:v>0.315157578789395</c:v>
                </c:pt>
                <c:pt idx="22">
                  <c:v>0.330165082541271</c:v>
                </c:pt>
                <c:pt idx="23">
                  <c:v>0.345172586293147</c:v>
                </c:pt>
                <c:pt idx="24">
                  <c:v>0.360180090045023</c:v>
                </c:pt>
                <c:pt idx="25">
                  <c:v>0.375187593796899</c:v>
                </c:pt>
                <c:pt idx="26">
                  <c:v>0.390195097548774</c:v>
                </c:pt>
                <c:pt idx="27">
                  <c:v>0.40520260130065</c:v>
                </c:pt>
                <c:pt idx="28">
                  <c:v>0.420210105052526</c:v>
                </c:pt>
                <c:pt idx="29">
                  <c:v>0.435217608804402</c:v>
                </c:pt>
                <c:pt idx="30">
                  <c:v>0.450225112556278</c:v>
                </c:pt>
                <c:pt idx="31">
                  <c:v>0.465232616308154</c:v>
                </c:pt>
                <c:pt idx="32">
                  <c:v>0.48024012006003</c:v>
                </c:pt>
                <c:pt idx="33">
                  <c:v>0.495247623811906</c:v>
                </c:pt>
                <c:pt idx="34">
                  <c:v>0.510255127563782</c:v>
                </c:pt>
                <c:pt idx="35">
                  <c:v>0.525262631315658</c:v>
                </c:pt>
                <c:pt idx="36">
                  <c:v>0.540270135067534</c:v>
                </c:pt>
                <c:pt idx="37">
                  <c:v>0.55527763881941</c:v>
                </c:pt>
                <c:pt idx="38">
                  <c:v>0.570285142571286</c:v>
                </c:pt>
                <c:pt idx="39">
                  <c:v>0.585292646323162</c:v>
                </c:pt>
                <c:pt idx="40">
                  <c:v>0.600300150075038</c:v>
                </c:pt>
                <c:pt idx="41">
                  <c:v>0.615307653826913</c:v>
                </c:pt>
                <c:pt idx="42">
                  <c:v>0.630315157578789</c:v>
                </c:pt>
                <c:pt idx="43">
                  <c:v>0.645322661330665</c:v>
                </c:pt>
                <c:pt idx="44">
                  <c:v>0.660330165082541</c:v>
                </c:pt>
                <c:pt idx="45">
                  <c:v>0.675337668834417</c:v>
                </c:pt>
                <c:pt idx="46">
                  <c:v>0.690345172586293</c:v>
                </c:pt>
                <c:pt idx="47">
                  <c:v>0.705352676338169</c:v>
                </c:pt>
                <c:pt idx="48">
                  <c:v>0.720360180090045</c:v>
                </c:pt>
                <c:pt idx="49">
                  <c:v>0.735367683841921</c:v>
                </c:pt>
                <c:pt idx="50">
                  <c:v>0.750375187593797</c:v>
                </c:pt>
                <c:pt idx="51">
                  <c:v>0.765382691345673</c:v>
                </c:pt>
                <c:pt idx="52">
                  <c:v>0.780390195097549</c:v>
                </c:pt>
                <c:pt idx="53">
                  <c:v>0.795397698849425</c:v>
                </c:pt>
                <c:pt idx="54">
                  <c:v>0.810405202601301</c:v>
                </c:pt>
                <c:pt idx="55">
                  <c:v>0.825412706353177</c:v>
                </c:pt>
                <c:pt idx="56">
                  <c:v>0.840420210105053</c:v>
                </c:pt>
                <c:pt idx="57">
                  <c:v>0.855427713856929</c:v>
                </c:pt>
                <c:pt idx="58">
                  <c:v>0.870435217608804</c:v>
                </c:pt>
                <c:pt idx="59">
                  <c:v>0.88544272136068</c:v>
                </c:pt>
                <c:pt idx="60">
                  <c:v>0.900450225112556</c:v>
                </c:pt>
                <c:pt idx="61">
                  <c:v>0.915457728864432</c:v>
                </c:pt>
                <c:pt idx="62">
                  <c:v>0.930465232616308</c:v>
                </c:pt>
                <c:pt idx="63">
                  <c:v>0.945472736368184</c:v>
                </c:pt>
                <c:pt idx="64">
                  <c:v>0.96048024012006</c:v>
                </c:pt>
                <c:pt idx="65">
                  <c:v>0.975487743871936</c:v>
                </c:pt>
                <c:pt idx="66">
                  <c:v>0.990495247623812</c:v>
                </c:pt>
                <c:pt idx="67">
                  <c:v>1.00550275137569</c:v>
                </c:pt>
                <c:pt idx="68">
                  <c:v>1.02051025512756</c:v>
                </c:pt>
                <c:pt idx="69">
                  <c:v>1.03551775887944</c:v>
                </c:pt>
                <c:pt idx="70">
                  <c:v>1.05052526263132</c:v>
                </c:pt>
                <c:pt idx="71">
                  <c:v>1.06553276638319</c:v>
                </c:pt>
                <c:pt idx="72">
                  <c:v>1.08054027013507</c:v>
                </c:pt>
                <c:pt idx="73">
                  <c:v>1.09554777388694</c:v>
                </c:pt>
                <c:pt idx="74">
                  <c:v>1.11055527763882</c:v>
                </c:pt>
                <c:pt idx="75">
                  <c:v>1.1255627813907</c:v>
                </c:pt>
                <c:pt idx="76">
                  <c:v>1.14057028514257</c:v>
                </c:pt>
                <c:pt idx="77">
                  <c:v>1.15557778889445</c:v>
                </c:pt>
                <c:pt idx="78">
                  <c:v>1.17058529264632</c:v>
                </c:pt>
                <c:pt idx="79">
                  <c:v>1.1855927963982</c:v>
                </c:pt>
                <c:pt idx="80">
                  <c:v>1.20060030015008</c:v>
                </c:pt>
                <c:pt idx="81">
                  <c:v>1.21560780390195</c:v>
                </c:pt>
                <c:pt idx="82">
                  <c:v>1.23061530765383</c:v>
                </c:pt>
                <c:pt idx="83">
                  <c:v>1.2456228114057</c:v>
                </c:pt>
                <c:pt idx="84">
                  <c:v>1.26063031515758</c:v>
                </c:pt>
                <c:pt idx="85">
                  <c:v>1.27563781890946</c:v>
                </c:pt>
                <c:pt idx="86">
                  <c:v>1.29064532266133</c:v>
                </c:pt>
                <c:pt idx="87">
                  <c:v>1.30565282641321</c:v>
                </c:pt>
                <c:pt idx="88">
                  <c:v>1.32066033016508</c:v>
                </c:pt>
                <c:pt idx="89">
                  <c:v>1.33566783391696</c:v>
                </c:pt>
                <c:pt idx="90">
                  <c:v>1.35067533766884</c:v>
                </c:pt>
                <c:pt idx="91">
                  <c:v>1.36568284142071</c:v>
                </c:pt>
                <c:pt idx="92">
                  <c:v>1.38069034517259</c:v>
                </c:pt>
                <c:pt idx="93">
                  <c:v>1.39569784892446</c:v>
                </c:pt>
                <c:pt idx="94">
                  <c:v>1.41070535267634</c:v>
                </c:pt>
                <c:pt idx="95">
                  <c:v>1.42571285642821</c:v>
                </c:pt>
                <c:pt idx="96">
                  <c:v>1.44072036018009</c:v>
                </c:pt>
                <c:pt idx="97">
                  <c:v>1.45572786393197</c:v>
                </c:pt>
                <c:pt idx="98">
                  <c:v>1.47073536768384</c:v>
                </c:pt>
                <c:pt idx="99">
                  <c:v>1.48574287143572</c:v>
                </c:pt>
                <c:pt idx="100">
                  <c:v>1.50075037518759</c:v>
                </c:pt>
                <c:pt idx="101">
                  <c:v>1.51575787893947</c:v>
                </c:pt>
                <c:pt idx="102">
                  <c:v>1.53076538269135</c:v>
                </c:pt>
                <c:pt idx="103">
                  <c:v>1.54577288644322</c:v>
                </c:pt>
                <c:pt idx="104">
                  <c:v>1.5607803901951</c:v>
                </c:pt>
                <c:pt idx="105">
                  <c:v>1.57578789394697</c:v>
                </c:pt>
                <c:pt idx="106">
                  <c:v>1.59079539769885</c:v>
                </c:pt>
                <c:pt idx="107">
                  <c:v>1.60580290145073</c:v>
                </c:pt>
                <c:pt idx="108">
                  <c:v>1.6208104052026</c:v>
                </c:pt>
                <c:pt idx="109">
                  <c:v>1.63581790895448</c:v>
                </c:pt>
                <c:pt idx="110">
                  <c:v>1.65082541270635</c:v>
                </c:pt>
                <c:pt idx="111">
                  <c:v>1.66583291645823</c:v>
                </c:pt>
                <c:pt idx="112">
                  <c:v>1.68084042021011</c:v>
                </c:pt>
                <c:pt idx="113">
                  <c:v>1.69584792396198</c:v>
                </c:pt>
                <c:pt idx="114">
                  <c:v>1.71085542771386</c:v>
                </c:pt>
                <c:pt idx="115">
                  <c:v>1.72586293146573</c:v>
                </c:pt>
                <c:pt idx="116">
                  <c:v>1.74087043521761</c:v>
                </c:pt>
                <c:pt idx="117">
                  <c:v>1.75587793896949</c:v>
                </c:pt>
                <c:pt idx="118">
                  <c:v>1.77088544272136</c:v>
                </c:pt>
                <c:pt idx="119">
                  <c:v>1.78589294647324</c:v>
                </c:pt>
                <c:pt idx="120">
                  <c:v>1.80090045022511</c:v>
                </c:pt>
                <c:pt idx="121">
                  <c:v>1.81590795397699</c:v>
                </c:pt>
                <c:pt idx="122">
                  <c:v>1.83091545772886</c:v>
                </c:pt>
                <c:pt idx="123">
                  <c:v>1.84592296148074</c:v>
                </c:pt>
                <c:pt idx="124">
                  <c:v>1.86093046523262</c:v>
                </c:pt>
                <c:pt idx="125">
                  <c:v>1.87593796898449</c:v>
                </c:pt>
                <c:pt idx="126">
                  <c:v>1.89094547273637</c:v>
                </c:pt>
                <c:pt idx="127">
                  <c:v>1.90595297648824</c:v>
                </c:pt>
                <c:pt idx="128">
                  <c:v>1.92096048024012</c:v>
                </c:pt>
                <c:pt idx="129">
                  <c:v>1.935967983992</c:v>
                </c:pt>
                <c:pt idx="130">
                  <c:v>1.95097548774387</c:v>
                </c:pt>
                <c:pt idx="131">
                  <c:v>1.96598299149575</c:v>
                </c:pt>
                <c:pt idx="132">
                  <c:v>1.98099049524762</c:v>
                </c:pt>
                <c:pt idx="133">
                  <c:v>1.9959979989995</c:v>
                </c:pt>
                <c:pt idx="134">
                  <c:v>2.01100550275138</c:v>
                </c:pt>
                <c:pt idx="135">
                  <c:v>2.02601300650325</c:v>
                </c:pt>
                <c:pt idx="136">
                  <c:v>2.04102051025513</c:v>
                </c:pt>
                <c:pt idx="137">
                  <c:v>2.056028014007</c:v>
                </c:pt>
                <c:pt idx="138">
                  <c:v>2.07103551775888</c:v>
                </c:pt>
                <c:pt idx="139">
                  <c:v>2.08604302151076</c:v>
                </c:pt>
                <c:pt idx="140">
                  <c:v>2.10105052526263</c:v>
                </c:pt>
                <c:pt idx="141">
                  <c:v>2.11605802901451</c:v>
                </c:pt>
                <c:pt idx="142">
                  <c:v>2.13106553276638</c:v>
                </c:pt>
                <c:pt idx="143">
                  <c:v>2.14607303651826</c:v>
                </c:pt>
                <c:pt idx="144">
                  <c:v>2.16108054027014</c:v>
                </c:pt>
                <c:pt idx="145">
                  <c:v>2.17608804402201</c:v>
                </c:pt>
                <c:pt idx="146">
                  <c:v>2.19109554777389</c:v>
                </c:pt>
                <c:pt idx="147">
                  <c:v>2.20610305152576</c:v>
                </c:pt>
                <c:pt idx="148">
                  <c:v>2.22111055527764</c:v>
                </c:pt>
                <c:pt idx="149">
                  <c:v>2.23611805902952</c:v>
                </c:pt>
                <c:pt idx="150">
                  <c:v>2.25112556278139</c:v>
                </c:pt>
                <c:pt idx="151">
                  <c:v>2.26613306653327</c:v>
                </c:pt>
                <c:pt idx="152">
                  <c:v>2.28114057028514</c:v>
                </c:pt>
                <c:pt idx="153">
                  <c:v>2.29614807403702</c:v>
                </c:pt>
                <c:pt idx="154">
                  <c:v>2.31115557778889</c:v>
                </c:pt>
                <c:pt idx="155">
                  <c:v>2.32616308154077</c:v>
                </c:pt>
                <c:pt idx="156">
                  <c:v>2.34117058529265</c:v>
                </c:pt>
                <c:pt idx="157">
                  <c:v>2.35617808904452</c:v>
                </c:pt>
                <c:pt idx="158">
                  <c:v>2.3711855927964</c:v>
                </c:pt>
                <c:pt idx="159">
                  <c:v>2.38619309654827</c:v>
                </c:pt>
                <c:pt idx="160">
                  <c:v>2.40120060030015</c:v>
                </c:pt>
                <c:pt idx="161">
                  <c:v>2.41620810405203</c:v>
                </c:pt>
                <c:pt idx="162">
                  <c:v>2.4312156078039</c:v>
                </c:pt>
                <c:pt idx="163">
                  <c:v>2.44622311155578</c:v>
                </c:pt>
                <c:pt idx="164">
                  <c:v>2.46123061530765</c:v>
                </c:pt>
                <c:pt idx="165">
                  <c:v>2.47623811905953</c:v>
                </c:pt>
                <c:pt idx="166">
                  <c:v>2.49124562281141</c:v>
                </c:pt>
                <c:pt idx="167">
                  <c:v>2.50625312656328</c:v>
                </c:pt>
                <c:pt idx="168">
                  <c:v>2.52126063031516</c:v>
                </c:pt>
                <c:pt idx="169">
                  <c:v>2.53626813406703</c:v>
                </c:pt>
                <c:pt idx="170">
                  <c:v>2.55127563781891</c:v>
                </c:pt>
                <c:pt idx="171">
                  <c:v>2.56628314157079</c:v>
                </c:pt>
                <c:pt idx="172">
                  <c:v>2.58129064532266</c:v>
                </c:pt>
                <c:pt idx="173">
                  <c:v>2.59629814907454</c:v>
                </c:pt>
                <c:pt idx="174">
                  <c:v>2.61130565282641</c:v>
                </c:pt>
                <c:pt idx="175">
                  <c:v>2.62631315657829</c:v>
                </c:pt>
                <c:pt idx="176">
                  <c:v>2.64132066033017</c:v>
                </c:pt>
                <c:pt idx="177">
                  <c:v>2.65632816408204</c:v>
                </c:pt>
                <c:pt idx="178">
                  <c:v>2.67133566783392</c:v>
                </c:pt>
                <c:pt idx="179">
                  <c:v>2.68634317158579</c:v>
                </c:pt>
                <c:pt idx="180">
                  <c:v>2.70135067533767</c:v>
                </c:pt>
                <c:pt idx="181">
                  <c:v>2.71635817908955</c:v>
                </c:pt>
                <c:pt idx="182">
                  <c:v>2.73136568284142</c:v>
                </c:pt>
                <c:pt idx="183">
                  <c:v>2.7463731865933</c:v>
                </c:pt>
                <c:pt idx="184">
                  <c:v>2.76138069034517</c:v>
                </c:pt>
                <c:pt idx="185">
                  <c:v>2.77638819409705</c:v>
                </c:pt>
                <c:pt idx="186">
                  <c:v>2.79139569784892</c:v>
                </c:pt>
                <c:pt idx="187">
                  <c:v>2.8064032016008</c:v>
                </c:pt>
                <c:pt idx="188">
                  <c:v>2.82141070535268</c:v>
                </c:pt>
                <c:pt idx="189">
                  <c:v>2.83641820910455</c:v>
                </c:pt>
                <c:pt idx="190">
                  <c:v>2.85142571285643</c:v>
                </c:pt>
                <c:pt idx="191">
                  <c:v>2.8664332166083</c:v>
                </c:pt>
                <c:pt idx="192">
                  <c:v>2.88144072036018</c:v>
                </c:pt>
                <c:pt idx="193">
                  <c:v>2.89644822411206</c:v>
                </c:pt>
                <c:pt idx="194">
                  <c:v>2.91145572786393</c:v>
                </c:pt>
                <c:pt idx="195">
                  <c:v>2.92646323161581</c:v>
                </c:pt>
                <c:pt idx="196">
                  <c:v>2.94147073536768</c:v>
                </c:pt>
                <c:pt idx="197">
                  <c:v>2.95647823911956</c:v>
                </c:pt>
                <c:pt idx="198">
                  <c:v>2.97148574287144</c:v>
                </c:pt>
                <c:pt idx="199">
                  <c:v>2.98649324662331</c:v>
                </c:pt>
                <c:pt idx="200">
                  <c:v>3.00150075037519</c:v>
                </c:pt>
                <c:pt idx="201">
                  <c:v>3.01650825412706</c:v>
                </c:pt>
                <c:pt idx="202">
                  <c:v>3.03151575787894</c:v>
                </c:pt>
                <c:pt idx="203">
                  <c:v>3.04652326163082</c:v>
                </c:pt>
                <c:pt idx="204">
                  <c:v>3.06153076538269</c:v>
                </c:pt>
                <c:pt idx="205">
                  <c:v>3.07653826913457</c:v>
                </c:pt>
                <c:pt idx="206">
                  <c:v>3.09154577288644</c:v>
                </c:pt>
                <c:pt idx="207">
                  <c:v>3.10655327663832</c:v>
                </c:pt>
                <c:pt idx="208">
                  <c:v>3.1215607803902</c:v>
                </c:pt>
                <c:pt idx="209">
                  <c:v>3.13656828414207</c:v>
                </c:pt>
                <c:pt idx="210">
                  <c:v>3.15157578789395</c:v>
                </c:pt>
                <c:pt idx="211">
                  <c:v>3.16658329164582</c:v>
                </c:pt>
                <c:pt idx="212">
                  <c:v>3.1815907953977</c:v>
                </c:pt>
                <c:pt idx="213">
                  <c:v>3.19659829914958</c:v>
                </c:pt>
                <c:pt idx="214">
                  <c:v>3.21160580290145</c:v>
                </c:pt>
                <c:pt idx="215">
                  <c:v>3.22661330665333</c:v>
                </c:pt>
                <c:pt idx="216">
                  <c:v>3.2416208104052</c:v>
                </c:pt>
                <c:pt idx="217">
                  <c:v>3.25662831415708</c:v>
                </c:pt>
                <c:pt idx="218">
                  <c:v>3.27163581790896</c:v>
                </c:pt>
                <c:pt idx="219">
                  <c:v>3.28664332166083</c:v>
                </c:pt>
                <c:pt idx="220">
                  <c:v>3.30165082541271</c:v>
                </c:pt>
                <c:pt idx="221">
                  <c:v>3.31665832916458</c:v>
                </c:pt>
                <c:pt idx="222">
                  <c:v>3.33166583291646</c:v>
                </c:pt>
                <c:pt idx="223">
                  <c:v>3.34667333666833</c:v>
                </c:pt>
                <c:pt idx="224">
                  <c:v>3.36168084042021</c:v>
                </c:pt>
                <c:pt idx="225">
                  <c:v>3.37668834417209</c:v>
                </c:pt>
                <c:pt idx="226">
                  <c:v>3.39169584792396</c:v>
                </c:pt>
                <c:pt idx="227">
                  <c:v>3.40670335167584</c:v>
                </c:pt>
                <c:pt idx="228">
                  <c:v>3.42171085542771</c:v>
                </c:pt>
                <c:pt idx="229">
                  <c:v>3.43671835917959</c:v>
                </c:pt>
                <c:pt idx="230">
                  <c:v>3.45172586293147</c:v>
                </c:pt>
                <c:pt idx="231">
                  <c:v>3.46673336668334</c:v>
                </c:pt>
                <c:pt idx="232">
                  <c:v>3.48174087043522</c:v>
                </c:pt>
                <c:pt idx="233">
                  <c:v>3.49674837418709</c:v>
                </c:pt>
                <c:pt idx="234">
                  <c:v>3.51175587793897</c:v>
                </c:pt>
                <c:pt idx="235">
                  <c:v>3.52676338169085</c:v>
                </c:pt>
                <c:pt idx="236">
                  <c:v>3.54177088544272</c:v>
                </c:pt>
                <c:pt idx="237">
                  <c:v>3.5567783891946</c:v>
                </c:pt>
                <c:pt idx="238">
                  <c:v>3.57178589294647</c:v>
                </c:pt>
                <c:pt idx="239">
                  <c:v>3.58679339669835</c:v>
                </c:pt>
                <c:pt idx="240">
                  <c:v>3.60180090045023</c:v>
                </c:pt>
                <c:pt idx="241">
                  <c:v>3.6168084042021</c:v>
                </c:pt>
                <c:pt idx="242">
                  <c:v>3.63181590795398</c:v>
                </c:pt>
                <c:pt idx="243">
                  <c:v>3.64682341170585</c:v>
                </c:pt>
                <c:pt idx="244">
                  <c:v>3.66183091545773</c:v>
                </c:pt>
                <c:pt idx="245">
                  <c:v>3.67683841920961</c:v>
                </c:pt>
                <c:pt idx="246">
                  <c:v>3.69184592296148</c:v>
                </c:pt>
                <c:pt idx="247">
                  <c:v>3.70685342671336</c:v>
                </c:pt>
                <c:pt idx="248">
                  <c:v>3.72186093046523</c:v>
                </c:pt>
                <c:pt idx="249">
                  <c:v>3.73686843421711</c:v>
                </c:pt>
                <c:pt idx="250">
                  <c:v>3.75187593796899</c:v>
                </c:pt>
                <c:pt idx="251">
                  <c:v>3.76688344172086</c:v>
                </c:pt>
                <c:pt idx="252">
                  <c:v>3.78189094547274</c:v>
                </c:pt>
                <c:pt idx="253">
                  <c:v>3.79689844922461</c:v>
                </c:pt>
                <c:pt idx="254">
                  <c:v>3.81190595297649</c:v>
                </c:pt>
                <c:pt idx="255">
                  <c:v>3.82691345672836</c:v>
                </c:pt>
                <c:pt idx="256">
                  <c:v>3.84192096048024</c:v>
                </c:pt>
                <c:pt idx="257">
                  <c:v>3.85692846423212</c:v>
                </c:pt>
                <c:pt idx="258">
                  <c:v>3.87193596798399</c:v>
                </c:pt>
                <c:pt idx="259">
                  <c:v>3.88694347173587</c:v>
                </c:pt>
                <c:pt idx="260">
                  <c:v>3.90195097548774</c:v>
                </c:pt>
                <c:pt idx="261">
                  <c:v>3.91695847923962</c:v>
                </c:pt>
                <c:pt idx="262">
                  <c:v>3.9319659829915</c:v>
                </c:pt>
                <c:pt idx="263">
                  <c:v>3.94697348674337</c:v>
                </c:pt>
                <c:pt idx="264">
                  <c:v>3.96198099049525</c:v>
                </c:pt>
                <c:pt idx="265">
                  <c:v>3.97698849424712</c:v>
                </c:pt>
                <c:pt idx="266">
                  <c:v>3.991995997999</c:v>
                </c:pt>
                <c:pt idx="267">
                  <c:v>4.00700350175088</c:v>
                </c:pt>
                <c:pt idx="268">
                  <c:v>4.02201100550275</c:v>
                </c:pt>
                <c:pt idx="269">
                  <c:v>4.03701850925463</c:v>
                </c:pt>
                <c:pt idx="270">
                  <c:v>4.0520260130065</c:v>
                </c:pt>
                <c:pt idx="271">
                  <c:v>4.06703351675838</c:v>
                </c:pt>
                <c:pt idx="272">
                  <c:v>4.08204102051026</c:v>
                </c:pt>
                <c:pt idx="273">
                  <c:v>4.09704852426213</c:v>
                </c:pt>
                <c:pt idx="274">
                  <c:v>4.11205602801401</c:v>
                </c:pt>
                <c:pt idx="275">
                  <c:v>4.12706353176588</c:v>
                </c:pt>
                <c:pt idx="276">
                  <c:v>4.14207103551776</c:v>
                </c:pt>
                <c:pt idx="277">
                  <c:v>4.15707853926964</c:v>
                </c:pt>
                <c:pt idx="278">
                  <c:v>4.17208604302151</c:v>
                </c:pt>
                <c:pt idx="279">
                  <c:v>4.18709354677339</c:v>
                </c:pt>
                <c:pt idx="280">
                  <c:v>4.20210105052526</c:v>
                </c:pt>
                <c:pt idx="281">
                  <c:v>4.21710855427714</c:v>
                </c:pt>
                <c:pt idx="282">
                  <c:v>4.23211605802902</c:v>
                </c:pt>
                <c:pt idx="283">
                  <c:v>4.24712356178089</c:v>
                </c:pt>
                <c:pt idx="284">
                  <c:v>4.26213106553277</c:v>
                </c:pt>
                <c:pt idx="285">
                  <c:v>4.27713856928464</c:v>
                </c:pt>
                <c:pt idx="286">
                  <c:v>4.29214607303652</c:v>
                </c:pt>
                <c:pt idx="287">
                  <c:v>4.30715357678839</c:v>
                </c:pt>
                <c:pt idx="288">
                  <c:v>4.32216108054027</c:v>
                </c:pt>
                <c:pt idx="289">
                  <c:v>4.33716858429215</c:v>
                </c:pt>
                <c:pt idx="290">
                  <c:v>4.35217608804402</c:v>
                </c:pt>
                <c:pt idx="291">
                  <c:v>4.3671835917959</c:v>
                </c:pt>
                <c:pt idx="292">
                  <c:v>4.38219109554777</c:v>
                </c:pt>
                <c:pt idx="293">
                  <c:v>4.39719859929965</c:v>
                </c:pt>
                <c:pt idx="294">
                  <c:v>4.41220610305153</c:v>
                </c:pt>
                <c:pt idx="295">
                  <c:v>4.4272136068034</c:v>
                </c:pt>
                <c:pt idx="296">
                  <c:v>4.44222111055528</c:v>
                </c:pt>
                <c:pt idx="297">
                  <c:v>4.45722861430715</c:v>
                </c:pt>
                <c:pt idx="298">
                  <c:v>4.47223611805903</c:v>
                </c:pt>
                <c:pt idx="299">
                  <c:v>4.48724362181091</c:v>
                </c:pt>
                <c:pt idx="300">
                  <c:v>4.50225112556278</c:v>
                </c:pt>
                <c:pt idx="301">
                  <c:v>4.51725862931466</c:v>
                </c:pt>
                <c:pt idx="302">
                  <c:v>4.53226613306653</c:v>
                </c:pt>
                <c:pt idx="303">
                  <c:v>4.54727363681841</c:v>
                </c:pt>
                <c:pt idx="304">
                  <c:v>4.56228114057029</c:v>
                </c:pt>
                <c:pt idx="305">
                  <c:v>4.57728864432216</c:v>
                </c:pt>
                <c:pt idx="306">
                  <c:v>4.59229614807404</c:v>
                </c:pt>
                <c:pt idx="307">
                  <c:v>4.60730365182591</c:v>
                </c:pt>
                <c:pt idx="308">
                  <c:v>4.62231115557779</c:v>
                </c:pt>
                <c:pt idx="309">
                  <c:v>4.63731865932967</c:v>
                </c:pt>
                <c:pt idx="310">
                  <c:v>4.65232616308154</c:v>
                </c:pt>
                <c:pt idx="311">
                  <c:v>4.66733366683342</c:v>
                </c:pt>
                <c:pt idx="312">
                  <c:v>4.68234117058529</c:v>
                </c:pt>
                <c:pt idx="313">
                  <c:v>4.69734867433717</c:v>
                </c:pt>
                <c:pt idx="314">
                  <c:v>4.71235617808905</c:v>
                </c:pt>
                <c:pt idx="315">
                  <c:v>4.72736368184092</c:v>
                </c:pt>
                <c:pt idx="316">
                  <c:v>4.7423711855928</c:v>
                </c:pt>
                <c:pt idx="317">
                  <c:v>4.75737868934467</c:v>
                </c:pt>
                <c:pt idx="318">
                  <c:v>4.77238619309655</c:v>
                </c:pt>
                <c:pt idx="319">
                  <c:v>4.78739369684842</c:v>
                </c:pt>
                <c:pt idx="320">
                  <c:v>4.8024012006003</c:v>
                </c:pt>
                <c:pt idx="321">
                  <c:v>4.81740870435218</c:v>
                </c:pt>
                <c:pt idx="322">
                  <c:v>4.83241620810405</c:v>
                </c:pt>
                <c:pt idx="323">
                  <c:v>4.84742371185593</c:v>
                </c:pt>
                <c:pt idx="324">
                  <c:v>4.8624312156078</c:v>
                </c:pt>
                <c:pt idx="325">
                  <c:v>4.87743871935968</c:v>
                </c:pt>
                <c:pt idx="326">
                  <c:v>4.89244622311156</c:v>
                </c:pt>
                <c:pt idx="327">
                  <c:v>4.90745372686343</c:v>
                </c:pt>
                <c:pt idx="328">
                  <c:v>4.92246123061531</c:v>
                </c:pt>
                <c:pt idx="329">
                  <c:v>4.93746873436718</c:v>
                </c:pt>
                <c:pt idx="330">
                  <c:v>4.95247623811906</c:v>
                </c:pt>
                <c:pt idx="331">
                  <c:v>4.96748374187094</c:v>
                </c:pt>
                <c:pt idx="332">
                  <c:v>4.98249124562281</c:v>
                </c:pt>
                <c:pt idx="333">
                  <c:v>4.99749874937469</c:v>
                </c:pt>
                <c:pt idx="334">
                  <c:v>5.01250625312656</c:v>
                </c:pt>
                <c:pt idx="335">
                  <c:v>5.02751375687844</c:v>
                </c:pt>
                <c:pt idx="336">
                  <c:v>5.04252126063032</c:v>
                </c:pt>
                <c:pt idx="337">
                  <c:v>5.05752876438219</c:v>
                </c:pt>
                <c:pt idx="338">
                  <c:v>5.07253626813407</c:v>
                </c:pt>
                <c:pt idx="339">
                  <c:v>5.08754377188594</c:v>
                </c:pt>
                <c:pt idx="340">
                  <c:v>5.10255127563782</c:v>
                </c:pt>
                <c:pt idx="341">
                  <c:v>5.1175587793897</c:v>
                </c:pt>
                <c:pt idx="342">
                  <c:v>5.13256628314157</c:v>
                </c:pt>
                <c:pt idx="343">
                  <c:v>5.14757378689345</c:v>
                </c:pt>
                <c:pt idx="344">
                  <c:v>5.16258129064532</c:v>
                </c:pt>
                <c:pt idx="345">
                  <c:v>5.1775887943972</c:v>
                </c:pt>
                <c:pt idx="346">
                  <c:v>5.19259629814907</c:v>
                </c:pt>
                <c:pt idx="347">
                  <c:v>5.20760380190095</c:v>
                </c:pt>
                <c:pt idx="348">
                  <c:v>5.22261130565283</c:v>
                </c:pt>
                <c:pt idx="349">
                  <c:v>5.2376188094047</c:v>
                </c:pt>
                <c:pt idx="350">
                  <c:v>5.25262631315658</c:v>
                </c:pt>
                <c:pt idx="351">
                  <c:v>5.26763381690846</c:v>
                </c:pt>
                <c:pt idx="352">
                  <c:v>5.28264132066033</c:v>
                </c:pt>
                <c:pt idx="353">
                  <c:v>5.29764882441221</c:v>
                </c:pt>
                <c:pt idx="354">
                  <c:v>5.31265632816408</c:v>
                </c:pt>
                <c:pt idx="355">
                  <c:v>5.32766383191596</c:v>
                </c:pt>
                <c:pt idx="356">
                  <c:v>5.34267133566783</c:v>
                </c:pt>
                <c:pt idx="357">
                  <c:v>5.35767883941971</c:v>
                </c:pt>
                <c:pt idx="358">
                  <c:v>5.37268634317159</c:v>
                </c:pt>
                <c:pt idx="359">
                  <c:v>5.38769384692346</c:v>
                </c:pt>
                <c:pt idx="360">
                  <c:v>5.40270135067534</c:v>
                </c:pt>
                <c:pt idx="361">
                  <c:v>5.41770885442721</c:v>
                </c:pt>
                <c:pt idx="362">
                  <c:v>5.43271635817909</c:v>
                </c:pt>
                <c:pt idx="363">
                  <c:v>5.44772386193097</c:v>
                </c:pt>
                <c:pt idx="364">
                  <c:v>5.46273136568284</c:v>
                </c:pt>
                <c:pt idx="365">
                  <c:v>5.47773886943472</c:v>
                </c:pt>
                <c:pt idx="366">
                  <c:v>5.49274637318659</c:v>
                </c:pt>
                <c:pt idx="367">
                  <c:v>5.50775387693847</c:v>
                </c:pt>
                <c:pt idx="368">
                  <c:v>5.52276138069035</c:v>
                </c:pt>
                <c:pt idx="369">
                  <c:v>5.53776888444222</c:v>
                </c:pt>
                <c:pt idx="370">
                  <c:v>5.5527763881941</c:v>
                </c:pt>
                <c:pt idx="371">
                  <c:v>5.56778389194597</c:v>
                </c:pt>
                <c:pt idx="372">
                  <c:v>5.58279139569785</c:v>
                </c:pt>
                <c:pt idx="373">
                  <c:v>5.59779889944973</c:v>
                </c:pt>
                <c:pt idx="374">
                  <c:v>5.6128064032016</c:v>
                </c:pt>
                <c:pt idx="375">
                  <c:v>5.62781390695348</c:v>
                </c:pt>
                <c:pt idx="376">
                  <c:v>5.64282141070535</c:v>
                </c:pt>
                <c:pt idx="377">
                  <c:v>5.65782891445723</c:v>
                </c:pt>
                <c:pt idx="378">
                  <c:v>5.67283641820911</c:v>
                </c:pt>
                <c:pt idx="379">
                  <c:v>5.68784392196098</c:v>
                </c:pt>
                <c:pt idx="380">
                  <c:v>5.70285142571286</c:v>
                </c:pt>
                <c:pt idx="381">
                  <c:v>5.71785892946473</c:v>
                </c:pt>
                <c:pt idx="382">
                  <c:v>5.73286643321661</c:v>
                </c:pt>
                <c:pt idx="383">
                  <c:v>5.74787393696848</c:v>
                </c:pt>
                <c:pt idx="384">
                  <c:v>5.76288144072036</c:v>
                </c:pt>
                <c:pt idx="385">
                  <c:v>5.77788894447224</c:v>
                </c:pt>
                <c:pt idx="386">
                  <c:v>5.79289644822411</c:v>
                </c:pt>
                <c:pt idx="387">
                  <c:v>5.80790395197599</c:v>
                </c:pt>
                <c:pt idx="388">
                  <c:v>5.82291145572786</c:v>
                </c:pt>
                <c:pt idx="389">
                  <c:v>5.83791895947974</c:v>
                </c:pt>
                <c:pt idx="390">
                  <c:v>5.85292646323162</c:v>
                </c:pt>
                <c:pt idx="391">
                  <c:v>5.86793396698349</c:v>
                </c:pt>
                <c:pt idx="392">
                  <c:v>5.88294147073537</c:v>
                </c:pt>
                <c:pt idx="393">
                  <c:v>5.89794897448724</c:v>
                </c:pt>
                <c:pt idx="394">
                  <c:v>5.91295647823912</c:v>
                </c:pt>
                <c:pt idx="395">
                  <c:v>5.927963981991</c:v>
                </c:pt>
                <c:pt idx="396">
                  <c:v>5.94297148574287</c:v>
                </c:pt>
                <c:pt idx="397">
                  <c:v>5.95797898949475</c:v>
                </c:pt>
                <c:pt idx="398">
                  <c:v>5.97298649324662</c:v>
                </c:pt>
                <c:pt idx="399">
                  <c:v>5.9879939969985</c:v>
                </c:pt>
                <c:pt idx="400">
                  <c:v>6.00300150075038</c:v>
                </c:pt>
                <c:pt idx="401">
                  <c:v>6.01800900450225</c:v>
                </c:pt>
                <c:pt idx="402">
                  <c:v>6.03301650825413</c:v>
                </c:pt>
                <c:pt idx="403">
                  <c:v>6.048024012006</c:v>
                </c:pt>
                <c:pt idx="404">
                  <c:v>6.06303151575788</c:v>
                </c:pt>
                <c:pt idx="405">
                  <c:v>6.07803901950976</c:v>
                </c:pt>
                <c:pt idx="406">
                  <c:v>6.09304652326163</c:v>
                </c:pt>
                <c:pt idx="407">
                  <c:v>6.10805402701351</c:v>
                </c:pt>
                <c:pt idx="408">
                  <c:v>6.12306153076538</c:v>
                </c:pt>
                <c:pt idx="409">
                  <c:v>6.13806903451726</c:v>
                </c:pt>
                <c:pt idx="410">
                  <c:v>6.15307653826914</c:v>
                </c:pt>
                <c:pt idx="411">
                  <c:v>6.16808404202101</c:v>
                </c:pt>
                <c:pt idx="412">
                  <c:v>6.18309154577289</c:v>
                </c:pt>
                <c:pt idx="413">
                  <c:v>6.19809904952476</c:v>
                </c:pt>
                <c:pt idx="414">
                  <c:v>6.21310655327664</c:v>
                </c:pt>
                <c:pt idx="415">
                  <c:v>6.22811405702851</c:v>
                </c:pt>
                <c:pt idx="416">
                  <c:v>6.24312156078039</c:v>
                </c:pt>
                <c:pt idx="417">
                  <c:v>6.25812906453227</c:v>
                </c:pt>
                <c:pt idx="418">
                  <c:v>6.27313656828414</c:v>
                </c:pt>
                <c:pt idx="419">
                  <c:v>6.28814407203602</c:v>
                </c:pt>
                <c:pt idx="420">
                  <c:v>6.30315157578789</c:v>
                </c:pt>
                <c:pt idx="421">
                  <c:v>6.31815907953977</c:v>
                </c:pt>
                <c:pt idx="422">
                  <c:v>6.33316658329165</c:v>
                </c:pt>
                <c:pt idx="423">
                  <c:v>6.34817408704352</c:v>
                </c:pt>
                <c:pt idx="424">
                  <c:v>6.3631815907954</c:v>
                </c:pt>
                <c:pt idx="425">
                  <c:v>6.37818909454727</c:v>
                </c:pt>
                <c:pt idx="426">
                  <c:v>6.39319659829915</c:v>
                </c:pt>
                <c:pt idx="427">
                  <c:v>6.40820410205103</c:v>
                </c:pt>
                <c:pt idx="428">
                  <c:v>6.4232116058029</c:v>
                </c:pt>
                <c:pt idx="429">
                  <c:v>6.43821910955478</c:v>
                </c:pt>
                <c:pt idx="430">
                  <c:v>6.45322661330665</c:v>
                </c:pt>
                <c:pt idx="431">
                  <c:v>6.46823411705853</c:v>
                </c:pt>
                <c:pt idx="432">
                  <c:v>6.48324162081041</c:v>
                </c:pt>
                <c:pt idx="433">
                  <c:v>6.49824912456228</c:v>
                </c:pt>
                <c:pt idx="434">
                  <c:v>6.51325662831416</c:v>
                </c:pt>
                <c:pt idx="435">
                  <c:v>6.52826413206603</c:v>
                </c:pt>
                <c:pt idx="436">
                  <c:v>6.54327163581791</c:v>
                </c:pt>
                <c:pt idx="437">
                  <c:v>6.55827913956979</c:v>
                </c:pt>
                <c:pt idx="438">
                  <c:v>6.57328664332166</c:v>
                </c:pt>
                <c:pt idx="439">
                  <c:v>6.58829414707354</c:v>
                </c:pt>
                <c:pt idx="440">
                  <c:v>6.60330165082541</c:v>
                </c:pt>
                <c:pt idx="441">
                  <c:v>6.61830915457729</c:v>
                </c:pt>
                <c:pt idx="442">
                  <c:v>6.63331665832917</c:v>
                </c:pt>
                <c:pt idx="443">
                  <c:v>6.64832416208104</c:v>
                </c:pt>
                <c:pt idx="444">
                  <c:v>6.66333166583292</c:v>
                </c:pt>
                <c:pt idx="445">
                  <c:v>6.67833916958479</c:v>
                </c:pt>
                <c:pt idx="446">
                  <c:v>6.69334667333667</c:v>
                </c:pt>
                <c:pt idx="447">
                  <c:v>6.70835417708855</c:v>
                </c:pt>
                <c:pt idx="448">
                  <c:v>6.72336168084042</c:v>
                </c:pt>
                <c:pt idx="449">
                  <c:v>6.7383691845923</c:v>
                </c:pt>
                <c:pt idx="450">
                  <c:v>6.75337668834417</c:v>
                </c:pt>
                <c:pt idx="451">
                  <c:v>6.76838419209605</c:v>
                </c:pt>
                <c:pt idx="452">
                  <c:v>6.78339169584792</c:v>
                </c:pt>
                <c:pt idx="453">
                  <c:v>6.7983991995998</c:v>
                </c:pt>
                <c:pt idx="454">
                  <c:v>6.81340670335168</c:v>
                </c:pt>
                <c:pt idx="455">
                  <c:v>6.82841420710355</c:v>
                </c:pt>
                <c:pt idx="456">
                  <c:v>6.84342171085543</c:v>
                </c:pt>
                <c:pt idx="457">
                  <c:v>6.8584292146073</c:v>
                </c:pt>
                <c:pt idx="458">
                  <c:v>6.87343671835918</c:v>
                </c:pt>
                <c:pt idx="459">
                  <c:v>6.88844422211106</c:v>
                </c:pt>
                <c:pt idx="460">
                  <c:v>6.90345172586293</c:v>
                </c:pt>
                <c:pt idx="461">
                  <c:v>6.91845922961481</c:v>
                </c:pt>
                <c:pt idx="462">
                  <c:v>6.93346673336668</c:v>
                </c:pt>
                <c:pt idx="463">
                  <c:v>6.94847423711856</c:v>
                </c:pt>
                <c:pt idx="464">
                  <c:v>6.96348174087044</c:v>
                </c:pt>
                <c:pt idx="465">
                  <c:v>6.97848924462231</c:v>
                </c:pt>
                <c:pt idx="466">
                  <c:v>6.99349674837419</c:v>
                </c:pt>
                <c:pt idx="467">
                  <c:v>7.00850425212606</c:v>
                </c:pt>
                <c:pt idx="468">
                  <c:v>7.02351175587794</c:v>
                </c:pt>
                <c:pt idx="469">
                  <c:v>7.03851925962982</c:v>
                </c:pt>
                <c:pt idx="470">
                  <c:v>7.05352676338169</c:v>
                </c:pt>
                <c:pt idx="471">
                  <c:v>7.06853426713357</c:v>
                </c:pt>
                <c:pt idx="472">
                  <c:v>7.08354177088544</c:v>
                </c:pt>
                <c:pt idx="473">
                  <c:v>7.09854927463732</c:v>
                </c:pt>
                <c:pt idx="474">
                  <c:v>7.1135567783892</c:v>
                </c:pt>
                <c:pt idx="475">
                  <c:v>7.12856428214107</c:v>
                </c:pt>
                <c:pt idx="476">
                  <c:v>7.14357178589295</c:v>
                </c:pt>
                <c:pt idx="477">
                  <c:v>7.15857928964482</c:v>
                </c:pt>
                <c:pt idx="478">
                  <c:v>7.1735867933967</c:v>
                </c:pt>
                <c:pt idx="479">
                  <c:v>7.18859429714857</c:v>
                </c:pt>
                <c:pt idx="480">
                  <c:v>7.20360180090045</c:v>
                </c:pt>
                <c:pt idx="481">
                  <c:v>7.21860930465233</c:v>
                </c:pt>
                <c:pt idx="482">
                  <c:v>7.2336168084042</c:v>
                </c:pt>
                <c:pt idx="483">
                  <c:v>7.24862431215608</c:v>
                </c:pt>
                <c:pt idx="484">
                  <c:v>7.26363181590795</c:v>
                </c:pt>
                <c:pt idx="485">
                  <c:v>7.27863931965983</c:v>
                </c:pt>
                <c:pt idx="486">
                  <c:v>7.29364682341171</c:v>
                </c:pt>
                <c:pt idx="487">
                  <c:v>7.30865432716358</c:v>
                </c:pt>
                <c:pt idx="488">
                  <c:v>7.32366183091546</c:v>
                </c:pt>
                <c:pt idx="489">
                  <c:v>7.33866933466733</c:v>
                </c:pt>
                <c:pt idx="490">
                  <c:v>7.35367683841921</c:v>
                </c:pt>
                <c:pt idx="491">
                  <c:v>7.36868434217109</c:v>
                </c:pt>
                <c:pt idx="492">
                  <c:v>7.38369184592296</c:v>
                </c:pt>
                <c:pt idx="493">
                  <c:v>7.39869934967484</c:v>
                </c:pt>
                <c:pt idx="494">
                  <c:v>7.41370685342671</c:v>
                </c:pt>
                <c:pt idx="495">
                  <c:v>7.42871435717859</c:v>
                </c:pt>
                <c:pt idx="496">
                  <c:v>7.44372186093047</c:v>
                </c:pt>
                <c:pt idx="497">
                  <c:v>7.45872936468234</c:v>
                </c:pt>
                <c:pt idx="498">
                  <c:v>7.47373686843422</c:v>
                </c:pt>
                <c:pt idx="499">
                  <c:v>7.48874437218609</c:v>
                </c:pt>
                <c:pt idx="500">
                  <c:v>7.50375187593797</c:v>
                </c:pt>
                <c:pt idx="501">
                  <c:v>7.51875937968985</c:v>
                </c:pt>
                <c:pt idx="502">
                  <c:v>7.53376688344172</c:v>
                </c:pt>
                <c:pt idx="503">
                  <c:v>7.5487743871936</c:v>
                </c:pt>
                <c:pt idx="504">
                  <c:v>7.56378189094547</c:v>
                </c:pt>
                <c:pt idx="505">
                  <c:v>7.57878939469735</c:v>
                </c:pt>
                <c:pt idx="506">
                  <c:v>7.59379689844923</c:v>
                </c:pt>
                <c:pt idx="507">
                  <c:v>7.6088044022011</c:v>
                </c:pt>
                <c:pt idx="508">
                  <c:v>7.62381190595298</c:v>
                </c:pt>
                <c:pt idx="509">
                  <c:v>7.63881940970485</c:v>
                </c:pt>
                <c:pt idx="510">
                  <c:v>7.65382691345673</c:v>
                </c:pt>
                <c:pt idx="511">
                  <c:v>7.66883441720861</c:v>
                </c:pt>
                <c:pt idx="512">
                  <c:v>7.68384192096048</c:v>
                </c:pt>
                <c:pt idx="513">
                  <c:v>7.69884942471236</c:v>
                </c:pt>
                <c:pt idx="514">
                  <c:v>7.71385692846423</c:v>
                </c:pt>
                <c:pt idx="515">
                  <c:v>7.72886443221611</c:v>
                </c:pt>
                <c:pt idx="516">
                  <c:v>7.74387193596798</c:v>
                </c:pt>
                <c:pt idx="517">
                  <c:v>7.75887943971986</c:v>
                </c:pt>
                <c:pt idx="518">
                  <c:v>7.77388694347174</c:v>
                </c:pt>
                <c:pt idx="519">
                  <c:v>7.78889444722361</c:v>
                </c:pt>
                <c:pt idx="520">
                  <c:v>7.80390195097549</c:v>
                </c:pt>
                <c:pt idx="521">
                  <c:v>7.81890945472736</c:v>
                </c:pt>
                <c:pt idx="522">
                  <c:v>7.83391695847924</c:v>
                </c:pt>
                <c:pt idx="523">
                  <c:v>7.84892446223112</c:v>
                </c:pt>
                <c:pt idx="524">
                  <c:v>7.86393196598299</c:v>
                </c:pt>
                <c:pt idx="525">
                  <c:v>7.87893946973487</c:v>
                </c:pt>
                <c:pt idx="526">
                  <c:v>7.89394697348674</c:v>
                </c:pt>
                <c:pt idx="527">
                  <c:v>7.90895447723862</c:v>
                </c:pt>
                <c:pt idx="528">
                  <c:v>7.9239619809905</c:v>
                </c:pt>
                <c:pt idx="529">
                  <c:v>7.93896948474237</c:v>
                </c:pt>
                <c:pt idx="530">
                  <c:v>7.95397698849425</c:v>
                </c:pt>
                <c:pt idx="531">
                  <c:v>7.96898449224612</c:v>
                </c:pt>
                <c:pt idx="532">
                  <c:v>7.983991995998</c:v>
                </c:pt>
                <c:pt idx="533">
                  <c:v>7.99899949974988</c:v>
                </c:pt>
                <c:pt idx="534">
                  <c:v>8.01400700350175</c:v>
                </c:pt>
                <c:pt idx="535">
                  <c:v>8.02901450725363</c:v>
                </c:pt>
                <c:pt idx="536">
                  <c:v>8.0440220110055</c:v>
                </c:pt>
                <c:pt idx="537">
                  <c:v>8.05902951475738</c:v>
                </c:pt>
                <c:pt idx="538">
                  <c:v>8.07403701850926</c:v>
                </c:pt>
                <c:pt idx="539">
                  <c:v>8.08904452226113</c:v>
                </c:pt>
                <c:pt idx="540">
                  <c:v>8.10405202601301</c:v>
                </c:pt>
                <c:pt idx="541">
                  <c:v>8.11905952976488</c:v>
                </c:pt>
                <c:pt idx="542">
                  <c:v>8.13406703351676</c:v>
                </c:pt>
                <c:pt idx="543">
                  <c:v>8.14907453726863</c:v>
                </c:pt>
                <c:pt idx="544">
                  <c:v>8.16408204102051</c:v>
                </c:pt>
                <c:pt idx="545">
                  <c:v>8.17908954477239</c:v>
                </c:pt>
                <c:pt idx="546">
                  <c:v>8.19409704852426</c:v>
                </c:pt>
                <c:pt idx="547">
                  <c:v>8.20910455227614</c:v>
                </c:pt>
                <c:pt idx="548">
                  <c:v>8.22411205602801</c:v>
                </c:pt>
                <c:pt idx="549">
                  <c:v>8.23911955977989</c:v>
                </c:pt>
                <c:pt idx="550">
                  <c:v>8.25412706353177</c:v>
                </c:pt>
                <c:pt idx="551">
                  <c:v>8.26913456728364</c:v>
                </c:pt>
                <c:pt idx="552">
                  <c:v>8.28414207103552</c:v>
                </c:pt>
                <c:pt idx="553">
                  <c:v>8.29914957478739</c:v>
                </c:pt>
                <c:pt idx="554">
                  <c:v>8.31415707853927</c:v>
                </c:pt>
                <c:pt idx="555">
                  <c:v>8.32916458229115</c:v>
                </c:pt>
                <c:pt idx="556">
                  <c:v>8.34417208604302</c:v>
                </c:pt>
                <c:pt idx="557">
                  <c:v>8.3591795897949</c:v>
                </c:pt>
                <c:pt idx="558">
                  <c:v>8.37418709354677</c:v>
                </c:pt>
                <c:pt idx="559">
                  <c:v>8.38919459729865</c:v>
                </c:pt>
                <c:pt idx="560">
                  <c:v>8.40420210105053</c:v>
                </c:pt>
                <c:pt idx="561">
                  <c:v>8.4192096048024</c:v>
                </c:pt>
                <c:pt idx="562">
                  <c:v>8.43421710855428</c:v>
                </c:pt>
                <c:pt idx="563">
                  <c:v>8.44922461230615</c:v>
                </c:pt>
                <c:pt idx="564">
                  <c:v>8.46423211605803</c:v>
                </c:pt>
                <c:pt idx="565">
                  <c:v>8.4792396198099</c:v>
                </c:pt>
                <c:pt idx="566">
                  <c:v>8.49424712356178</c:v>
                </c:pt>
                <c:pt idx="567">
                  <c:v>8.50925462731366</c:v>
                </c:pt>
                <c:pt idx="568">
                  <c:v>8.52426213106553</c:v>
                </c:pt>
                <c:pt idx="569">
                  <c:v>8.53926963481741</c:v>
                </c:pt>
                <c:pt idx="570">
                  <c:v>8.55427713856929</c:v>
                </c:pt>
                <c:pt idx="571">
                  <c:v>8.56928464232116</c:v>
                </c:pt>
                <c:pt idx="572">
                  <c:v>8.58429214607304</c:v>
                </c:pt>
                <c:pt idx="573">
                  <c:v>8.59929964982491</c:v>
                </c:pt>
                <c:pt idx="574">
                  <c:v>8.61430715357679</c:v>
                </c:pt>
                <c:pt idx="575">
                  <c:v>8.62931465732867</c:v>
                </c:pt>
                <c:pt idx="576">
                  <c:v>8.64432216108054</c:v>
                </c:pt>
                <c:pt idx="577">
                  <c:v>8.65932966483242</c:v>
                </c:pt>
                <c:pt idx="578">
                  <c:v>8.67433716858429</c:v>
                </c:pt>
                <c:pt idx="579">
                  <c:v>8.68934467233617</c:v>
                </c:pt>
                <c:pt idx="580">
                  <c:v>8.70435217608804</c:v>
                </c:pt>
                <c:pt idx="581">
                  <c:v>8.71935967983992</c:v>
                </c:pt>
                <c:pt idx="582">
                  <c:v>8.7343671835918</c:v>
                </c:pt>
                <c:pt idx="583">
                  <c:v>8.74937468734367</c:v>
                </c:pt>
                <c:pt idx="584">
                  <c:v>8.76438219109555</c:v>
                </c:pt>
                <c:pt idx="585">
                  <c:v>8.77938969484742</c:v>
                </c:pt>
                <c:pt idx="586">
                  <c:v>8.7943971985993</c:v>
                </c:pt>
                <c:pt idx="587">
                  <c:v>8.80940470235118</c:v>
                </c:pt>
                <c:pt idx="588">
                  <c:v>8.82441220610305</c:v>
                </c:pt>
                <c:pt idx="589">
                  <c:v>8.83941970985493</c:v>
                </c:pt>
                <c:pt idx="590">
                  <c:v>8.85442721360681</c:v>
                </c:pt>
                <c:pt idx="591">
                  <c:v>8.86943471735868</c:v>
                </c:pt>
                <c:pt idx="592">
                  <c:v>8.88444222111056</c:v>
                </c:pt>
                <c:pt idx="593">
                  <c:v>8.89944972486243</c:v>
                </c:pt>
                <c:pt idx="594">
                  <c:v>8.91445722861431</c:v>
                </c:pt>
                <c:pt idx="595">
                  <c:v>8.92946473236618</c:v>
                </c:pt>
                <c:pt idx="596">
                  <c:v>8.94447223611806</c:v>
                </c:pt>
                <c:pt idx="597">
                  <c:v>8.95947973986994</c:v>
                </c:pt>
                <c:pt idx="598">
                  <c:v>8.97448724362181</c:v>
                </c:pt>
                <c:pt idx="599">
                  <c:v>8.98949474737369</c:v>
                </c:pt>
                <c:pt idx="600">
                  <c:v>9.00450225112556</c:v>
                </c:pt>
                <c:pt idx="601">
                  <c:v>9.01950975487744</c:v>
                </c:pt>
                <c:pt idx="602">
                  <c:v>9.03451725862932</c:v>
                </c:pt>
                <c:pt idx="603">
                  <c:v>9.04952476238119</c:v>
                </c:pt>
                <c:pt idx="604">
                  <c:v>9.06453226613307</c:v>
                </c:pt>
                <c:pt idx="605">
                  <c:v>9.07953976988494</c:v>
                </c:pt>
                <c:pt idx="606">
                  <c:v>9.09454727363682</c:v>
                </c:pt>
                <c:pt idx="607">
                  <c:v>9.1095547773887</c:v>
                </c:pt>
                <c:pt idx="608">
                  <c:v>9.12456228114057</c:v>
                </c:pt>
                <c:pt idx="609">
                  <c:v>9.13956978489245</c:v>
                </c:pt>
                <c:pt idx="610">
                  <c:v>9.15457728864432</c:v>
                </c:pt>
                <c:pt idx="611">
                  <c:v>9.1695847923962</c:v>
                </c:pt>
                <c:pt idx="612">
                  <c:v>9.18459229614807</c:v>
                </c:pt>
                <c:pt idx="613">
                  <c:v>9.19959979989995</c:v>
                </c:pt>
                <c:pt idx="614">
                  <c:v>9.21460730365183</c:v>
                </c:pt>
                <c:pt idx="615">
                  <c:v>9.2296148074037</c:v>
                </c:pt>
                <c:pt idx="616">
                  <c:v>9.24462231115558</c:v>
                </c:pt>
                <c:pt idx="617">
                  <c:v>9.25962981490745</c:v>
                </c:pt>
                <c:pt idx="618">
                  <c:v>9.27463731865933</c:v>
                </c:pt>
                <c:pt idx="619">
                  <c:v>9.28964482241121</c:v>
                </c:pt>
                <c:pt idx="620">
                  <c:v>9.30465232616308</c:v>
                </c:pt>
                <c:pt idx="621">
                  <c:v>9.31965982991496</c:v>
                </c:pt>
                <c:pt idx="622">
                  <c:v>9.33466733366683</c:v>
                </c:pt>
                <c:pt idx="623">
                  <c:v>9.34967483741871</c:v>
                </c:pt>
                <c:pt idx="624">
                  <c:v>9.36468234117059</c:v>
                </c:pt>
                <c:pt idx="625">
                  <c:v>9.37968984492246</c:v>
                </c:pt>
                <c:pt idx="626">
                  <c:v>9.39469734867434</c:v>
                </c:pt>
                <c:pt idx="627">
                  <c:v>9.40970485242621</c:v>
                </c:pt>
                <c:pt idx="628">
                  <c:v>9.42471235617809</c:v>
                </c:pt>
                <c:pt idx="629">
                  <c:v>9.43971985992997</c:v>
                </c:pt>
                <c:pt idx="630">
                  <c:v>9.45472736368184</c:v>
                </c:pt>
                <c:pt idx="631">
                  <c:v>9.46973486743372</c:v>
                </c:pt>
                <c:pt idx="632">
                  <c:v>9.48474237118559</c:v>
                </c:pt>
                <c:pt idx="633">
                  <c:v>9.49974987493747</c:v>
                </c:pt>
                <c:pt idx="634">
                  <c:v>9.51475737868934</c:v>
                </c:pt>
                <c:pt idx="635">
                  <c:v>9.52976488244122</c:v>
                </c:pt>
                <c:pt idx="636">
                  <c:v>9.5447723861931</c:v>
                </c:pt>
                <c:pt idx="637">
                  <c:v>9.55977988994497</c:v>
                </c:pt>
                <c:pt idx="638">
                  <c:v>9.57478739369685</c:v>
                </c:pt>
                <c:pt idx="639">
                  <c:v>9.58979489744873</c:v>
                </c:pt>
                <c:pt idx="640">
                  <c:v>9.6048024012006</c:v>
                </c:pt>
                <c:pt idx="641">
                  <c:v>9.61980990495248</c:v>
                </c:pt>
                <c:pt idx="642">
                  <c:v>9.63481740870435</c:v>
                </c:pt>
                <c:pt idx="643">
                  <c:v>9.64982491245623</c:v>
                </c:pt>
                <c:pt idx="644">
                  <c:v>9.66483241620811</c:v>
                </c:pt>
                <c:pt idx="645">
                  <c:v>9.67983991995998</c:v>
                </c:pt>
                <c:pt idx="646">
                  <c:v>9.69484742371186</c:v>
                </c:pt>
                <c:pt idx="647">
                  <c:v>9.70985492746373</c:v>
                </c:pt>
                <c:pt idx="648">
                  <c:v>9.72486243121561</c:v>
                </c:pt>
                <c:pt idx="649">
                  <c:v>9.73986993496748</c:v>
                </c:pt>
                <c:pt idx="650">
                  <c:v>9.75487743871936</c:v>
                </c:pt>
                <c:pt idx="651">
                  <c:v>9.76988494247124</c:v>
                </c:pt>
                <c:pt idx="652">
                  <c:v>9.78489244622311</c:v>
                </c:pt>
                <c:pt idx="653">
                  <c:v>9.79989994997499</c:v>
                </c:pt>
                <c:pt idx="654">
                  <c:v>9.81490745372686</c:v>
                </c:pt>
                <c:pt idx="655">
                  <c:v>9.82991495747874</c:v>
                </c:pt>
                <c:pt idx="656">
                  <c:v>9.84492246123062</c:v>
                </c:pt>
                <c:pt idx="657">
                  <c:v>9.85992996498249</c:v>
                </c:pt>
                <c:pt idx="658">
                  <c:v>9.87493746873437</c:v>
                </c:pt>
                <c:pt idx="659">
                  <c:v>9.88994497248624</c:v>
                </c:pt>
                <c:pt idx="660">
                  <c:v>9.90495247623812</c:v>
                </c:pt>
                <c:pt idx="661">
                  <c:v>9.91995997999</c:v>
                </c:pt>
                <c:pt idx="662">
                  <c:v>9.93496748374187</c:v>
                </c:pt>
                <c:pt idx="663">
                  <c:v>9.94997498749375</c:v>
                </c:pt>
                <c:pt idx="664">
                  <c:v>9.96498249124562</c:v>
                </c:pt>
                <c:pt idx="665">
                  <c:v>9.9799899949975</c:v>
                </c:pt>
                <c:pt idx="666">
                  <c:v>9.99499749874938</c:v>
                </c:pt>
                <c:pt idx="667">
                  <c:v>10.0100050025013</c:v>
                </c:pt>
                <c:pt idx="668">
                  <c:v>10.0250125062531</c:v>
                </c:pt>
                <c:pt idx="669">
                  <c:v>10.040020010005</c:v>
                </c:pt>
                <c:pt idx="670">
                  <c:v>10.0550275137569</c:v>
                </c:pt>
                <c:pt idx="671">
                  <c:v>10.0700350175088</c:v>
                </c:pt>
                <c:pt idx="672">
                  <c:v>10.0850425212606</c:v>
                </c:pt>
                <c:pt idx="673">
                  <c:v>10.1000500250125</c:v>
                </c:pt>
                <c:pt idx="674">
                  <c:v>10.1150575287644</c:v>
                </c:pt>
                <c:pt idx="675">
                  <c:v>10.1300650325163</c:v>
                </c:pt>
                <c:pt idx="676">
                  <c:v>10.1450725362681</c:v>
                </c:pt>
                <c:pt idx="677">
                  <c:v>10.16008004002</c:v>
                </c:pt>
                <c:pt idx="678">
                  <c:v>10.1750875437719</c:v>
                </c:pt>
                <c:pt idx="679">
                  <c:v>10.1900950475238</c:v>
                </c:pt>
                <c:pt idx="680">
                  <c:v>10.2051025512756</c:v>
                </c:pt>
                <c:pt idx="681">
                  <c:v>10.2201100550275</c:v>
                </c:pt>
                <c:pt idx="682">
                  <c:v>10.2351175587794</c:v>
                </c:pt>
                <c:pt idx="683">
                  <c:v>10.2501250625313</c:v>
                </c:pt>
                <c:pt idx="684">
                  <c:v>10.2651325662831</c:v>
                </c:pt>
                <c:pt idx="685">
                  <c:v>10.280140070035</c:v>
                </c:pt>
                <c:pt idx="686">
                  <c:v>10.2951475737869</c:v>
                </c:pt>
                <c:pt idx="687">
                  <c:v>10.3101550775388</c:v>
                </c:pt>
                <c:pt idx="688">
                  <c:v>10.3251625812907</c:v>
                </c:pt>
                <c:pt idx="689">
                  <c:v>10.3401700850425</c:v>
                </c:pt>
                <c:pt idx="690">
                  <c:v>10.3551775887944</c:v>
                </c:pt>
                <c:pt idx="691">
                  <c:v>10.3701850925463</c:v>
                </c:pt>
                <c:pt idx="692">
                  <c:v>10.3851925962982</c:v>
                </c:pt>
                <c:pt idx="693">
                  <c:v>10.40020010005</c:v>
                </c:pt>
                <c:pt idx="694">
                  <c:v>10.4152076038019</c:v>
                </c:pt>
                <c:pt idx="695">
                  <c:v>10.4302151075538</c:v>
                </c:pt>
                <c:pt idx="696">
                  <c:v>10.4452226113057</c:v>
                </c:pt>
                <c:pt idx="697">
                  <c:v>10.4602301150575</c:v>
                </c:pt>
                <c:pt idx="698">
                  <c:v>10.4752376188094</c:v>
                </c:pt>
                <c:pt idx="699">
                  <c:v>10.4902451225613</c:v>
                </c:pt>
                <c:pt idx="700">
                  <c:v>10.5052526263132</c:v>
                </c:pt>
                <c:pt idx="701">
                  <c:v>10.520260130065</c:v>
                </c:pt>
                <c:pt idx="702">
                  <c:v>10.5352676338169</c:v>
                </c:pt>
                <c:pt idx="703">
                  <c:v>10.5502751375688</c:v>
                </c:pt>
                <c:pt idx="704">
                  <c:v>10.5652826413207</c:v>
                </c:pt>
                <c:pt idx="705">
                  <c:v>10.5802901450725</c:v>
                </c:pt>
                <c:pt idx="706">
                  <c:v>10.5952976488244</c:v>
                </c:pt>
                <c:pt idx="707">
                  <c:v>10.6103051525763</c:v>
                </c:pt>
                <c:pt idx="708">
                  <c:v>10.6253126563282</c:v>
                </c:pt>
                <c:pt idx="709">
                  <c:v>10.64032016008</c:v>
                </c:pt>
                <c:pt idx="710">
                  <c:v>10.6553276638319</c:v>
                </c:pt>
                <c:pt idx="711">
                  <c:v>10.6703351675838</c:v>
                </c:pt>
                <c:pt idx="712">
                  <c:v>10.6853426713357</c:v>
                </c:pt>
                <c:pt idx="713">
                  <c:v>10.7003501750875</c:v>
                </c:pt>
                <c:pt idx="714">
                  <c:v>10.7153576788394</c:v>
                </c:pt>
                <c:pt idx="715">
                  <c:v>10.7303651825913</c:v>
                </c:pt>
                <c:pt idx="716">
                  <c:v>10.7453726863432</c:v>
                </c:pt>
                <c:pt idx="717">
                  <c:v>10.7603801900951</c:v>
                </c:pt>
                <c:pt idx="718">
                  <c:v>10.7753876938469</c:v>
                </c:pt>
                <c:pt idx="719">
                  <c:v>10.7903951975988</c:v>
                </c:pt>
                <c:pt idx="720">
                  <c:v>10.8054027013507</c:v>
                </c:pt>
                <c:pt idx="721">
                  <c:v>10.8204102051026</c:v>
                </c:pt>
                <c:pt idx="722">
                  <c:v>10.8354177088544</c:v>
                </c:pt>
                <c:pt idx="723">
                  <c:v>10.8504252126063</c:v>
                </c:pt>
                <c:pt idx="724">
                  <c:v>10.8654327163582</c:v>
                </c:pt>
                <c:pt idx="725">
                  <c:v>10.8804402201101</c:v>
                </c:pt>
                <c:pt idx="726">
                  <c:v>10.8954477238619</c:v>
                </c:pt>
                <c:pt idx="727">
                  <c:v>10.9104552276138</c:v>
                </c:pt>
                <c:pt idx="728">
                  <c:v>10.9254627313657</c:v>
                </c:pt>
                <c:pt idx="729">
                  <c:v>10.9404702351176</c:v>
                </c:pt>
                <c:pt idx="730">
                  <c:v>10.9554777388694</c:v>
                </c:pt>
                <c:pt idx="731">
                  <c:v>10.9704852426213</c:v>
                </c:pt>
                <c:pt idx="732">
                  <c:v>10.9854927463732</c:v>
                </c:pt>
                <c:pt idx="733">
                  <c:v>11.0005002501251</c:v>
                </c:pt>
                <c:pt idx="734">
                  <c:v>11.0155077538769</c:v>
                </c:pt>
                <c:pt idx="735">
                  <c:v>11.0305152576288</c:v>
                </c:pt>
                <c:pt idx="736">
                  <c:v>11.0455227613807</c:v>
                </c:pt>
                <c:pt idx="737">
                  <c:v>11.0605302651326</c:v>
                </c:pt>
                <c:pt idx="738">
                  <c:v>11.0755377688844</c:v>
                </c:pt>
                <c:pt idx="739">
                  <c:v>11.0905452726363</c:v>
                </c:pt>
                <c:pt idx="740">
                  <c:v>11.1055527763882</c:v>
                </c:pt>
                <c:pt idx="741">
                  <c:v>11.1205602801401</c:v>
                </c:pt>
                <c:pt idx="742">
                  <c:v>11.135567783892</c:v>
                </c:pt>
                <c:pt idx="743">
                  <c:v>11.1505752876438</c:v>
                </c:pt>
                <c:pt idx="744">
                  <c:v>11.1655827913957</c:v>
                </c:pt>
                <c:pt idx="745">
                  <c:v>11.1805902951476</c:v>
                </c:pt>
                <c:pt idx="746">
                  <c:v>11.1955977988995</c:v>
                </c:pt>
                <c:pt idx="747">
                  <c:v>11.2106053026513</c:v>
                </c:pt>
                <c:pt idx="748">
                  <c:v>11.2256128064032</c:v>
                </c:pt>
                <c:pt idx="749">
                  <c:v>11.2406203101551</c:v>
                </c:pt>
                <c:pt idx="750">
                  <c:v>11.255627813907</c:v>
                </c:pt>
                <c:pt idx="751">
                  <c:v>11.2706353176588</c:v>
                </c:pt>
                <c:pt idx="752">
                  <c:v>11.2856428214107</c:v>
                </c:pt>
                <c:pt idx="753">
                  <c:v>11.3006503251626</c:v>
                </c:pt>
                <c:pt idx="754">
                  <c:v>11.3156578289145</c:v>
                </c:pt>
                <c:pt idx="755">
                  <c:v>11.3306653326663</c:v>
                </c:pt>
                <c:pt idx="756">
                  <c:v>11.3456728364182</c:v>
                </c:pt>
                <c:pt idx="757">
                  <c:v>11.3606803401701</c:v>
                </c:pt>
                <c:pt idx="758">
                  <c:v>11.375687843922</c:v>
                </c:pt>
                <c:pt idx="759">
                  <c:v>11.3906953476738</c:v>
                </c:pt>
                <c:pt idx="760">
                  <c:v>11.4057028514257</c:v>
                </c:pt>
                <c:pt idx="761">
                  <c:v>11.4207103551776</c:v>
                </c:pt>
                <c:pt idx="762">
                  <c:v>11.4357178589295</c:v>
                </c:pt>
                <c:pt idx="763">
                  <c:v>11.4507253626813</c:v>
                </c:pt>
                <c:pt idx="764">
                  <c:v>11.4657328664332</c:v>
                </c:pt>
                <c:pt idx="765">
                  <c:v>11.4807403701851</c:v>
                </c:pt>
                <c:pt idx="766">
                  <c:v>11.495747873937</c:v>
                </c:pt>
                <c:pt idx="767">
                  <c:v>11.5107553776889</c:v>
                </c:pt>
                <c:pt idx="768">
                  <c:v>11.5257628814407</c:v>
                </c:pt>
                <c:pt idx="769">
                  <c:v>11.5407703851926</c:v>
                </c:pt>
                <c:pt idx="770">
                  <c:v>11.5557778889445</c:v>
                </c:pt>
                <c:pt idx="771">
                  <c:v>11.5707853926964</c:v>
                </c:pt>
                <c:pt idx="772">
                  <c:v>11.5857928964482</c:v>
                </c:pt>
                <c:pt idx="773">
                  <c:v>11.6008004002001</c:v>
                </c:pt>
                <c:pt idx="774">
                  <c:v>11.615807903952</c:v>
                </c:pt>
                <c:pt idx="775">
                  <c:v>11.6308154077039</c:v>
                </c:pt>
                <c:pt idx="776">
                  <c:v>11.6458229114557</c:v>
                </c:pt>
                <c:pt idx="777">
                  <c:v>11.6608304152076</c:v>
                </c:pt>
                <c:pt idx="778">
                  <c:v>11.6758379189595</c:v>
                </c:pt>
                <c:pt idx="779">
                  <c:v>11.6908454227114</c:v>
                </c:pt>
                <c:pt idx="780">
                  <c:v>11.7058529264632</c:v>
                </c:pt>
                <c:pt idx="781">
                  <c:v>11.7208604302151</c:v>
                </c:pt>
                <c:pt idx="782">
                  <c:v>11.735867933967</c:v>
                </c:pt>
                <c:pt idx="783">
                  <c:v>11.7508754377189</c:v>
                </c:pt>
                <c:pt idx="784">
                  <c:v>11.7658829414707</c:v>
                </c:pt>
                <c:pt idx="785">
                  <c:v>11.7808904452226</c:v>
                </c:pt>
                <c:pt idx="786">
                  <c:v>11.7958979489745</c:v>
                </c:pt>
                <c:pt idx="787">
                  <c:v>11.8109054527264</c:v>
                </c:pt>
                <c:pt idx="788">
                  <c:v>11.8259129564782</c:v>
                </c:pt>
                <c:pt idx="789">
                  <c:v>11.8409204602301</c:v>
                </c:pt>
                <c:pt idx="790">
                  <c:v>11.855927963982</c:v>
                </c:pt>
                <c:pt idx="791">
                  <c:v>11.8709354677339</c:v>
                </c:pt>
                <c:pt idx="792">
                  <c:v>11.8859429714857</c:v>
                </c:pt>
                <c:pt idx="793">
                  <c:v>11.9009504752376</c:v>
                </c:pt>
                <c:pt idx="794">
                  <c:v>11.9159579789895</c:v>
                </c:pt>
                <c:pt idx="795">
                  <c:v>11.9309654827414</c:v>
                </c:pt>
                <c:pt idx="796">
                  <c:v>11.9459729864933</c:v>
                </c:pt>
                <c:pt idx="797">
                  <c:v>11.9609804902451</c:v>
                </c:pt>
                <c:pt idx="798">
                  <c:v>11.975987993997</c:v>
                </c:pt>
                <c:pt idx="799">
                  <c:v>11.9909954977489</c:v>
                </c:pt>
                <c:pt idx="800">
                  <c:v>12.0060030015008</c:v>
                </c:pt>
                <c:pt idx="801">
                  <c:v>12.0210105052526</c:v>
                </c:pt>
                <c:pt idx="802">
                  <c:v>12.0360180090045</c:v>
                </c:pt>
                <c:pt idx="803">
                  <c:v>12.0510255127564</c:v>
                </c:pt>
                <c:pt idx="804">
                  <c:v>12.0660330165083</c:v>
                </c:pt>
                <c:pt idx="805">
                  <c:v>12.0810405202601</c:v>
                </c:pt>
                <c:pt idx="806">
                  <c:v>12.096048024012</c:v>
                </c:pt>
                <c:pt idx="807">
                  <c:v>12.1110555277639</c:v>
                </c:pt>
                <c:pt idx="808">
                  <c:v>12.1260630315158</c:v>
                </c:pt>
                <c:pt idx="809">
                  <c:v>12.1410705352676</c:v>
                </c:pt>
                <c:pt idx="810">
                  <c:v>12.1560780390195</c:v>
                </c:pt>
                <c:pt idx="811">
                  <c:v>12.1710855427714</c:v>
                </c:pt>
                <c:pt idx="812">
                  <c:v>12.1860930465233</c:v>
                </c:pt>
                <c:pt idx="813">
                  <c:v>12.2011005502751</c:v>
                </c:pt>
                <c:pt idx="814">
                  <c:v>12.216108054027</c:v>
                </c:pt>
                <c:pt idx="815">
                  <c:v>12.2311155577789</c:v>
                </c:pt>
                <c:pt idx="816">
                  <c:v>12.2461230615308</c:v>
                </c:pt>
                <c:pt idx="817">
                  <c:v>12.2611305652826</c:v>
                </c:pt>
                <c:pt idx="818">
                  <c:v>12.2761380690345</c:v>
                </c:pt>
                <c:pt idx="819">
                  <c:v>12.2911455727864</c:v>
                </c:pt>
                <c:pt idx="820">
                  <c:v>12.3061530765383</c:v>
                </c:pt>
                <c:pt idx="821">
                  <c:v>12.3211605802902</c:v>
                </c:pt>
                <c:pt idx="822">
                  <c:v>12.336168084042</c:v>
                </c:pt>
                <c:pt idx="823">
                  <c:v>12.3511755877939</c:v>
                </c:pt>
                <c:pt idx="824">
                  <c:v>12.3661830915458</c:v>
                </c:pt>
                <c:pt idx="825">
                  <c:v>12.3811905952977</c:v>
                </c:pt>
                <c:pt idx="826">
                  <c:v>12.3961980990495</c:v>
                </c:pt>
                <c:pt idx="827">
                  <c:v>12.4112056028014</c:v>
                </c:pt>
                <c:pt idx="828">
                  <c:v>12.4262131065533</c:v>
                </c:pt>
                <c:pt idx="829">
                  <c:v>12.4412206103052</c:v>
                </c:pt>
                <c:pt idx="830">
                  <c:v>12.456228114057</c:v>
                </c:pt>
                <c:pt idx="831">
                  <c:v>12.4712356178089</c:v>
                </c:pt>
                <c:pt idx="832">
                  <c:v>12.4862431215608</c:v>
                </c:pt>
                <c:pt idx="833">
                  <c:v>12.5012506253127</c:v>
                </c:pt>
                <c:pt idx="834">
                  <c:v>12.5162581290645</c:v>
                </c:pt>
                <c:pt idx="835">
                  <c:v>12.5312656328164</c:v>
                </c:pt>
                <c:pt idx="836">
                  <c:v>12.5462731365683</c:v>
                </c:pt>
                <c:pt idx="837">
                  <c:v>12.5612806403202</c:v>
                </c:pt>
                <c:pt idx="838">
                  <c:v>12.576288144072</c:v>
                </c:pt>
                <c:pt idx="839">
                  <c:v>12.5912956478239</c:v>
                </c:pt>
                <c:pt idx="840">
                  <c:v>12.6063031515758</c:v>
                </c:pt>
                <c:pt idx="841">
                  <c:v>12.6213106553277</c:v>
                </c:pt>
                <c:pt idx="842">
                  <c:v>12.6363181590795</c:v>
                </c:pt>
                <c:pt idx="843">
                  <c:v>12.6513256628314</c:v>
                </c:pt>
                <c:pt idx="844">
                  <c:v>12.6663331665833</c:v>
                </c:pt>
                <c:pt idx="845">
                  <c:v>12.6813406703352</c:v>
                </c:pt>
                <c:pt idx="846">
                  <c:v>12.696348174087</c:v>
                </c:pt>
                <c:pt idx="847">
                  <c:v>12.7113556778389</c:v>
                </c:pt>
                <c:pt idx="848">
                  <c:v>12.7263631815908</c:v>
                </c:pt>
                <c:pt idx="849">
                  <c:v>12.7413706853427</c:v>
                </c:pt>
                <c:pt idx="850">
                  <c:v>12.7563781890946</c:v>
                </c:pt>
                <c:pt idx="851">
                  <c:v>12.7713856928464</c:v>
                </c:pt>
                <c:pt idx="852">
                  <c:v>12.7863931965983</c:v>
                </c:pt>
                <c:pt idx="853">
                  <c:v>12.8014007003502</c:v>
                </c:pt>
                <c:pt idx="854">
                  <c:v>12.8164082041021</c:v>
                </c:pt>
                <c:pt idx="855">
                  <c:v>12.8314157078539</c:v>
                </c:pt>
                <c:pt idx="856">
                  <c:v>12.8464232116058</c:v>
                </c:pt>
                <c:pt idx="857">
                  <c:v>12.8614307153577</c:v>
                </c:pt>
                <c:pt idx="858">
                  <c:v>12.8764382191096</c:v>
                </c:pt>
                <c:pt idx="859">
                  <c:v>12.8914457228614</c:v>
                </c:pt>
                <c:pt idx="860">
                  <c:v>12.9064532266133</c:v>
                </c:pt>
                <c:pt idx="861">
                  <c:v>12.9214607303652</c:v>
                </c:pt>
                <c:pt idx="862">
                  <c:v>12.9364682341171</c:v>
                </c:pt>
                <c:pt idx="863">
                  <c:v>12.9514757378689</c:v>
                </c:pt>
                <c:pt idx="864">
                  <c:v>12.9664832416208</c:v>
                </c:pt>
                <c:pt idx="865">
                  <c:v>12.9814907453727</c:v>
                </c:pt>
                <c:pt idx="866">
                  <c:v>12.9964982491246</c:v>
                </c:pt>
                <c:pt idx="867">
                  <c:v>13.0115057528764</c:v>
                </c:pt>
                <c:pt idx="868">
                  <c:v>13.0265132566283</c:v>
                </c:pt>
                <c:pt idx="869">
                  <c:v>13.0415207603802</c:v>
                </c:pt>
                <c:pt idx="870">
                  <c:v>13.0565282641321</c:v>
                </c:pt>
                <c:pt idx="871">
                  <c:v>13.0715357678839</c:v>
                </c:pt>
                <c:pt idx="872">
                  <c:v>13.0865432716358</c:v>
                </c:pt>
                <c:pt idx="873">
                  <c:v>13.1015507753877</c:v>
                </c:pt>
                <c:pt idx="874">
                  <c:v>13.1165582791396</c:v>
                </c:pt>
                <c:pt idx="875">
                  <c:v>13.1315657828915</c:v>
                </c:pt>
                <c:pt idx="876">
                  <c:v>13.1465732866433</c:v>
                </c:pt>
                <c:pt idx="877">
                  <c:v>13.1615807903952</c:v>
                </c:pt>
                <c:pt idx="878">
                  <c:v>13.1765882941471</c:v>
                </c:pt>
                <c:pt idx="879">
                  <c:v>13.191595797899</c:v>
                </c:pt>
                <c:pt idx="880">
                  <c:v>13.2066033016508</c:v>
                </c:pt>
                <c:pt idx="881">
                  <c:v>13.2216108054027</c:v>
                </c:pt>
                <c:pt idx="882">
                  <c:v>13.2366183091546</c:v>
                </c:pt>
                <c:pt idx="883">
                  <c:v>13.2516258129065</c:v>
                </c:pt>
                <c:pt idx="884">
                  <c:v>13.2666333166583</c:v>
                </c:pt>
                <c:pt idx="885">
                  <c:v>13.2816408204102</c:v>
                </c:pt>
                <c:pt idx="886">
                  <c:v>13.2966483241621</c:v>
                </c:pt>
                <c:pt idx="887">
                  <c:v>13.311655827914</c:v>
                </c:pt>
                <c:pt idx="888">
                  <c:v>13.3266633316658</c:v>
                </c:pt>
                <c:pt idx="889">
                  <c:v>13.3416708354177</c:v>
                </c:pt>
                <c:pt idx="890">
                  <c:v>13.3566783391696</c:v>
                </c:pt>
                <c:pt idx="891">
                  <c:v>13.3716858429215</c:v>
                </c:pt>
                <c:pt idx="892">
                  <c:v>13.3866933466733</c:v>
                </c:pt>
                <c:pt idx="893">
                  <c:v>13.4017008504252</c:v>
                </c:pt>
                <c:pt idx="894">
                  <c:v>13.4167083541771</c:v>
                </c:pt>
                <c:pt idx="895">
                  <c:v>13.431715857929</c:v>
                </c:pt>
                <c:pt idx="896">
                  <c:v>13.4467233616808</c:v>
                </c:pt>
                <c:pt idx="897">
                  <c:v>13.4617308654327</c:v>
                </c:pt>
                <c:pt idx="898">
                  <c:v>13.4767383691846</c:v>
                </c:pt>
                <c:pt idx="899">
                  <c:v>13.4917458729365</c:v>
                </c:pt>
                <c:pt idx="900">
                  <c:v>13.5067533766883</c:v>
                </c:pt>
                <c:pt idx="901">
                  <c:v>13.5217608804402</c:v>
                </c:pt>
                <c:pt idx="902">
                  <c:v>13.5367683841921</c:v>
                </c:pt>
                <c:pt idx="903">
                  <c:v>13.551775887944</c:v>
                </c:pt>
                <c:pt idx="904">
                  <c:v>13.5667833916959</c:v>
                </c:pt>
                <c:pt idx="905">
                  <c:v>13.5817908954477</c:v>
                </c:pt>
                <c:pt idx="906">
                  <c:v>13.5967983991996</c:v>
                </c:pt>
                <c:pt idx="907">
                  <c:v>13.6118059029515</c:v>
                </c:pt>
                <c:pt idx="908">
                  <c:v>13.6268134067034</c:v>
                </c:pt>
                <c:pt idx="909">
                  <c:v>13.6418209104552</c:v>
                </c:pt>
                <c:pt idx="910">
                  <c:v>13.6568284142071</c:v>
                </c:pt>
                <c:pt idx="911">
                  <c:v>13.671835917959</c:v>
                </c:pt>
                <c:pt idx="912">
                  <c:v>13.6868434217109</c:v>
                </c:pt>
                <c:pt idx="913">
                  <c:v>13.7018509254627</c:v>
                </c:pt>
                <c:pt idx="914">
                  <c:v>13.7168584292146</c:v>
                </c:pt>
                <c:pt idx="915">
                  <c:v>13.7318659329665</c:v>
                </c:pt>
                <c:pt idx="916">
                  <c:v>13.7468734367184</c:v>
                </c:pt>
                <c:pt idx="917">
                  <c:v>13.7618809404702</c:v>
                </c:pt>
                <c:pt idx="918">
                  <c:v>13.7768884442221</c:v>
                </c:pt>
                <c:pt idx="919">
                  <c:v>13.791895947974</c:v>
                </c:pt>
                <c:pt idx="920">
                  <c:v>13.8069034517259</c:v>
                </c:pt>
                <c:pt idx="921">
                  <c:v>13.8219109554777</c:v>
                </c:pt>
                <c:pt idx="922">
                  <c:v>13.8369184592296</c:v>
                </c:pt>
                <c:pt idx="923">
                  <c:v>13.8519259629815</c:v>
                </c:pt>
                <c:pt idx="924">
                  <c:v>13.8669334667334</c:v>
                </c:pt>
                <c:pt idx="925">
                  <c:v>13.8819409704852</c:v>
                </c:pt>
                <c:pt idx="926">
                  <c:v>13.8969484742371</c:v>
                </c:pt>
                <c:pt idx="927">
                  <c:v>13.911955977989</c:v>
                </c:pt>
                <c:pt idx="928">
                  <c:v>13.9269634817409</c:v>
                </c:pt>
                <c:pt idx="929">
                  <c:v>13.9419709854928</c:v>
                </c:pt>
                <c:pt idx="930">
                  <c:v>13.9569784892446</c:v>
                </c:pt>
                <c:pt idx="931">
                  <c:v>13.9719859929965</c:v>
                </c:pt>
                <c:pt idx="932">
                  <c:v>13.9869934967484</c:v>
                </c:pt>
                <c:pt idx="933">
                  <c:v>14.0020010005003</c:v>
                </c:pt>
                <c:pt idx="934">
                  <c:v>14.0170085042521</c:v>
                </c:pt>
                <c:pt idx="935">
                  <c:v>14.032016008004</c:v>
                </c:pt>
                <c:pt idx="936">
                  <c:v>14.0470235117559</c:v>
                </c:pt>
                <c:pt idx="937">
                  <c:v>14.0620310155078</c:v>
                </c:pt>
                <c:pt idx="938">
                  <c:v>14.0770385192596</c:v>
                </c:pt>
                <c:pt idx="939">
                  <c:v>14.0920460230115</c:v>
                </c:pt>
                <c:pt idx="940">
                  <c:v>14.1070535267634</c:v>
                </c:pt>
                <c:pt idx="941">
                  <c:v>14.1220610305153</c:v>
                </c:pt>
                <c:pt idx="942">
                  <c:v>14.1370685342671</c:v>
                </c:pt>
                <c:pt idx="943">
                  <c:v>14.152076038019</c:v>
                </c:pt>
                <c:pt idx="944">
                  <c:v>14.1670835417709</c:v>
                </c:pt>
                <c:pt idx="945">
                  <c:v>14.1820910455228</c:v>
                </c:pt>
                <c:pt idx="946">
                  <c:v>14.1970985492746</c:v>
                </c:pt>
                <c:pt idx="947">
                  <c:v>14.2121060530265</c:v>
                </c:pt>
                <c:pt idx="948">
                  <c:v>14.2271135567784</c:v>
                </c:pt>
                <c:pt idx="949">
                  <c:v>14.2421210605303</c:v>
                </c:pt>
                <c:pt idx="950">
                  <c:v>14.2571285642821</c:v>
                </c:pt>
                <c:pt idx="951">
                  <c:v>14.272136068034</c:v>
                </c:pt>
                <c:pt idx="952">
                  <c:v>14.2871435717859</c:v>
                </c:pt>
                <c:pt idx="953">
                  <c:v>14.3021510755378</c:v>
                </c:pt>
                <c:pt idx="954">
                  <c:v>14.3171585792896</c:v>
                </c:pt>
                <c:pt idx="955">
                  <c:v>14.3321660830415</c:v>
                </c:pt>
                <c:pt idx="956">
                  <c:v>14.3471735867934</c:v>
                </c:pt>
                <c:pt idx="957">
                  <c:v>14.3621810905453</c:v>
                </c:pt>
                <c:pt idx="958">
                  <c:v>14.3771885942972</c:v>
                </c:pt>
                <c:pt idx="959">
                  <c:v>14.392196098049</c:v>
                </c:pt>
                <c:pt idx="960">
                  <c:v>14.4072036018009</c:v>
                </c:pt>
                <c:pt idx="961">
                  <c:v>14.4222111055528</c:v>
                </c:pt>
                <c:pt idx="962">
                  <c:v>14.4372186093047</c:v>
                </c:pt>
                <c:pt idx="963">
                  <c:v>14.4522261130565</c:v>
                </c:pt>
                <c:pt idx="964">
                  <c:v>14.4672336168084</c:v>
                </c:pt>
                <c:pt idx="965">
                  <c:v>14.4822411205603</c:v>
                </c:pt>
                <c:pt idx="966">
                  <c:v>14.4972486243122</c:v>
                </c:pt>
                <c:pt idx="967">
                  <c:v>14.512256128064</c:v>
                </c:pt>
                <c:pt idx="968">
                  <c:v>14.5272636318159</c:v>
                </c:pt>
                <c:pt idx="969">
                  <c:v>14.5422711355678</c:v>
                </c:pt>
                <c:pt idx="970">
                  <c:v>14.5572786393197</c:v>
                </c:pt>
                <c:pt idx="971">
                  <c:v>14.5722861430715</c:v>
                </c:pt>
                <c:pt idx="972">
                  <c:v>14.5872936468234</c:v>
                </c:pt>
                <c:pt idx="973">
                  <c:v>14.6023011505753</c:v>
                </c:pt>
                <c:pt idx="974">
                  <c:v>14.6173086543272</c:v>
                </c:pt>
                <c:pt idx="975">
                  <c:v>14.632316158079</c:v>
                </c:pt>
                <c:pt idx="976">
                  <c:v>14.6473236618309</c:v>
                </c:pt>
                <c:pt idx="977">
                  <c:v>14.6623311655828</c:v>
                </c:pt>
                <c:pt idx="978">
                  <c:v>14.6773386693347</c:v>
                </c:pt>
                <c:pt idx="979">
                  <c:v>14.6923461730865</c:v>
                </c:pt>
                <c:pt idx="980">
                  <c:v>14.7073536768384</c:v>
                </c:pt>
                <c:pt idx="981">
                  <c:v>14.7223611805903</c:v>
                </c:pt>
                <c:pt idx="982">
                  <c:v>14.7373686843422</c:v>
                </c:pt>
                <c:pt idx="983">
                  <c:v>14.7523761880941</c:v>
                </c:pt>
                <c:pt idx="984">
                  <c:v>14.7673836918459</c:v>
                </c:pt>
                <c:pt idx="985">
                  <c:v>14.7823911955978</c:v>
                </c:pt>
                <c:pt idx="986">
                  <c:v>14.7973986993497</c:v>
                </c:pt>
                <c:pt idx="987">
                  <c:v>14.8124062031016</c:v>
                </c:pt>
                <c:pt idx="988">
                  <c:v>14.8274137068534</c:v>
                </c:pt>
                <c:pt idx="989">
                  <c:v>14.8424212106053</c:v>
                </c:pt>
                <c:pt idx="990">
                  <c:v>14.8574287143572</c:v>
                </c:pt>
                <c:pt idx="991">
                  <c:v>14.8724362181091</c:v>
                </c:pt>
                <c:pt idx="992">
                  <c:v>14.8874437218609</c:v>
                </c:pt>
                <c:pt idx="993">
                  <c:v>14.9024512256128</c:v>
                </c:pt>
                <c:pt idx="994">
                  <c:v>14.9174587293647</c:v>
                </c:pt>
                <c:pt idx="995">
                  <c:v>14.9324662331166</c:v>
                </c:pt>
                <c:pt idx="996">
                  <c:v>14.9474737368684</c:v>
                </c:pt>
                <c:pt idx="997">
                  <c:v>14.9624812406203</c:v>
                </c:pt>
                <c:pt idx="998">
                  <c:v>14.9774887443722</c:v>
                </c:pt>
                <c:pt idx="999">
                  <c:v>14.9924962481241</c:v>
                </c:pt>
              </c:numCache>
            </c:numRef>
          </c:xVal>
          <c:yVal>
            <c:numRef>
              <c:f>04_Titration!$B$5:$B$1004</c:f>
              <c:numCache>
                <c:formatCode>0.0000</c:formatCode>
                <c:ptCount val="1000"/>
                <c:pt idx="0">
                  <c:v>1.99999999995657</c:v>
                </c:pt>
                <c:pt idx="1">
                  <c:v>2.00260707821176</c:v>
                </c:pt>
                <c:pt idx="2">
                  <c:v>2.00521420344244</c:v>
                </c:pt>
                <c:pt idx="3">
                  <c:v>2.0078214226292</c:v>
                </c:pt>
                <c:pt idx="4">
                  <c:v>2.01042878276276</c:v>
                </c:pt>
                <c:pt idx="5">
                  <c:v>2.01303633084911</c:v>
                </c:pt>
                <c:pt idx="6">
                  <c:v>2.01564411391456</c:v>
                </c:pt>
                <c:pt idx="7">
                  <c:v>2.01825217901083</c:v>
                </c:pt>
                <c:pt idx="8">
                  <c:v>2.02086057322018</c:v>
                </c:pt>
                <c:pt idx="9">
                  <c:v>2.02346934366048</c:v>
                </c:pt>
                <c:pt idx="10">
                  <c:v>2.02607853749035</c:v>
                </c:pt>
                <c:pt idx="11">
                  <c:v>2.0286882019143</c:v>
                </c:pt>
                <c:pt idx="12">
                  <c:v>2.03129838418784</c:v>
                </c:pt>
                <c:pt idx="13">
                  <c:v>2.03390913162264</c:v>
                </c:pt>
                <c:pt idx="14">
                  <c:v>2.03652049159172</c:v>
                </c:pt>
                <c:pt idx="15">
                  <c:v>2.03913251153464</c:v>
                </c:pt>
                <c:pt idx="16">
                  <c:v>2.04174523896266</c:v>
                </c:pt>
                <c:pt idx="17">
                  <c:v>2.04435872146402</c:v>
                </c:pt>
                <c:pt idx="18">
                  <c:v>2.04697300670914</c:v>
                </c:pt>
                <c:pt idx="19">
                  <c:v>2.04958814245593</c:v>
                </c:pt>
                <c:pt idx="20">
                  <c:v>2.05220417655504</c:v>
                </c:pt>
                <c:pt idx="21">
                  <c:v>2.05482115695519</c:v>
                </c:pt>
                <c:pt idx="22">
                  <c:v>2.05743913170854</c:v>
                </c:pt>
                <c:pt idx="23">
                  <c:v>2.06005814897604</c:v>
                </c:pt>
                <c:pt idx="24">
                  <c:v>2.0626782570328</c:v>
                </c:pt>
                <c:pt idx="25">
                  <c:v>2.06529950427361</c:v>
                </c:pt>
                <c:pt idx="26">
                  <c:v>2.0679219392183</c:v>
                </c:pt>
                <c:pt idx="27">
                  <c:v>2.07054561051733</c:v>
                </c:pt>
                <c:pt idx="28">
                  <c:v>2.07317056695729</c:v>
                </c:pt>
                <c:pt idx="29">
                  <c:v>2.07579685746646</c:v>
                </c:pt>
                <c:pt idx="30">
                  <c:v>2.07842453112045</c:v>
                </c:pt>
                <c:pt idx="31">
                  <c:v>2.08105363714785</c:v>
                </c:pt>
                <c:pt idx="32">
                  <c:v>2.08368422493593</c:v>
                </c:pt>
                <c:pt idx="33">
                  <c:v>2.08631634403635</c:v>
                </c:pt>
                <c:pt idx="34">
                  <c:v>2.08895004417101</c:v>
                </c:pt>
                <c:pt idx="35">
                  <c:v>2.09158537523785</c:v>
                </c:pt>
                <c:pt idx="36">
                  <c:v>2.09422238731671</c:v>
                </c:pt>
                <c:pt idx="37">
                  <c:v>2.09686113067533</c:v>
                </c:pt>
                <c:pt idx="38">
                  <c:v>2.09950165577529</c:v>
                </c:pt>
                <c:pt idx="39">
                  <c:v>2.10214401327808</c:v>
                </c:pt>
                <c:pt idx="40">
                  <c:v>2.1047882540512</c:v>
                </c:pt>
                <c:pt idx="41">
                  <c:v>2.10743442917432</c:v>
                </c:pt>
                <c:pt idx="42">
                  <c:v>2.11008258994549</c:v>
                </c:pt>
                <c:pt idx="43">
                  <c:v>2.11273278788744</c:v>
                </c:pt>
                <c:pt idx="44">
                  <c:v>2.11538507475395</c:v>
                </c:pt>
                <c:pt idx="45">
                  <c:v>2.11803950253622</c:v>
                </c:pt>
                <c:pt idx="46">
                  <c:v>2.12069612346939</c:v>
                </c:pt>
                <c:pt idx="47">
                  <c:v>2.12335499003909</c:v>
                </c:pt>
                <c:pt idx="48">
                  <c:v>2.12601615498806</c:v>
                </c:pt>
                <c:pt idx="49">
                  <c:v>2.12867967132287</c:v>
                </c:pt>
                <c:pt idx="50">
                  <c:v>2.13134559232071</c:v>
                </c:pt>
                <c:pt idx="51">
                  <c:v>2.13401397153623</c:v>
                </c:pt>
                <c:pt idx="52">
                  <c:v>2.13668486280849</c:v>
                </c:pt>
                <c:pt idx="53">
                  <c:v>2.139358320268</c:v>
                </c:pt>
                <c:pt idx="54">
                  <c:v>2.14203439834384</c:v>
                </c:pt>
                <c:pt idx="55">
                  <c:v>2.14471315177087</c:v>
                </c:pt>
                <c:pt idx="56">
                  <c:v>2.14739463559699</c:v>
                </c:pt>
                <c:pt idx="57">
                  <c:v>2.1500789051906</c:v>
                </c:pt>
                <c:pt idx="58">
                  <c:v>2.15276601624804</c:v>
                </c:pt>
                <c:pt idx="59">
                  <c:v>2.15545602480117</c:v>
                </c:pt>
                <c:pt idx="60">
                  <c:v>2.15814898722513</c:v>
                </c:pt>
                <c:pt idx="61">
                  <c:v>2.16084496024607</c:v>
                </c:pt>
                <c:pt idx="62">
                  <c:v>2.1635440009491</c:v>
                </c:pt>
                <c:pt idx="63">
                  <c:v>2.16624616678628</c:v>
                </c:pt>
                <c:pt idx="64">
                  <c:v>2.16895151558478</c:v>
                </c:pt>
                <c:pt idx="65">
                  <c:v>2.17166010555511</c:v>
                </c:pt>
                <c:pt idx="66">
                  <c:v>2.17437199529949</c:v>
                </c:pt>
                <c:pt idx="67">
                  <c:v>2.17708724382038</c:v>
                </c:pt>
                <c:pt idx="68">
                  <c:v>2.17980591052905</c:v>
                </c:pt>
                <c:pt idx="69">
                  <c:v>2.18252805525436</c:v>
                </c:pt>
                <c:pt idx="70">
                  <c:v>2.18525373825166</c:v>
                </c:pt>
                <c:pt idx="71">
                  <c:v>2.18798302021178</c:v>
                </c:pt>
                <c:pt idx="72">
                  <c:v>2.19071596227022</c:v>
                </c:pt>
                <c:pt idx="73">
                  <c:v>2.19345262601646</c:v>
                </c:pt>
                <c:pt idx="74">
                  <c:v>2.19619307350339</c:v>
                </c:pt>
                <c:pt idx="75">
                  <c:v>2.19893736725695</c:v>
                </c:pt>
                <c:pt idx="76">
                  <c:v>2.2016855702859</c:v>
                </c:pt>
                <c:pt idx="77">
                  <c:v>2.20443774609172</c:v>
                </c:pt>
                <c:pt idx="78">
                  <c:v>2.20719395867871</c:v>
                </c:pt>
                <c:pt idx="79">
                  <c:v>2.20995427256429</c:v>
                </c:pt>
                <c:pt idx="80">
                  <c:v>2.21271875278937</c:v>
                </c:pt>
                <c:pt idx="81">
                  <c:v>2.21548746492901</c:v>
                </c:pt>
                <c:pt idx="82">
                  <c:v>2.21826047510321</c:v>
                </c:pt>
                <c:pt idx="83">
                  <c:v>2.22103784998789</c:v>
                </c:pt>
                <c:pt idx="84">
                  <c:v>2.22381965682604</c:v>
                </c:pt>
                <c:pt idx="85">
                  <c:v>2.22660596343913</c:v>
                </c:pt>
                <c:pt idx="86">
                  <c:v>2.22939683823866</c:v>
                </c:pt>
                <c:pt idx="87">
                  <c:v>2.23219235023797</c:v>
                </c:pt>
                <c:pt idx="88">
                  <c:v>2.23499256906422</c:v>
                </c:pt>
                <c:pt idx="89">
                  <c:v>2.23779756497059</c:v>
                </c:pt>
                <c:pt idx="90">
                  <c:v>2.24060740884875</c:v>
                </c:pt>
                <c:pt idx="91">
                  <c:v>2.24342217224152</c:v>
                </c:pt>
                <c:pt idx="92">
                  <c:v>2.24624192735577</c:v>
                </c:pt>
                <c:pt idx="93">
                  <c:v>2.2490667470756</c:v>
                </c:pt>
                <c:pt idx="94">
                  <c:v>2.25189670497569</c:v>
                </c:pt>
                <c:pt idx="95">
                  <c:v>2.25473187533501</c:v>
                </c:pt>
                <c:pt idx="96">
                  <c:v>2.25757233315072</c:v>
                </c:pt>
                <c:pt idx="97">
                  <c:v>2.26041815415232</c:v>
                </c:pt>
                <c:pt idx="98">
                  <c:v>2.26326941481621</c:v>
                </c:pt>
                <c:pt idx="99">
                  <c:v>2.26612619238033</c:v>
                </c:pt>
                <c:pt idx="100">
                  <c:v>2.2689885648593</c:v>
                </c:pt>
                <c:pt idx="101">
                  <c:v>2.2718566110597</c:v>
                </c:pt>
                <c:pt idx="102">
                  <c:v>2.27473041059576</c:v>
                </c:pt>
                <c:pt idx="103">
                  <c:v>2.27761004390529</c:v>
                </c:pt>
                <c:pt idx="104">
                  <c:v>2.28049559226603</c:v>
                </c:pt>
                <c:pt idx="105">
                  <c:v>2.28338713781221</c:v>
                </c:pt>
                <c:pt idx="106">
                  <c:v>2.28628476355158</c:v>
                </c:pt>
                <c:pt idx="107">
                  <c:v>2.28918855338269</c:v>
                </c:pt>
                <c:pt idx="108">
                  <c:v>2.2920985921126</c:v>
                </c:pt>
                <c:pt idx="109">
                  <c:v>2.29501496547493</c:v>
                </c:pt>
                <c:pt idx="110">
                  <c:v>2.2979377601483</c:v>
                </c:pt>
                <c:pt idx="111">
                  <c:v>2.30086706377514</c:v>
                </c:pt>
                <c:pt idx="112">
                  <c:v>2.30380296498099</c:v>
                </c:pt>
                <c:pt idx="113">
                  <c:v>2.30674555339405</c:v>
                </c:pt>
                <c:pt idx="114">
                  <c:v>2.30969491966537</c:v>
                </c:pt>
                <c:pt idx="115">
                  <c:v>2.31265115548928</c:v>
                </c:pt>
                <c:pt idx="116">
                  <c:v>2.31561435362439</c:v>
                </c:pt>
                <c:pt idx="117">
                  <c:v>2.31858460791503</c:v>
                </c:pt>
                <c:pt idx="118">
                  <c:v>2.32156201331314</c:v>
                </c:pt>
                <c:pt idx="119">
                  <c:v>2.3245466659007</c:v>
                </c:pt>
                <c:pt idx="120">
                  <c:v>2.32753866291257</c:v>
                </c:pt>
                <c:pt idx="121">
                  <c:v>2.33053810276</c:v>
                </c:pt>
                <c:pt idx="122">
                  <c:v>2.33354508505451</c:v>
                </c:pt>
                <c:pt idx="123">
                  <c:v>2.33655971063244</c:v>
                </c:pt>
                <c:pt idx="124">
                  <c:v>2.33958208158001</c:v>
                </c:pt>
                <c:pt idx="125">
                  <c:v>2.34261230125895</c:v>
                </c:pt>
                <c:pt idx="126">
                  <c:v>2.34565047433281</c:v>
                </c:pt>
                <c:pt idx="127">
                  <c:v>2.34869670679378</c:v>
                </c:pt>
                <c:pt idx="128">
                  <c:v>2.35175110599021</c:v>
                </c:pt>
                <c:pt idx="129">
                  <c:v>2.35481378065477</c:v>
                </c:pt>
                <c:pt idx="130">
                  <c:v>2.35788484093328</c:v>
                </c:pt>
                <c:pt idx="131">
                  <c:v>2.36096439841424</c:v>
                </c:pt>
                <c:pt idx="132">
                  <c:v>2.36405256615907</c:v>
                </c:pt>
                <c:pt idx="133">
                  <c:v>2.36714945873307</c:v>
                </c:pt>
                <c:pt idx="134">
                  <c:v>2.37025519223719</c:v>
                </c:pt>
                <c:pt idx="135">
                  <c:v>2.37336988434049</c:v>
                </c:pt>
                <c:pt idx="136">
                  <c:v>2.37649365431353</c:v>
                </c:pt>
                <c:pt idx="137">
                  <c:v>2.37962662306245</c:v>
                </c:pt>
                <c:pt idx="138">
                  <c:v>2.38276891316404</c:v>
                </c:pt>
                <c:pt idx="139">
                  <c:v>2.38592064890158</c:v>
                </c:pt>
                <c:pt idx="140">
                  <c:v>2.38908195630168</c:v>
                </c:pt>
                <c:pt idx="141">
                  <c:v>2.39225296317197</c:v>
                </c:pt>
                <c:pt idx="142">
                  <c:v>2.39543379913987</c:v>
                </c:pt>
                <c:pt idx="143">
                  <c:v>2.39862459569224</c:v>
                </c:pt>
                <c:pt idx="144">
                  <c:v>2.40182548621612</c:v>
                </c:pt>
                <c:pt idx="145">
                  <c:v>2.40503660604058</c:v>
                </c:pt>
                <c:pt idx="146">
                  <c:v>2.40825809247955</c:v>
                </c:pt>
                <c:pt idx="147">
                  <c:v>2.41149008487589</c:v>
                </c:pt>
                <c:pt idx="148">
                  <c:v>2.4147327246466</c:v>
                </c:pt>
                <c:pt idx="149">
                  <c:v>2.41798615532917</c:v>
                </c:pt>
                <c:pt idx="150">
                  <c:v>2.42125052262931</c:v>
                </c:pt>
                <c:pt idx="151">
                  <c:v>2.42452597446986</c:v>
                </c:pt>
                <c:pt idx="152">
                  <c:v>2.42781266104105</c:v>
                </c:pt>
                <c:pt idx="153">
                  <c:v>2.43111073485219</c:v>
                </c:pt>
                <c:pt idx="154">
                  <c:v>2.43442035078472</c:v>
                </c:pt>
                <c:pt idx="155">
                  <c:v>2.43774166614678</c:v>
                </c:pt>
                <c:pt idx="156">
                  <c:v>2.44107484072926</c:v>
                </c:pt>
                <c:pt idx="157">
                  <c:v>2.44442003686342</c:v>
                </c:pt>
                <c:pt idx="158">
                  <c:v>2.44777741948022</c:v>
                </c:pt>
                <c:pt idx="159">
                  <c:v>2.45114715617121</c:v>
                </c:pt>
                <c:pt idx="160">
                  <c:v>2.45452941725121</c:v>
                </c:pt>
                <c:pt idx="161">
                  <c:v>2.45792437582287</c:v>
                </c:pt>
                <c:pt idx="162">
                  <c:v>2.46133220784293</c:v>
                </c:pt>
                <c:pt idx="163">
                  <c:v>2.46475309219059</c:v>
                </c:pt>
                <c:pt idx="164">
                  <c:v>2.46818721073772</c:v>
                </c:pt>
                <c:pt idx="165">
                  <c:v>2.47163474842126</c:v>
                </c:pt>
                <c:pt idx="166">
                  <c:v>2.47509589331768</c:v>
                </c:pt>
                <c:pt idx="167">
                  <c:v>2.47857083671971</c:v>
                </c:pt>
                <c:pt idx="168">
                  <c:v>2.48205977321539</c:v>
                </c:pt>
                <c:pt idx="169">
                  <c:v>2.48556290076939</c:v>
                </c:pt>
                <c:pt idx="170">
                  <c:v>2.48908042080696</c:v>
                </c:pt>
                <c:pt idx="171">
                  <c:v>2.49261253830037</c:v>
                </c:pt>
                <c:pt idx="172">
                  <c:v>2.49615946185794</c:v>
                </c:pt>
                <c:pt idx="173">
                  <c:v>2.49972140381598</c:v>
                </c:pt>
                <c:pt idx="174">
                  <c:v>2.50329858033348</c:v>
                </c:pt>
                <c:pt idx="175">
                  <c:v>2.50689121148979</c:v>
                </c:pt>
                <c:pt idx="176">
                  <c:v>2.51049952138544</c:v>
                </c:pt>
                <c:pt idx="177">
                  <c:v>2.51412373824608</c:v>
                </c:pt>
                <c:pt idx="178">
                  <c:v>2.51776409452983</c:v>
                </c:pt>
                <c:pt idx="179">
                  <c:v>2.52142082703803</c:v>
                </c:pt>
                <c:pt idx="180">
                  <c:v>2.52509417702959</c:v>
                </c:pt>
                <c:pt idx="181">
                  <c:v>2.52878439033911</c:v>
                </c:pt>
                <c:pt idx="182">
                  <c:v>2.53249171749882</c:v>
                </c:pt>
                <c:pt idx="183">
                  <c:v>2.53621641386461</c:v>
                </c:pt>
                <c:pt idx="184">
                  <c:v>2.53995873974622</c:v>
                </c:pt>
                <c:pt idx="185">
                  <c:v>2.54371896054182</c:v>
                </c:pt>
                <c:pt idx="186">
                  <c:v>2.54749734687714</c:v>
                </c:pt>
                <c:pt idx="187">
                  <c:v>2.55129417474928</c:v>
                </c:pt>
                <c:pt idx="188">
                  <c:v>2.55510972567551</c:v>
                </c:pt>
                <c:pt idx="189">
                  <c:v>2.55894428684716</c:v>
                </c:pt>
                <c:pt idx="190">
                  <c:v>2.56279815128886</c:v>
                </c:pt>
                <c:pt idx="191">
                  <c:v>2.56667161802339</c:v>
                </c:pt>
                <c:pt idx="192">
                  <c:v>2.57056499224224</c:v>
                </c:pt>
                <c:pt idx="193">
                  <c:v>2.57447858548232</c:v>
                </c:pt>
                <c:pt idx="194">
                  <c:v>2.57841271580895</c:v>
                </c:pt>
                <c:pt idx="195">
                  <c:v>2.5823677080054</c:v>
                </c:pt>
                <c:pt idx="196">
                  <c:v>2.58634389376937</c:v>
                </c:pt>
                <c:pt idx="197">
                  <c:v>2.59034161191658</c:v>
                </c:pt>
                <c:pt idx="198">
                  <c:v>2.59436120859191</c:v>
                </c:pt>
                <c:pt idx="199">
                  <c:v>2.59840303748831</c:v>
                </c:pt>
                <c:pt idx="200">
                  <c:v>2.60246746007394</c:v>
                </c:pt>
                <c:pt idx="201">
                  <c:v>2.60655484582783</c:v>
                </c:pt>
                <c:pt idx="202">
                  <c:v>2.61066557248448</c:v>
                </c:pt>
                <c:pt idx="203">
                  <c:v>2.61480002628781</c:v>
                </c:pt>
                <c:pt idx="204">
                  <c:v>2.61895860225492</c:v>
                </c:pt>
                <c:pt idx="205">
                  <c:v>2.62314170445001</c:v>
                </c:pt>
                <c:pt idx="206">
                  <c:v>2.62734974626914</c:v>
                </c:pt>
                <c:pt idx="207">
                  <c:v>2.63158315073607</c:v>
                </c:pt>
                <c:pt idx="208">
                  <c:v>2.63584235081</c:v>
                </c:pt>
                <c:pt idx="209">
                  <c:v>2.64012778970554</c:v>
                </c:pt>
                <c:pt idx="210">
                  <c:v>2.64443992122569</c:v>
                </c:pt>
                <c:pt idx="211">
                  <c:v>2.64877921010829</c:v>
                </c:pt>
                <c:pt idx="212">
                  <c:v>2.65314613238677</c:v>
                </c:pt>
                <c:pt idx="213">
                  <c:v>2.65754117576579</c:v>
                </c:pt>
                <c:pt idx="214">
                  <c:v>2.66196484001264</c:v>
                </c:pt>
                <c:pt idx="215">
                  <c:v>2.666417637365</c:v>
                </c:pt>
                <c:pt idx="216">
                  <c:v>2.67090009295613</c:v>
                </c:pt>
                <c:pt idx="217">
                  <c:v>2.67541274525819</c:v>
                </c:pt>
                <c:pt idx="218">
                  <c:v>2.67995614654479</c:v>
                </c:pt>
                <c:pt idx="219">
                  <c:v>2.68453086337365</c:v>
                </c:pt>
                <c:pt idx="220">
                  <c:v>2.68913747709043</c:v>
                </c:pt>
                <c:pt idx="221">
                  <c:v>2.69377658435507</c:v>
                </c:pt>
                <c:pt idx="222">
                  <c:v>2.6984487976915</c:v>
                </c:pt>
                <c:pt idx="223">
                  <c:v>2.70315474606229</c:v>
                </c:pt>
                <c:pt idx="224">
                  <c:v>2.70789507546949</c:v>
                </c:pt>
                <c:pt idx="225">
                  <c:v>2.71267044958305</c:v>
                </c:pt>
                <c:pt idx="226">
                  <c:v>2.71748155039844</c:v>
                </c:pt>
                <c:pt idx="227">
                  <c:v>2.72232907892508</c:v>
                </c:pt>
                <c:pt idx="228">
                  <c:v>2.7272137559074</c:v>
                </c:pt>
                <c:pt idx="229">
                  <c:v>2.73213632258022</c:v>
                </c:pt>
                <c:pt idx="230">
                  <c:v>2.73709754146064</c:v>
                </c:pt>
                <c:pt idx="231">
                  <c:v>2.74209819717847</c:v>
                </c:pt>
                <c:pt idx="232">
                  <c:v>2.74713909734744</c:v>
                </c:pt>
                <c:pt idx="233">
                  <c:v>2.75222107347981</c:v>
                </c:pt>
                <c:pt idx="234">
                  <c:v>2.75734498194665</c:v>
                </c:pt>
                <c:pt idx="235">
                  <c:v>2.76251170498698</c:v>
                </c:pt>
                <c:pt idx="236">
                  <c:v>2.76772215176839</c:v>
                </c:pt>
                <c:pt idx="237">
                  <c:v>2.77297725950268</c:v>
                </c:pt>
                <c:pt idx="238">
                  <c:v>2.77827799461965</c:v>
                </c:pt>
                <c:pt idx="239">
                  <c:v>2.78362535400294</c:v>
                </c:pt>
                <c:pt idx="240">
                  <c:v>2.78902036629188</c:v>
                </c:pt>
                <c:pt idx="241">
                  <c:v>2.79446409325351</c:v>
                </c:pt>
                <c:pt idx="242">
                  <c:v>2.79995763122944</c:v>
                </c:pt>
                <c:pt idx="243">
                  <c:v>2.80550211266251</c:v>
                </c:pt>
                <c:pt idx="244">
                  <c:v>2.81109870770861</c:v>
                </c:pt>
                <c:pt idx="245">
                  <c:v>2.81674862593928</c:v>
                </c:pt>
                <c:pt idx="246">
                  <c:v>2.82245311814156</c:v>
                </c:pt>
                <c:pt idx="247">
                  <c:v>2.8282134782215</c:v>
                </c:pt>
                <c:pt idx="248">
                  <c:v>2.83403104521896</c:v>
                </c:pt>
                <c:pt idx="249">
                  <c:v>2.83990720544121</c:v>
                </c:pt>
                <c:pt idx="250">
                  <c:v>2.84584339472416</c:v>
                </c:pt>
                <c:pt idx="251">
                  <c:v>2.85184110083029</c:v>
                </c:pt>
                <c:pt idx="252">
                  <c:v>2.85790186599342</c:v>
                </c:pt>
                <c:pt idx="253">
                  <c:v>2.86402728962124</c:v>
                </c:pt>
                <c:pt idx="254">
                  <c:v>2.87021903116734</c:v>
                </c:pt>
                <c:pt idx="255">
                  <c:v>2.87647881318598</c:v>
                </c:pt>
                <c:pt idx="256">
                  <c:v>2.88280842458333</c:v>
                </c:pt>
                <c:pt idx="257">
                  <c:v>2.88920972408088</c:v>
                </c:pt>
                <c:pt idx="258">
                  <c:v>2.89568464390769</c:v>
                </c:pt>
                <c:pt idx="259">
                  <c:v>2.90223519373983</c:v>
                </c:pt>
                <c:pt idx="260">
                  <c:v>2.90886346490735</c:v>
                </c:pt>
                <c:pt idx="261">
                  <c:v>2.91557163489059</c:v>
                </c:pt>
                <c:pt idx="262">
                  <c:v>2.92236197213031</c:v>
                </c:pt>
                <c:pt idx="263">
                  <c:v>2.92923684117815</c:v>
                </c:pt>
                <c:pt idx="264">
                  <c:v>2.93619870821673</c:v>
                </c:pt>
                <c:pt idx="265">
                  <c:v>2.94325014698176</c:v>
                </c:pt>
                <c:pt idx="266">
                  <c:v>2.95039384512181</c:v>
                </c:pt>
                <c:pt idx="267">
                  <c:v>2.95763261103503</c:v>
                </c:pt>
                <c:pt idx="268">
                  <c:v>2.96496938122657</c:v>
                </c:pt>
                <c:pt idx="269">
                  <c:v>2.97240722823481</c:v>
                </c:pt>
                <c:pt idx="270">
                  <c:v>2.97994936918024</c:v>
                </c:pt>
                <c:pt idx="271">
                  <c:v>2.98759917499645</c:v>
                </c:pt>
                <c:pt idx="272">
                  <c:v>2.99536018040967</c:v>
                </c:pt>
                <c:pt idx="273">
                  <c:v>3.0032360947409</c:v>
                </c:pt>
                <c:pt idx="274">
                  <c:v>3.01123081361335</c:v>
                </c:pt>
                <c:pt idx="275">
                  <c:v>3.01934843165779</c:v>
                </c:pt>
                <c:pt idx="276">
                  <c:v>3.0275932563197</c:v>
                </c:pt>
                <c:pt idx="277">
                  <c:v>3.03596982288484</c:v>
                </c:pt>
                <c:pt idx="278">
                  <c:v>3.0444829108546</c:v>
                </c:pt>
                <c:pt idx="279">
                  <c:v>3.0531375618194</c:v>
                </c:pt>
                <c:pt idx="280">
                  <c:v>3.06193909899748</c:v>
                </c:pt>
                <c:pt idx="281">
                  <c:v>3.07089314862898</c:v>
                </c:pt>
                <c:pt idx="282">
                  <c:v>3.08000566344084</c:v>
                </c:pt>
                <c:pt idx="283">
                  <c:v>3.08928294842762</c:v>
                </c:pt>
                <c:pt idx="284">
                  <c:v>3.09873168922826</c:v>
                </c:pt>
                <c:pt idx="285">
                  <c:v>3.10835898341883</c:v>
                </c:pt>
                <c:pt idx="286">
                  <c:v>3.11817237508839</c:v>
                </c:pt>
                <c:pt idx="287">
                  <c:v>3.12817989312019</c:v>
                </c:pt>
                <c:pt idx="288">
                  <c:v>3.13839009366525</c:v>
                </c:pt>
                <c:pt idx="289">
                  <c:v>3.14881210737146</c:v>
                </c:pt>
                <c:pt idx="290">
                  <c:v>3.15945569202199</c:v>
                </c:pt>
                <c:pt idx="291">
                  <c:v>3.17033129134383</c:v>
                </c:pt>
                <c:pt idx="292">
                  <c:v>3.18145010087528</c:v>
                </c:pt>
                <c:pt idx="293">
                  <c:v>3.19282414193414</c:v>
                </c:pt>
                <c:pt idx="294">
                  <c:v>3.20446634491244</c:v>
                </c:pt>
                <c:pt idx="295">
                  <c:v>3.21639064334543</c:v>
                </c:pt>
                <c:pt idx="296">
                  <c:v>3.22861208047166</c:v>
                </c:pt>
                <c:pt idx="297">
                  <c:v>3.24114693032907</c:v>
                </c:pt>
                <c:pt idx="298">
                  <c:v>3.25401283583338</c:v>
                </c:pt>
                <c:pt idx="299">
                  <c:v>3.26722896677939</c:v>
                </c:pt>
                <c:pt idx="300">
                  <c:v>3.28081620131735</c:v>
                </c:pt>
                <c:pt idx="301">
                  <c:v>3.29479733521856</c:v>
                </c:pt>
                <c:pt idx="302">
                  <c:v>3.30919732419806</c:v>
                </c:pt>
                <c:pt idx="303">
                  <c:v>3.32404356576595</c:v>
                </c:pt>
                <c:pt idx="304">
                  <c:v>3.33936622860667</c:v>
                </c:pt>
                <c:pt idx="305">
                  <c:v>3.35519863944034</c:v>
                </c:pt>
                <c:pt idx="306">
                  <c:v>3.37157773984075</c:v>
                </c:pt>
                <c:pt idx="307">
                  <c:v>3.38854462876192</c:v>
                </c:pt>
                <c:pt idx="308">
                  <c:v>3.40614521082497</c:v>
                </c:pt>
                <c:pt idx="309">
                  <c:v>3.42443097611279</c:v>
                </c:pt>
                <c:pt idx="310">
                  <c:v>3.44345994484356</c:v>
                </c:pt>
                <c:pt idx="311">
                  <c:v>3.46329782061143</c:v>
                </c:pt>
                <c:pt idx="312">
                  <c:v>3.48401941001489</c:v>
                </c:pt>
                <c:pt idx="313">
                  <c:v>3.50571038610408</c:v>
                </c:pt>
                <c:pt idx="314">
                  <c:v>3.52846950067897</c:v>
                </c:pt>
                <c:pt idx="315">
                  <c:v>3.55241138992186</c:v>
                </c:pt>
                <c:pt idx="316">
                  <c:v>3.57767017519868</c:v>
                </c:pt>
                <c:pt idx="317">
                  <c:v>3.60440414580423</c:v>
                </c:pt>
                <c:pt idx="318">
                  <c:v>3.63280193884873</c:v>
                </c:pt>
                <c:pt idx="319">
                  <c:v>3.66309083014863</c:v>
                </c:pt>
                <c:pt idx="320">
                  <c:v>3.69554806531159</c:v>
                </c:pt>
                <c:pt idx="321">
                  <c:v>3.73051667541052</c:v>
                </c:pt>
                <c:pt idx="322">
                  <c:v>3.76842809161948</c:v>
                </c:pt>
                <c:pt idx="323">
                  <c:v>3.80983539887254</c:v>
                </c:pt>
                <c:pt idx="324">
                  <c:v>3.85546386436975</c:v>
                </c:pt>
                <c:pt idx="325">
                  <c:v>3.90629077163212</c:v>
                </c:pt>
                <c:pt idx="326">
                  <c:v>3.96367766485354</c:v>
                </c:pt>
                <c:pt idx="327">
                  <c:v>4.0296026206119</c:v>
                </c:pt>
                <c:pt idx="328">
                  <c:v>4.10709979545214</c:v>
                </c:pt>
                <c:pt idx="329">
                  <c:v>4.20117745955217</c:v>
                </c:pt>
                <c:pt idx="330">
                  <c:v>4.32101843351308</c:v>
                </c:pt>
                <c:pt idx="331">
                  <c:v>4.48648089259874</c:v>
                </c:pt>
                <c:pt idx="332">
                  <c:v>4.75596957115667</c:v>
                </c:pt>
                <c:pt idx="333">
                  <c:v>5.60104197582013</c:v>
                </c:pt>
                <c:pt idx="334">
                  <c:v>9.09661224810978</c:v>
                </c:pt>
                <c:pt idx="335">
                  <c:v>9.4383623974003</c:v>
                </c:pt>
                <c:pt idx="336">
                  <c:v>9.62676579420998</c:v>
                </c:pt>
                <c:pt idx="337">
                  <c:v>9.75739509029475</c:v>
                </c:pt>
                <c:pt idx="338">
                  <c:v>9.85741720571016</c:v>
                </c:pt>
                <c:pt idx="339">
                  <c:v>9.9384403990015</c:v>
                </c:pt>
                <c:pt idx="340">
                  <c:v>10.0065104250167</c:v>
                </c:pt>
                <c:pt idx="341">
                  <c:v>10.0651796536777</c:v>
                </c:pt>
                <c:pt idx="342">
                  <c:v>10.1167138801257</c:v>
                </c:pt>
                <c:pt idx="343">
                  <c:v>10.1626472093081</c:v>
                </c:pt>
                <c:pt idx="344">
                  <c:v>10.2040667040467</c:v>
                </c:pt>
                <c:pt idx="345">
                  <c:v>10.24177080151</c:v>
                </c:pt>
                <c:pt idx="346">
                  <c:v>10.2763632337792</c:v>
                </c:pt>
                <c:pt idx="347">
                  <c:v>10.3083116026387</c:v>
                </c:pt>
                <c:pt idx="348">
                  <c:v>10.3379854605137</c:v>
                </c:pt>
                <c:pt idx="349">
                  <c:v>10.3656819412151</c:v>
                </c:pt>
                <c:pt idx="350">
                  <c:v>10.3916435269608</c:v>
                </c:pt>
                <c:pt idx="351">
                  <c:v>10.4160706800003</c:v>
                </c:pt>
                <c:pt idx="352">
                  <c:v>10.4391310243842</c:v>
                </c:pt>
                <c:pt idx="353">
                  <c:v>10.4609661465134</c:v>
                </c:pt>
                <c:pt idx="354">
                  <c:v>10.4816967253353</c:v>
                </c:pt>
                <c:pt idx="355">
                  <c:v>10.5014264560462</c:v>
                </c:pt>
                <c:pt idx="356">
                  <c:v>10.5202450929598</c:v>
                </c:pt>
                <c:pt idx="357">
                  <c:v>10.5382308434471</c:v>
                </c:pt>
                <c:pt idx="358">
                  <c:v>10.5554522662719</c:v>
                </c:pt>
                <c:pt idx="359">
                  <c:v>10.5719697981864</c:v>
                </c:pt>
                <c:pt idx="360">
                  <c:v>10.5878369844325</c:v>
                </c:pt>
                <c:pt idx="361">
                  <c:v>10.6031014922038</c:v>
                </c:pt>
                <c:pt idx="362">
                  <c:v>10.6178059384373</c:v>
                </c:pt>
                <c:pt idx="363">
                  <c:v>10.6319885792883</c:v>
                </c:pt>
                <c:pt idx="364">
                  <c:v>10.6456838860278</c:v>
                </c:pt>
                <c:pt idx="365">
                  <c:v>10.6589230273541</c:v>
                </c:pt>
                <c:pt idx="366">
                  <c:v>10.6717342805061</c:v>
                </c:pt>
                <c:pt idx="367">
                  <c:v>10.6841433746905</c:v>
                </c:pt>
                <c:pt idx="368">
                  <c:v>10.6961737924277</c:v>
                </c:pt>
                <c:pt idx="369">
                  <c:v>10.7078470176514</c:v>
                </c:pt>
                <c:pt idx="370">
                  <c:v>10.7191827643408</c:v>
                </c:pt>
                <c:pt idx="371">
                  <c:v>10.7301991587099</c:v>
                </c:pt>
                <c:pt idx="372">
                  <c:v>10.7409129107569</c:v>
                </c:pt>
                <c:pt idx="373">
                  <c:v>10.7513394507625</c:v>
                </c:pt>
                <c:pt idx="374">
                  <c:v>10.7614930651366</c:v>
                </c:pt>
                <c:pt idx="375">
                  <c:v>10.7713870031532</c:v>
                </c:pt>
                <c:pt idx="376">
                  <c:v>10.7810335714576</c:v>
                </c:pt>
                <c:pt idx="377">
                  <c:v>10.7904442257381</c:v>
                </c:pt>
                <c:pt idx="378">
                  <c:v>10.7996296485396</c:v>
                </c:pt>
                <c:pt idx="379">
                  <c:v>10.8085998121811</c:v>
                </c:pt>
                <c:pt idx="380">
                  <c:v>10.8173640438937</c:v>
                </c:pt>
                <c:pt idx="381">
                  <c:v>10.8259310794846</c:v>
                </c:pt>
                <c:pt idx="382">
                  <c:v>10.8343091160007</c:v>
                </c:pt>
                <c:pt idx="383">
                  <c:v>10.8425058435095</c:v>
                </c:pt>
                <c:pt idx="384">
                  <c:v>10.8505285020412</c:v>
                </c:pt>
                <c:pt idx="385">
                  <c:v>10.8583839034324</c:v>
                </c:pt>
                <c:pt idx="386">
                  <c:v>10.8660784700618</c:v>
                </c:pt>
                <c:pt idx="387">
                  <c:v>10.8736182627352</c:v>
                </c:pt>
                <c:pt idx="388">
                  <c:v>10.8810090090244</c:v>
                </c:pt>
                <c:pt idx="389">
                  <c:v>10.8882561252637</c:v>
                </c:pt>
                <c:pt idx="390">
                  <c:v>10.8953647357696</c:v>
                </c:pt>
                <c:pt idx="391">
                  <c:v>10.9023396992039</c:v>
                </c:pt>
                <c:pt idx="392">
                  <c:v>10.9091856285921</c:v>
                </c:pt>
                <c:pt idx="393">
                  <c:v>10.9159068937011</c:v>
                </c:pt>
                <c:pt idx="394">
                  <c:v>10.9225076563186</c:v>
                </c:pt>
                <c:pt idx="395">
                  <c:v>10.9289918714368</c:v>
                </c:pt>
                <c:pt idx="396">
                  <c:v>10.935363298721</c:v>
                </c:pt>
                <c:pt idx="397">
                  <c:v>10.9416255249387</c:v>
                </c:pt>
                <c:pt idx="398">
                  <c:v>10.9477819729547</c:v>
                </c:pt>
                <c:pt idx="399">
                  <c:v>10.9538358975907</c:v>
                </c:pt>
                <c:pt idx="400">
                  <c:v>10.9597904161036</c:v>
                </c:pt>
                <c:pt idx="401">
                  <c:v>10.9656485002488</c:v>
                </c:pt>
                <c:pt idx="402">
                  <c:v>10.9714129986076</c:v>
                </c:pt>
                <c:pt idx="403">
                  <c:v>10.9770866293183</c:v>
                </c:pt>
                <c:pt idx="404">
                  <c:v>10.982671994476</c:v>
                </c:pt>
                <c:pt idx="405">
                  <c:v>10.9881715951356</c:v>
                </c:pt>
                <c:pt idx="406">
                  <c:v>10.9935878165659</c:v>
                </c:pt>
                <c:pt idx="407">
                  <c:v>10.9989229584533</c:v>
                </c:pt>
                <c:pt idx="408">
                  <c:v>11.0041792164239</c:v>
                </c:pt>
                <c:pt idx="409">
                  <c:v>11.0093587067084</c:v>
                </c:pt>
                <c:pt idx="410">
                  <c:v>11.0144634572358</c:v>
                </c:pt>
                <c:pt idx="411">
                  <c:v>11.0194954212704</c:v>
                </c:pt>
                <c:pt idx="412">
                  <c:v>11.0244564730475</c:v>
                </c:pt>
                <c:pt idx="413">
                  <c:v>11.029348424132</c:v>
                </c:pt>
                <c:pt idx="414">
                  <c:v>11.0341730060513</c:v>
                </c:pt>
                <c:pt idx="415">
                  <c:v>11.0389318937013</c:v>
                </c:pt>
                <c:pt idx="416">
                  <c:v>11.043626694588</c:v>
                </c:pt>
                <c:pt idx="417">
                  <c:v>11.0482589748257</c:v>
                </c:pt>
                <c:pt idx="418">
                  <c:v>11.052830228916</c:v>
                </c:pt>
                <c:pt idx="419">
                  <c:v>11.0573418964843</c:v>
                </c:pt>
                <c:pt idx="420">
                  <c:v>11.0617953860585</c:v>
                </c:pt>
                <c:pt idx="421">
                  <c:v>11.066192034978</c:v>
                </c:pt>
                <c:pt idx="422">
                  <c:v>11.0705331503494</c:v>
                </c:pt>
                <c:pt idx="423">
                  <c:v>11.0748199914026</c:v>
                </c:pt>
                <c:pt idx="424">
                  <c:v>11.0790537680887</c:v>
                </c:pt>
                <c:pt idx="425">
                  <c:v>11.0832356684876</c:v>
                </c:pt>
                <c:pt idx="426">
                  <c:v>11.0873668190527</c:v>
                </c:pt>
                <c:pt idx="427">
                  <c:v>11.0914483242322</c:v>
                </c:pt>
                <c:pt idx="428">
                  <c:v>11.0954812558739</c:v>
                </c:pt>
                <c:pt idx="429">
                  <c:v>11.0994666481951</c:v>
                </c:pt>
                <c:pt idx="430">
                  <c:v>11.1034054927266</c:v>
                </c:pt>
                <c:pt idx="431">
                  <c:v>11.1072987633774</c:v>
                </c:pt>
                <c:pt idx="432">
                  <c:v>11.1111474005183</c:v>
                </c:pt>
                <c:pt idx="433">
                  <c:v>11.1149523250758</c:v>
                </c:pt>
                <c:pt idx="434">
                  <c:v>11.1187144040615</c:v>
                </c:pt>
                <c:pt idx="435">
                  <c:v>11.1224345081135</c:v>
                </c:pt>
                <c:pt idx="436">
                  <c:v>11.126113465202</c:v>
                </c:pt>
                <c:pt idx="437">
                  <c:v>11.1297520819138</c:v>
                </c:pt>
                <c:pt idx="438">
                  <c:v>11.1333511467954</c:v>
                </c:pt>
                <c:pt idx="439">
                  <c:v>11.1369114275458</c:v>
                </c:pt>
                <c:pt idx="440">
                  <c:v>11.1404336551829</c:v>
                </c:pt>
                <c:pt idx="441">
                  <c:v>11.1439185600399</c:v>
                </c:pt>
                <c:pt idx="442">
                  <c:v>11.1473668435293</c:v>
                </c:pt>
                <c:pt idx="443">
                  <c:v>11.1507791752926</c:v>
                </c:pt>
                <c:pt idx="444">
                  <c:v>11.1541562306348</c:v>
                </c:pt>
                <c:pt idx="445">
                  <c:v>11.157498648619</c:v>
                </c:pt>
                <c:pt idx="446">
                  <c:v>11.160807056471</c:v>
                </c:pt>
                <c:pt idx="447">
                  <c:v>11.1640820677397</c:v>
                </c:pt>
                <c:pt idx="448">
                  <c:v>11.1673242666066</c:v>
                </c:pt>
                <c:pt idx="449">
                  <c:v>11.1705342543303</c:v>
                </c:pt>
                <c:pt idx="450">
                  <c:v>11.1737125714024</c:v>
                </c:pt>
                <c:pt idx="451">
                  <c:v>11.1768597861277</c:v>
                </c:pt>
                <c:pt idx="452">
                  <c:v>11.179976423281</c:v>
                </c:pt>
                <c:pt idx="453">
                  <c:v>11.1830630188872</c:v>
                </c:pt>
                <c:pt idx="454">
                  <c:v>11.1861200617925</c:v>
                </c:pt>
                <c:pt idx="455">
                  <c:v>11.1891480638115</c:v>
                </c:pt>
                <c:pt idx="456">
                  <c:v>11.1921475083136</c:v>
                </c:pt>
                <c:pt idx="457">
                  <c:v>11.1951188557176</c:v>
                </c:pt>
                <c:pt idx="458">
                  <c:v>11.1980625864369</c:v>
                </c:pt>
                <c:pt idx="459">
                  <c:v>11.2009791409124</c:v>
                </c:pt>
                <c:pt idx="460">
                  <c:v>11.203868955122</c:v>
                </c:pt>
                <c:pt idx="461">
                  <c:v>11.2067324596922</c:v>
                </c:pt>
                <c:pt idx="462">
                  <c:v>11.2095700790059</c:v>
                </c:pt>
                <c:pt idx="463">
                  <c:v>11.2123822149507</c:v>
                </c:pt>
                <c:pt idx="464">
                  <c:v>11.2151692764372</c:v>
                </c:pt>
                <c:pt idx="465">
                  <c:v>11.2179316478856</c:v>
                </c:pt>
                <c:pt idx="466">
                  <c:v>11.2206697113106</c:v>
                </c:pt>
                <c:pt idx="467">
                  <c:v>11.2233838377888</c:v>
                </c:pt>
                <c:pt idx="468">
                  <c:v>11.2260744024042</c:v>
                </c:pt>
                <c:pt idx="469">
                  <c:v>11.2287417519384</c:v>
                </c:pt>
                <c:pt idx="470">
                  <c:v>11.2313862275411</c:v>
                </c:pt>
                <c:pt idx="471">
                  <c:v>11.2340081963503</c:v>
                </c:pt>
                <c:pt idx="472">
                  <c:v>11.236607962488</c:v>
                </c:pt>
                <c:pt idx="473">
                  <c:v>11.2391858708729</c:v>
                </c:pt>
                <c:pt idx="474">
                  <c:v>11.2417422422802</c:v>
                </c:pt>
                <c:pt idx="475">
                  <c:v>11.2442773804525</c:v>
                </c:pt>
                <c:pt idx="476">
                  <c:v>11.2467915878143</c:v>
                </c:pt>
                <c:pt idx="477">
                  <c:v>11.2492851734023</c:v>
                </c:pt>
                <c:pt idx="478">
                  <c:v>11.2517584274515</c:v>
                </c:pt>
                <c:pt idx="479">
                  <c:v>11.25421164585</c:v>
                </c:pt>
                <c:pt idx="480">
                  <c:v>11.2566450874317</c:v>
                </c:pt>
                <c:pt idx="481">
                  <c:v>11.259059049541</c:v>
                </c:pt>
                <c:pt idx="482">
                  <c:v>11.2614538000072</c:v>
                </c:pt>
                <c:pt idx="483">
                  <c:v>11.2638295846427</c:v>
                </c:pt>
                <c:pt idx="484">
                  <c:v>11.2661866871758</c:v>
                </c:pt>
                <c:pt idx="485">
                  <c:v>11.2685253426087</c:v>
                </c:pt>
                <c:pt idx="486">
                  <c:v>11.270845814672</c:v>
                </c:pt>
                <c:pt idx="487">
                  <c:v>11.2731483345026</c:v>
                </c:pt>
                <c:pt idx="488">
                  <c:v>11.2754331527756</c:v>
                </c:pt>
                <c:pt idx="489">
                  <c:v>11.2777004953417</c:v>
                </c:pt>
                <c:pt idx="490">
                  <c:v>11.2799505982098</c:v>
                </c:pt>
                <c:pt idx="491">
                  <c:v>11.2821836805205</c:v>
                </c:pt>
                <c:pt idx="492">
                  <c:v>11.2843999710682</c:v>
                </c:pt>
                <c:pt idx="493">
                  <c:v>11.2865996901054</c:v>
                </c:pt>
                <c:pt idx="494">
                  <c:v>11.288783039749</c:v>
                </c:pt>
                <c:pt idx="495">
                  <c:v>11.2909502309179</c:v>
                </c:pt>
                <c:pt idx="496">
                  <c:v>11.2931014741068</c:v>
                </c:pt>
                <c:pt idx="497">
                  <c:v>11.2952369791775</c:v>
                </c:pt>
                <c:pt idx="498">
                  <c:v>11.2973569271347</c:v>
                </c:pt>
                <c:pt idx="499">
                  <c:v>11.2994615067692</c:v>
                </c:pt>
                <c:pt idx="500">
                  <c:v>11.3015509335327</c:v>
                </c:pt>
                <c:pt idx="501">
                  <c:v>11.3036253931643</c:v>
                </c:pt>
                <c:pt idx="502">
                  <c:v>11.3056850408013</c:v>
                </c:pt>
                <c:pt idx="503">
                  <c:v>11.3077300766051</c:v>
                </c:pt>
                <c:pt idx="504">
                  <c:v>11.3097606890238</c:v>
                </c:pt>
                <c:pt idx="505">
                  <c:v>11.3117770350495</c:v>
                </c:pt>
                <c:pt idx="506">
                  <c:v>11.3137792781287</c:v>
                </c:pt>
                <c:pt idx="507">
                  <c:v>11.3157676076611</c:v>
                </c:pt>
                <c:pt idx="508">
                  <c:v>11.3177421807357</c:v>
                </c:pt>
                <c:pt idx="509">
                  <c:v>11.3197031605776</c:v>
                </c:pt>
                <c:pt idx="510">
                  <c:v>11.321650696809</c:v>
                </c:pt>
                <c:pt idx="511">
                  <c:v>11.3235849646957</c:v>
                </c:pt>
                <c:pt idx="512">
                  <c:v>11.325506105818</c:v>
                </c:pt>
                <c:pt idx="513">
                  <c:v>11.3274142872428</c:v>
                </c:pt>
                <c:pt idx="514">
                  <c:v>11.3293096215651</c:v>
                </c:pt>
                <c:pt idx="515">
                  <c:v>11.3311922867388</c:v>
                </c:pt>
                <c:pt idx="516">
                  <c:v>11.3330624462908</c:v>
                </c:pt>
                <c:pt idx="517">
                  <c:v>11.3349201878013</c:v>
                </c:pt>
                <c:pt idx="518">
                  <c:v>11.3367656847736</c:v>
                </c:pt>
                <c:pt idx="519">
                  <c:v>11.338599075159</c:v>
                </c:pt>
                <c:pt idx="520">
                  <c:v>11.3404204811191</c:v>
                </c:pt>
                <c:pt idx="521">
                  <c:v>11.3422300500198</c:v>
                </c:pt>
                <c:pt idx="522">
                  <c:v>11.3440278924834</c:v>
                </c:pt>
                <c:pt idx="523">
                  <c:v>11.3458141650582</c:v>
                </c:pt>
                <c:pt idx="524">
                  <c:v>11.3475889662509</c:v>
                </c:pt>
                <c:pt idx="525">
                  <c:v>11.3493524405062</c:v>
                </c:pt>
                <c:pt idx="526">
                  <c:v>11.3511046945203</c:v>
                </c:pt>
                <c:pt idx="527">
                  <c:v>11.3528458600579</c:v>
                </c:pt>
                <c:pt idx="528">
                  <c:v>11.3545760517707</c:v>
                </c:pt>
                <c:pt idx="529">
                  <c:v>11.3562953881682</c:v>
                </c:pt>
                <c:pt idx="530">
                  <c:v>11.3580039916222</c:v>
                </c:pt>
                <c:pt idx="531">
                  <c:v>11.3597019452533</c:v>
                </c:pt>
                <c:pt idx="532">
                  <c:v>11.3613894003083</c:v>
                </c:pt>
                <c:pt idx="533">
                  <c:v>11.3630664687905</c:v>
                </c:pt>
                <c:pt idx="534">
                  <c:v>11.3647332226235</c:v>
                </c:pt>
                <c:pt idx="535">
                  <c:v>11.366389780395</c:v>
                </c:pt>
                <c:pt idx="536">
                  <c:v>11.3680362642414</c:v>
                </c:pt>
                <c:pt idx="537">
                  <c:v>11.3696727557306</c:v>
                </c:pt>
                <c:pt idx="538">
                  <c:v>11.3712993836052</c:v>
                </c:pt>
                <c:pt idx="539">
                  <c:v>11.3729162134879</c:v>
                </c:pt>
                <c:pt idx="540">
                  <c:v>11.37452338049</c:v>
                </c:pt>
                <c:pt idx="541">
                  <c:v>11.3761209561129</c:v>
                </c:pt>
                <c:pt idx="542">
                  <c:v>11.3777090593744</c:v>
                </c:pt>
                <c:pt idx="543">
                  <c:v>11.3792877448648</c:v>
                </c:pt>
                <c:pt idx="544">
                  <c:v>11.3808571599676</c:v>
                </c:pt>
                <c:pt idx="545">
                  <c:v>11.3824173647621</c:v>
                </c:pt>
                <c:pt idx="546">
                  <c:v>11.383968421586</c:v>
                </c:pt>
                <c:pt idx="547">
                  <c:v>11.385510486556</c:v>
                </c:pt>
                <c:pt idx="548">
                  <c:v>11.3870436045512</c:v>
                </c:pt>
                <c:pt idx="549">
                  <c:v>11.3885678684753</c:v>
                </c:pt>
                <c:pt idx="550">
                  <c:v>11.3900833738243</c:v>
                </c:pt>
                <c:pt idx="551">
                  <c:v>11.3915901954868</c:v>
                </c:pt>
                <c:pt idx="552">
                  <c:v>11.3930884106246</c:v>
                </c:pt>
                <c:pt idx="553">
                  <c:v>11.3945781453983</c:v>
                </c:pt>
                <c:pt idx="554">
                  <c:v>11.3960594116771</c:v>
                </c:pt>
                <c:pt idx="555">
                  <c:v>11.3975323402561</c:v>
                </c:pt>
                <c:pt idx="556">
                  <c:v>11.3989969940451</c:v>
                </c:pt>
                <c:pt idx="557">
                  <c:v>11.400453437916</c:v>
                </c:pt>
                <c:pt idx="558">
                  <c:v>11.4019017624636</c:v>
                </c:pt>
                <c:pt idx="559">
                  <c:v>11.4033420605642</c:v>
                </c:pt>
                <c:pt idx="560">
                  <c:v>11.404774355626</c:v>
                </c:pt>
                <c:pt idx="561">
                  <c:v>11.4061987923709</c:v>
                </c:pt>
                <c:pt idx="562">
                  <c:v>11.4076153980635</c:v>
                </c:pt>
                <c:pt idx="563">
                  <c:v>11.4090242254618</c:v>
                </c:pt>
                <c:pt idx="564">
                  <c:v>11.4104254016706</c:v>
                </c:pt>
                <c:pt idx="565">
                  <c:v>11.4118189348504</c:v>
                </c:pt>
                <c:pt idx="566">
                  <c:v>11.413204956125</c:v>
                </c:pt>
                <c:pt idx="567">
                  <c:v>11.4145835013585</c:v>
                </c:pt>
                <c:pt idx="568">
                  <c:v>11.4159546323055</c:v>
                </c:pt>
                <c:pt idx="569">
                  <c:v>11.4173184123821</c:v>
                </c:pt>
                <c:pt idx="570">
                  <c:v>11.4186749313614</c:v>
                </c:pt>
                <c:pt idx="571">
                  <c:v>11.4200242314441</c:v>
                </c:pt>
                <c:pt idx="572">
                  <c:v>11.4213663810343</c:v>
                </c:pt>
                <c:pt idx="573">
                  <c:v>11.4227014501994</c:v>
                </c:pt>
                <c:pt idx="574">
                  <c:v>11.4240295106699</c:v>
                </c:pt>
                <c:pt idx="575">
                  <c:v>11.4253506107624</c:v>
                </c:pt>
                <c:pt idx="576">
                  <c:v>11.426664800152</c:v>
                </c:pt>
                <c:pt idx="577">
                  <c:v>11.4279721551017</c:v>
                </c:pt>
                <c:pt idx="578">
                  <c:v>11.4292727282333</c:v>
                </c:pt>
                <c:pt idx="579">
                  <c:v>11.4305665735285</c:v>
                </c:pt>
                <c:pt idx="580">
                  <c:v>11.4318537463293</c:v>
                </c:pt>
                <c:pt idx="581">
                  <c:v>11.4331343288692</c:v>
                </c:pt>
                <c:pt idx="582">
                  <c:v>11.4344083538315</c:v>
                </c:pt>
                <c:pt idx="583">
                  <c:v>11.4356759063208</c:v>
                </c:pt>
                <c:pt idx="584">
                  <c:v>11.4369369958362</c:v>
                </c:pt>
                <c:pt idx="585">
                  <c:v>11.4381916842992</c:v>
                </c:pt>
                <c:pt idx="586">
                  <c:v>11.4394400608964</c:v>
                </c:pt>
                <c:pt idx="587">
                  <c:v>11.4406821645153</c:v>
                </c:pt>
                <c:pt idx="588">
                  <c:v>11.4419180351064</c:v>
                </c:pt>
                <c:pt idx="589">
                  <c:v>11.4431477136832</c:v>
                </c:pt>
                <c:pt idx="590">
                  <c:v>11.4443712685234</c:v>
                </c:pt>
                <c:pt idx="591">
                  <c:v>11.4455887692633</c:v>
                </c:pt>
                <c:pt idx="592">
                  <c:v>11.4468002342037</c:v>
                </c:pt>
                <c:pt idx="593">
                  <c:v>11.4480057352552</c:v>
                </c:pt>
                <c:pt idx="594">
                  <c:v>11.4492052926998</c:v>
                </c:pt>
                <c:pt idx="595">
                  <c:v>11.4503989807227</c:v>
                </c:pt>
                <c:pt idx="596">
                  <c:v>11.4515868215873</c:v>
                </c:pt>
                <c:pt idx="597">
                  <c:v>11.4527688917525</c:v>
                </c:pt>
                <c:pt idx="598">
                  <c:v>11.4539452154634</c:v>
                </c:pt>
                <c:pt idx="599">
                  <c:v>11.4551158714504</c:v>
                </c:pt>
                <c:pt idx="600">
                  <c:v>11.4562808590114</c:v>
                </c:pt>
                <c:pt idx="601">
                  <c:v>11.4574402859299</c:v>
                </c:pt>
                <c:pt idx="602">
                  <c:v>11.4585941262676</c:v>
                </c:pt>
                <c:pt idx="603">
                  <c:v>11.4597424357163</c:v>
                </c:pt>
                <c:pt idx="604">
                  <c:v>11.4608852982454</c:v>
                </c:pt>
                <c:pt idx="605">
                  <c:v>11.4620227173108</c:v>
                </c:pt>
                <c:pt idx="606">
                  <c:v>11.4631547515735</c:v>
                </c:pt>
                <c:pt idx="607">
                  <c:v>11.4642814607539</c:v>
                </c:pt>
                <c:pt idx="608">
                  <c:v>11.4654028781314</c:v>
                </c:pt>
                <c:pt idx="609">
                  <c:v>11.4665190101889</c:v>
                </c:pt>
                <c:pt idx="610">
                  <c:v>11.4676299468247</c:v>
                </c:pt>
                <c:pt idx="611">
                  <c:v>11.4687356961412</c:v>
                </c:pt>
                <c:pt idx="612">
                  <c:v>11.469836294515</c:v>
                </c:pt>
                <c:pt idx="613">
                  <c:v>11.4709318069491</c:v>
                </c:pt>
                <c:pt idx="614">
                  <c:v>11.4720222436565</c:v>
                </c:pt>
                <c:pt idx="615">
                  <c:v>11.4731076993195</c:v>
                </c:pt>
                <c:pt idx="616">
                  <c:v>11.4741881296439</c:v>
                </c:pt>
                <c:pt idx="617">
                  <c:v>11.4752636027967</c:v>
                </c:pt>
                <c:pt idx="618">
                  <c:v>11.4763341879963</c:v>
                </c:pt>
                <c:pt idx="619">
                  <c:v>11.4773998989711</c:v>
                </c:pt>
                <c:pt idx="620">
                  <c:v>11.4784607782826</c:v>
                </c:pt>
                <c:pt idx="621">
                  <c:v>11.4795168692638</c:v>
                </c:pt>
                <c:pt idx="622">
                  <c:v>11.4805681590643</c:v>
                </c:pt>
                <c:pt idx="623">
                  <c:v>11.4816147492364</c:v>
                </c:pt>
                <c:pt idx="624">
                  <c:v>11.4826566281951</c:v>
                </c:pt>
                <c:pt idx="625">
                  <c:v>11.4836938419412</c:v>
                </c:pt>
                <c:pt idx="626">
                  <c:v>11.4847264372448</c:v>
                </c:pt>
                <c:pt idx="627">
                  <c:v>11.4857544616443</c:v>
                </c:pt>
                <c:pt idx="628">
                  <c:v>11.486777876784</c:v>
                </c:pt>
                <c:pt idx="629">
                  <c:v>11.4877968179894</c:v>
                </c:pt>
                <c:pt idx="630">
                  <c:v>11.4888112190081</c:v>
                </c:pt>
                <c:pt idx="631">
                  <c:v>11.4898212169016</c:v>
                </c:pt>
                <c:pt idx="632">
                  <c:v>11.4908267462037</c:v>
                </c:pt>
                <c:pt idx="633">
                  <c:v>11.4918278580334</c:v>
                </c:pt>
                <c:pt idx="634">
                  <c:v>11.4928246335664</c:v>
                </c:pt>
                <c:pt idx="635">
                  <c:v>11.4938170669325</c:v>
                </c:pt>
                <c:pt idx="636">
                  <c:v>11.4948052113393</c:v>
                </c:pt>
                <c:pt idx="637">
                  <c:v>11.4957890617707</c:v>
                </c:pt>
                <c:pt idx="638">
                  <c:v>11.4967687021154</c:v>
                </c:pt>
                <c:pt idx="639">
                  <c:v>11.4977440987853</c:v>
                </c:pt>
                <c:pt idx="640">
                  <c:v>11.4987153072304</c:v>
                </c:pt>
                <c:pt idx="641">
                  <c:v>11.4996823836595</c:v>
                </c:pt>
                <c:pt idx="642">
                  <c:v>11.50064532539</c:v>
                </c:pt>
                <c:pt idx="643">
                  <c:v>11.501604159858</c:v>
                </c:pt>
                <c:pt idx="644">
                  <c:v>11.5025589449481</c:v>
                </c:pt>
                <c:pt idx="645">
                  <c:v>11.5035096792565</c:v>
                </c:pt>
                <c:pt idx="646">
                  <c:v>11.5044563916955</c:v>
                </c:pt>
                <c:pt idx="647">
                  <c:v>11.5053991418216</c:v>
                </c:pt>
                <c:pt idx="648">
                  <c:v>11.5063379295079</c:v>
                </c:pt>
                <c:pt idx="649">
                  <c:v>11.5072727851398</c:v>
                </c:pt>
                <c:pt idx="650">
                  <c:v>11.5082037395931</c:v>
                </c:pt>
                <c:pt idx="651">
                  <c:v>11.5091307938206</c:v>
                </c:pt>
                <c:pt idx="652">
                  <c:v>11.5100540099603</c:v>
                </c:pt>
                <c:pt idx="653">
                  <c:v>11.510973420356</c:v>
                </c:pt>
                <c:pt idx="654">
                  <c:v>11.5118889966268</c:v>
                </c:pt>
                <c:pt idx="655">
                  <c:v>11.512800833048</c:v>
                </c:pt>
                <c:pt idx="656">
                  <c:v>11.5137089019565</c:v>
                </c:pt>
                <c:pt idx="657">
                  <c:v>11.5146132680606</c:v>
                </c:pt>
                <c:pt idx="658">
                  <c:v>11.5155139042223</c:v>
                </c:pt>
                <c:pt idx="659">
                  <c:v>11.516410876059</c:v>
                </c:pt>
                <c:pt idx="660">
                  <c:v>11.5173042189389</c:v>
                </c:pt>
                <c:pt idx="661">
                  <c:v>11.5181939066071</c:v>
                </c:pt>
                <c:pt idx="662">
                  <c:v>11.5190800372552</c:v>
                </c:pt>
                <c:pt idx="663">
                  <c:v>11.5199625541623</c:v>
                </c:pt>
                <c:pt idx="664">
                  <c:v>11.5208415253075</c:v>
                </c:pt>
                <c:pt idx="665">
                  <c:v>11.5217169567923</c:v>
                </c:pt>
                <c:pt idx="666">
                  <c:v>11.5225888863186</c:v>
                </c:pt>
                <c:pt idx="667">
                  <c:v>11.5234573206378</c:v>
                </c:pt>
                <c:pt idx="668">
                  <c:v>11.5243222982274</c:v>
                </c:pt>
                <c:pt idx="669">
                  <c:v>11.5251838580458</c:v>
                </c:pt>
                <c:pt idx="670">
                  <c:v>11.5260419762911</c:v>
                </c:pt>
                <c:pt idx="671">
                  <c:v>11.5268966925073</c:v>
                </c:pt>
                <c:pt idx="672">
                  <c:v>11.5277480467183</c:v>
                </c:pt>
                <c:pt idx="673">
                  <c:v>11.5285960476198</c:v>
                </c:pt>
                <c:pt idx="674">
                  <c:v>11.5294407360062</c:v>
                </c:pt>
                <c:pt idx="675">
                  <c:v>11.5302820892882</c:v>
                </c:pt>
                <c:pt idx="676">
                  <c:v>11.5311201488438</c:v>
                </c:pt>
                <c:pt idx="677">
                  <c:v>11.5319549565281</c:v>
                </c:pt>
                <c:pt idx="678">
                  <c:v>11.5327864904411</c:v>
                </c:pt>
                <c:pt idx="679">
                  <c:v>11.5336148251965</c:v>
                </c:pt>
                <c:pt idx="680">
                  <c:v>11.5344399394146</c:v>
                </c:pt>
                <c:pt idx="681">
                  <c:v>11.5352618762978</c:v>
                </c:pt>
                <c:pt idx="682">
                  <c:v>11.5360806471622</c:v>
                </c:pt>
                <c:pt idx="683">
                  <c:v>11.5368962635527</c:v>
                </c:pt>
                <c:pt idx="684">
                  <c:v>11.5377087372431</c:v>
                </c:pt>
                <c:pt idx="685">
                  <c:v>11.5385181127783</c:v>
                </c:pt>
                <c:pt idx="686">
                  <c:v>11.5393244025713</c:v>
                </c:pt>
                <c:pt idx="687">
                  <c:v>11.5401276192638</c:v>
                </c:pt>
                <c:pt idx="688">
                  <c:v>11.5409277757254</c:v>
                </c:pt>
                <c:pt idx="689">
                  <c:v>11.5417249178369</c:v>
                </c:pt>
                <c:pt idx="690">
                  <c:v>11.5425190591044</c:v>
                </c:pt>
                <c:pt idx="691">
                  <c:v>11.5433101474553</c:v>
                </c:pt>
                <c:pt idx="692">
                  <c:v>11.5440983283424</c:v>
                </c:pt>
                <c:pt idx="693">
                  <c:v>11.5448835172447</c:v>
                </c:pt>
                <c:pt idx="694">
                  <c:v>11.5456657283986</c:v>
                </c:pt>
                <c:pt idx="695">
                  <c:v>11.5464450756916</c:v>
                </c:pt>
                <c:pt idx="696">
                  <c:v>11.5472214747467</c:v>
                </c:pt>
                <c:pt idx="697">
                  <c:v>11.5479950070012</c:v>
                </c:pt>
                <c:pt idx="698">
                  <c:v>11.5487656546351</c:v>
                </c:pt>
                <c:pt idx="699">
                  <c:v>11.5495334331961</c:v>
                </c:pt>
                <c:pt idx="700">
                  <c:v>11.5502984253315</c:v>
                </c:pt>
                <c:pt idx="701">
                  <c:v>11.5510605469071</c:v>
                </c:pt>
                <c:pt idx="702">
                  <c:v>11.55181988108</c:v>
                </c:pt>
                <c:pt idx="703">
                  <c:v>11.552576444476</c:v>
                </c:pt>
                <c:pt idx="704">
                  <c:v>11.5533302202748</c:v>
                </c:pt>
                <c:pt idx="705">
                  <c:v>11.5540812591057</c:v>
                </c:pt>
                <c:pt idx="706">
                  <c:v>11.5548295444806</c:v>
                </c:pt>
                <c:pt idx="707">
                  <c:v>11.5555750937484</c:v>
                </c:pt>
                <c:pt idx="708">
                  <c:v>11.5563179583855</c:v>
                </c:pt>
                <c:pt idx="709">
                  <c:v>11.5570581224012</c:v>
                </c:pt>
                <c:pt idx="710">
                  <c:v>11.5577956038158</c:v>
                </c:pt>
                <c:pt idx="711">
                  <c:v>11.5585304549494</c:v>
                </c:pt>
                <c:pt idx="712">
                  <c:v>11.559262626173</c:v>
                </c:pt>
                <c:pt idx="713">
                  <c:v>11.5599922043862</c:v>
                </c:pt>
                <c:pt idx="714">
                  <c:v>11.5607191744238</c:v>
                </c:pt>
                <c:pt idx="715">
                  <c:v>11.5614434868074</c:v>
                </c:pt>
                <c:pt idx="716">
                  <c:v>11.5621652636384</c:v>
                </c:pt>
                <c:pt idx="717">
                  <c:v>11.562884455825</c:v>
                </c:pt>
                <c:pt idx="718">
                  <c:v>11.5636011174708</c:v>
                </c:pt>
                <c:pt idx="719">
                  <c:v>11.5643151995277</c:v>
                </c:pt>
                <c:pt idx="720">
                  <c:v>11.5650267910747</c:v>
                </c:pt>
                <c:pt idx="721">
                  <c:v>11.565735843278</c:v>
                </c:pt>
                <c:pt idx="722">
                  <c:v>11.5664424458838</c:v>
                </c:pt>
                <c:pt idx="723">
                  <c:v>11.5671465155128</c:v>
                </c:pt>
                <c:pt idx="724">
                  <c:v>11.5678481424072</c:v>
                </c:pt>
                <c:pt idx="725">
                  <c:v>11.5685473128635</c:v>
                </c:pt>
                <c:pt idx="726">
                  <c:v>11.5692440481004</c:v>
                </c:pt>
                <c:pt idx="727">
                  <c:v>11.5699383345717</c:v>
                </c:pt>
                <c:pt idx="728">
                  <c:v>11.5706302288049</c:v>
                </c:pt>
                <c:pt idx="729">
                  <c:v>11.5713197175788</c:v>
                </c:pt>
                <c:pt idx="730">
                  <c:v>11.5720067876674</c:v>
                </c:pt>
                <c:pt idx="731">
                  <c:v>11.5726915314581</c:v>
                </c:pt>
                <c:pt idx="732">
                  <c:v>11.573373900954</c:v>
                </c:pt>
                <c:pt idx="733">
                  <c:v>11.5740538832485</c:v>
                </c:pt>
                <c:pt idx="734">
                  <c:v>11.5747315715465</c:v>
                </c:pt>
                <c:pt idx="735">
                  <c:v>11.5754069534299</c:v>
                </c:pt>
                <c:pt idx="736">
                  <c:v>11.5760799809945</c:v>
                </c:pt>
                <c:pt idx="737">
                  <c:v>11.576750748259</c:v>
                </c:pt>
                <c:pt idx="738">
                  <c:v>11.5774192431221</c:v>
                </c:pt>
                <c:pt idx="739">
                  <c:v>11.5780854178326</c:v>
                </c:pt>
                <c:pt idx="740">
                  <c:v>11.5787493672196</c:v>
                </c:pt>
                <c:pt idx="741">
                  <c:v>11.579411043743</c:v>
                </c:pt>
                <c:pt idx="742">
                  <c:v>11.5800705070696</c:v>
                </c:pt>
                <c:pt idx="743">
                  <c:v>11.5807277455704</c:v>
                </c:pt>
                <c:pt idx="744">
                  <c:v>11.5813827835307</c:v>
                </c:pt>
                <c:pt idx="745">
                  <c:v>11.5820356094772</c:v>
                </c:pt>
                <c:pt idx="746">
                  <c:v>11.5826862479594</c:v>
                </c:pt>
                <c:pt idx="747">
                  <c:v>11.5833346876602</c:v>
                </c:pt>
                <c:pt idx="748">
                  <c:v>11.583981025659</c:v>
                </c:pt>
                <c:pt idx="749">
                  <c:v>11.5846251425564</c:v>
                </c:pt>
                <c:pt idx="750">
                  <c:v>11.5852671719889</c:v>
                </c:pt>
                <c:pt idx="751">
                  <c:v>11.5859070306845</c:v>
                </c:pt>
                <c:pt idx="752">
                  <c:v>11.5865448166765</c:v>
                </c:pt>
                <c:pt idx="753">
                  <c:v>11.5871804466339</c:v>
                </c:pt>
                <c:pt idx="754">
                  <c:v>11.5878140190651</c:v>
                </c:pt>
                <c:pt idx="755">
                  <c:v>11.5884454870876</c:v>
                </c:pt>
                <c:pt idx="756">
                  <c:v>11.5890748767235</c:v>
                </c:pt>
                <c:pt idx="757">
                  <c:v>11.5897022142044</c:v>
                </c:pt>
                <c:pt idx="758">
                  <c:v>11.5903274893064</c:v>
                </c:pt>
                <c:pt idx="759">
                  <c:v>11.5909507285208</c:v>
                </c:pt>
                <c:pt idx="760">
                  <c:v>11.5915719585482</c:v>
                </c:pt>
                <c:pt idx="761">
                  <c:v>11.5921911694739</c:v>
                </c:pt>
                <c:pt idx="762">
                  <c:v>11.5928083145066</c:v>
                </c:pt>
                <c:pt idx="763">
                  <c:v>11.593423531281</c:v>
                </c:pt>
                <c:pt idx="764">
                  <c:v>11.5940366624296</c:v>
                </c:pt>
                <c:pt idx="765">
                  <c:v>11.5946479200654</c:v>
                </c:pt>
                <c:pt idx="766">
                  <c:v>11.595257146713</c:v>
                </c:pt>
                <c:pt idx="767">
                  <c:v>11.5958644068767</c:v>
                </c:pt>
                <c:pt idx="768">
                  <c:v>11.5964697654752</c:v>
                </c:pt>
                <c:pt idx="769">
                  <c:v>11.5970732133613</c:v>
                </c:pt>
                <c:pt idx="770">
                  <c:v>11.5976746668051</c:v>
                </c:pt>
                <c:pt idx="771">
                  <c:v>11.5982741910313</c:v>
                </c:pt>
                <c:pt idx="772">
                  <c:v>11.5988718516759</c:v>
                </c:pt>
                <c:pt idx="773">
                  <c:v>11.5994675650054</c:v>
                </c:pt>
                <c:pt idx="774">
                  <c:v>11.6000613968589</c:v>
                </c:pt>
                <c:pt idx="775">
                  <c:v>11.6006534134848</c:v>
                </c:pt>
                <c:pt idx="776">
                  <c:v>11.6012435311456</c:v>
                </c:pt>
                <c:pt idx="777">
                  <c:v>11.6018317409926</c:v>
                </c:pt>
                <c:pt idx="778">
                  <c:v>11.6024181095774</c:v>
                </c:pt>
                <c:pt idx="779">
                  <c:v>11.6030027038576</c:v>
                </c:pt>
                <c:pt idx="780">
                  <c:v>11.6035853643858</c:v>
                </c:pt>
                <c:pt idx="781">
                  <c:v>11.6041663094255</c:v>
                </c:pt>
                <c:pt idx="782">
                  <c:v>11.6047453036208</c:v>
                </c:pt>
                <c:pt idx="783">
                  <c:v>11.605322565841</c:v>
                </c:pt>
                <c:pt idx="784">
                  <c:v>11.6058980881439</c:v>
                </c:pt>
                <c:pt idx="785">
                  <c:v>11.6064717103713</c:v>
                </c:pt>
                <c:pt idx="786">
                  <c:v>11.6070436525994</c:v>
                </c:pt>
                <c:pt idx="787">
                  <c:v>11.6076137545683</c:v>
                </c:pt>
                <c:pt idx="788">
                  <c:v>11.6081820844399</c:v>
                </c:pt>
                <c:pt idx="789">
                  <c:v>11.6087487107757</c:v>
                </c:pt>
                <c:pt idx="790">
                  <c:v>11.6093136259283</c:v>
                </c:pt>
                <c:pt idx="791">
                  <c:v>11.6098767455431</c:v>
                </c:pt>
                <c:pt idx="792">
                  <c:v>11.610438138479</c:v>
                </c:pt>
                <c:pt idx="793">
                  <c:v>11.6109977970872</c:v>
                </c:pt>
                <c:pt idx="794">
                  <c:v>11.6115557907222</c:v>
                </c:pt>
                <c:pt idx="795">
                  <c:v>11.6121120349288</c:v>
                </c:pt>
                <c:pt idx="796">
                  <c:v>11.6126665992586</c:v>
                </c:pt>
                <c:pt idx="797">
                  <c:v>11.613219476358</c:v>
                </c:pt>
                <c:pt idx="798">
                  <c:v>11.6137706588732</c:v>
                </c:pt>
                <c:pt idx="799">
                  <c:v>11.6143202169456</c:v>
                </c:pt>
                <c:pt idx="800">
                  <c:v>11.6148680659221</c:v>
                </c:pt>
                <c:pt idx="801">
                  <c:v>11.6154142761397</c:v>
                </c:pt>
                <c:pt idx="802">
                  <c:v>11.615958840538</c:v>
                </c:pt>
                <c:pt idx="803">
                  <c:v>11.6165018299419</c:v>
                </c:pt>
                <c:pt idx="804">
                  <c:v>11.6170430816172</c:v>
                </c:pt>
                <c:pt idx="805">
                  <c:v>11.6175827443713</c:v>
                </c:pt>
                <c:pt idx="806">
                  <c:v>11.6181208114353</c:v>
                </c:pt>
                <c:pt idx="807">
                  <c:v>11.6186572760396</c:v>
                </c:pt>
                <c:pt idx="808">
                  <c:v>11.6191921314148</c:v>
                </c:pt>
                <c:pt idx="809">
                  <c:v>11.6197253707918</c:v>
                </c:pt>
                <c:pt idx="810">
                  <c:v>11.6202570659635</c:v>
                </c:pt>
                <c:pt idx="811">
                  <c:v>11.6207871317916</c:v>
                </c:pt>
                <c:pt idx="812">
                  <c:v>11.6213157190155</c:v>
                </c:pt>
                <c:pt idx="813">
                  <c:v>11.6218426637434</c:v>
                </c:pt>
                <c:pt idx="814">
                  <c:v>11.6223680381532</c:v>
                </c:pt>
                <c:pt idx="815">
                  <c:v>11.6228919148054</c:v>
                </c:pt>
                <c:pt idx="816">
                  <c:v>11.6234142083712</c:v>
                </c:pt>
                <c:pt idx="817">
                  <c:v>11.6239349916022</c:v>
                </c:pt>
                <c:pt idx="818">
                  <c:v>11.6244542583048</c:v>
                </c:pt>
                <c:pt idx="819">
                  <c:v>11.624972002286</c:v>
                </c:pt>
                <c:pt idx="820">
                  <c:v>11.6254882173529</c:v>
                </c:pt>
                <c:pt idx="821">
                  <c:v>11.6260029769215</c:v>
                </c:pt>
                <c:pt idx="822">
                  <c:v>11.6265161953801</c:v>
                </c:pt>
                <c:pt idx="823">
                  <c:v>11.6270278665377</c:v>
                </c:pt>
                <c:pt idx="824">
                  <c:v>11.6275381439843</c:v>
                </c:pt>
                <c:pt idx="825">
                  <c:v>11.628046942109</c:v>
                </c:pt>
                <c:pt idx="826">
                  <c:v>11.6285541749268</c:v>
                </c:pt>
                <c:pt idx="827">
                  <c:v>11.6290599965913</c:v>
                </c:pt>
                <c:pt idx="828">
                  <c:v>11.6295644014757</c:v>
                </c:pt>
                <c:pt idx="829">
                  <c:v>11.6300673035968</c:v>
                </c:pt>
                <c:pt idx="830">
                  <c:v>11.630568777499</c:v>
                </c:pt>
                <c:pt idx="831">
                  <c:v>11.6310688175564</c:v>
                </c:pt>
                <c:pt idx="832">
                  <c:v>11.6315674181438</c:v>
                </c:pt>
                <c:pt idx="833">
                  <c:v>11.6320645736365</c:v>
                </c:pt>
                <c:pt idx="834">
                  <c:v>11.6325603592298</c:v>
                </c:pt>
                <c:pt idx="835">
                  <c:v>11.6330546886656</c:v>
                </c:pt>
                <c:pt idx="836">
                  <c:v>11.6335476373246</c:v>
                </c:pt>
                <c:pt idx="837">
                  <c:v>11.6340391998609</c:v>
                </c:pt>
                <c:pt idx="838">
                  <c:v>11.6345292897426</c:v>
                </c:pt>
                <c:pt idx="839">
                  <c:v>11.6350180639061</c:v>
                </c:pt>
                <c:pt idx="840">
                  <c:v>11.6355054359125</c:v>
                </c:pt>
                <c:pt idx="841">
                  <c:v>11.6359914818787</c:v>
                </c:pt>
                <c:pt idx="842">
                  <c:v>11.6364761151839</c:v>
                </c:pt>
                <c:pt idx="843">
                  <c:v>11.6369594121287</c:v>
                </c:pt>
                <c:pt idx="844">
                  <c:v>11.6374412859119</c:v>
                </c:pt>
                <c:pt idx="845">
                  <c:v>11.6379218130173</c:v>
                </c:pt>
                <c:pt idx="846">
                  <c:v>11.6384010702917</c:v>
                </c:pt>
                <c:pt idx="847">
                  <c:v>11.6388788889321</c:v>
                </c:pt>
                <c:pt idx="848">
                  <c:v>11.6393555098842</c:v>
                </c:pt>
                <c:pt idx="849">
                  <c:v>11.6398306820723</c:v>
                </c:pt>
                <c:pt idx="850">
                  <c:v>11.6403045647101</c:v>
                </c:pt>
                <c:pt idx="851">
                  <c:v>11.6407771530043</c:v>
                </c:pt>
                <c:pt idx="852">
                  <c:v>11.6412484421619</c:v>
                </c:pt>
                <c:pt idx="853">
                  <c:v>11.6417184273909</c:v>
                </c:pt>
                <c:pt idx="854">
                  <c:v>11.6421871038998</c:v>
                </c:pt>
                <c:pt idx="855">
                  <c:v>11.642654466898</c:v>
                </c:pt>
                <c:pt idx="856">
                  <c:v>11.643120511596</c:v>
                </c:pt>
                <c:pt idx="857">
                  <c:v>11.6435853989998</c:v>
                </c:pt>
                <c:pt idx="858">
                  <c:v>11.6440488758961</c:v>
                </c:pt>
                <c:pt idx="859">
                  <c:v>11.6445111864556</c:v>
                </c:pt>
                <c:pt idx="860">
                  <c:v>11.6449721600979</c:v>
                </c:pt>
                <c:pt idx="861">
                  <c:v>11.6454318752895</c:v>
                </c:pt>
                <c:pt idx="862">
                  <c:v>11.6458903275118</c:v>
                </c:pt>
                <c:pt idx="863">
                  <c:v>11.6463475956732</c:v>
                </c:pt>
                <c:pt idx="864">
                  <c:v>11.6468035920063</c:v>
                </c:pt>
                <c:pt idx="865">
                  <c:v>11.6472583119949</c:v>
                </c:pt>
                <c:pt idx="866">
                  <c:v>11.6477118348131</c:v>
                </c:pt>
                <c:pt idx="867">
                  <c:v>11.6481641562091</c:v>
                </c:pt>
                <c:pt idx="868">
                  <c:v>11.6486151880689</c:v>
                </c:pt>
                <c:pt idx="869">
                  <c:v>11.6490650937809</c:v>
                </c:pt>
                <c:pt idx="870">
                  <c:v>11.6495137012829</c:v>
                </c:pt>
                <c:pt idx="871">
                  <c:v>11.6499610901896</c:v>
                </c:pt>
                <c:pt idx="872">
                  <c:v>11.6504073404632</c:v>
                </c:pt>
                <c:pt idx="873">
                  <c:v>11.6508523638205</c:v>
                </c:pt>
                <c:pt idx="874">
                  <c:v>11.6512962403983</c:v>
                </c:pt>
                <c:pt idx="875">
                  <c:v>11.6517388817422</c:v>
                </c:pt>
                <c:pt idx="876">
                  <c:v>11.6521803681632</c:v>
                </c:pt>
                <c:pt idx="877">
                  <c:v>11.6526206110369</c:v>
                </c:pt>
                <c:pt idx="878">
                  <c:v>11.6530597755738</c:v>
                </c:pt>
                <c:pt idx="879">
                  <c:v>11.6534976884259</c:v>
                </c:pt>
                <c:pt idx="880">
                  <c:v>11.6539345151478</c:v>
                </c:pt>
                <c:pt idx="881">
                  <c:v>11.654370167033</c:v>
                </c:pt>
                <c:pt idx="882">
                  <c:v>11.6548046401017</c:v>
                </c:pt>
                <c:pt idx="883">
                  <c:v>11.6552380155268</c:v>
                </c:pt>
                <c:pt idx="884">
                  <c:v>11.6556701191123</c:v>
                </c:pt>
                <c:pt idx="885">
                  <c:v>11.656101202591</c:v>
                </c:pt>
                <c:pt idx="886">
                  <c:v>11.6565311770896</c:v>
                </c:pt>
                <c:pt idx="887">
                  <c:v>11.6569599533975</c:v>
                </c:pt>
                <c:pt idx="888">
                  <c:v>11.6573876131161</c:v>
                </c:pt>
                <c:pt idx="889">
                  <c:v>11.6578141525266</c:v>
                </c:pt>
                <c:pt idx="890">
                  <c:v>11.6582395679111</c:v>
                </c:pt>
                <c:pt idx="891">
                  <c:v>11.6586639413788</c:v>
                </c:pt>
                <c:pt idx="892">
                  <c:v>11.6590871835555</c:v>
                </c:pt>
                <c:pt idx="893">
                  <c:v>11.6595092907262</c:v>
                </c:pt>
                <c:pt idx="894">
                  <c:v>11.6599302591774</c:v>
                </c:pt>
                <c:pt idx="895">
                  <c:v>11.6603501713565</c:v>
                </c:pt>
                <c:pt idx="896">
                  <c:v>11.6607690238022</c:v>
                </c:pt>
                <c:pt idx="897">
                  <c:v>11.6611868130536</c:v>
                </c:pt>
                <c:pt idx="898">
                  <c:v>11.6616035356508</c:v>
                </c:pt>
                <c:pt idx="899">
                  <c:v>11.6620191016431</c:v>
                </c:pt>
                <c:pt idx="900">
                  <c:v>11.6624335938987</c:v>
                </c:pt>
                <c:pt idx="901">
                  <c:v>11.6628470956172</c:v>
                </c:pt>
                <c:pt idx="902">
                  <c:v>11.663259430112</c:v>
                </c:pt>
                <c:pt idx="903">
                  <c:v>11.663670854145</c:v>
                </c:pt>
                <c:pt idx="904">
                  <c:v>11.6640811040454</c:v>
                </c:pt>
                <c:pt idx="905">
                  <c:v>11.6644903500848</c:v>
                </c:pt>
                <c:pt idx="906">
                  <c:v>11.6648985890574</c:v>
                </c:pt>
                <c:pt idx="907">
                  <c:v>11.6653057306094</c:v>
                </c:pt>
                <c:pt idx="908">
                  <c:v>11.6657118585218</c:v>
                </c:pt>
                <c:pt idx="909">
                  <c:v>11.6661169695912</c:v>
                </c:pt>
                <c:pt idx="910">
                  <c:v>11.6665209732225</c:v>
                </c:pt>
                <c:pt idx="911">
                  <c:v>11.6669240409183</c:v>
                </c:pt>
                <c:pt idx="912">
                  <c:v>11.6673259946116</c:v>
                </c:pt>
                <c:pt idx="913">
                  <c:v>11.6677270061317</c:v>
                </c:pt>
                <c:pt idx="914">
                  <c:v>11.6681270725228</c:v>
                </c:pt>
                <c:pt idx="915">
                  <c:v>11.6685260152349</c:v>
                </c:pt>
                <c:pt idx="916">
                  <c:v>11.6689240065854</c:v>
                </c:pt>
                <c:pt idx="917">
                  <c:v>11.6693209556624</c:v>
                </c:pt>
                <c:pt idx="918">
                  <c:v>11.6697169473103</c:v>
                </c:pt>
                <c:pt idx="919">
                  <c:v>11.6701119785768</c:v>
                </c:pt>
                <c:pt idx="920">
                  <c:v>11.670505958312</c:v>
                </c:pt>
                <c:pt idx="921">
                  <c:v>11.6708989716039</c:v>
                </c:pt>
                <c:pt idx="922">
                  <c:v>11.6712910155028</c:v>
                </c:pt>
                <c:pt idx="923">
                  <c:v>11.67168208706</c:v>
                </c:pt>
                <c:pt idx="924">
                  <c:v>11.6720721833278</c:v>
                </c:pt>
                <c:pt idx="925">
                  <c:v>11.6724612127629</c:v>
                </c:pt>
                <c:pt idx="926">
                  <c:v>11.6728493495331</c:v>
                </c:pt>
                <c:pt idx="927">
                  <c:v>11.6732365909314</c:v>
                </c:pt>
                <c:pt idx="928">
                  <c:v>11.6736228454176</c:v>
                </c:pt>
                <c:pt idx="929">
                  <c:v>11.674008110049</c:v>
                </c:pt>
                <c:pt idx="930">
                  <c:v>11.6743924708753</c:v>
                </c:pt>
                <c:pt idx="931">
                  <c:v>11.6747758361225</c:v>
                </c:pt>
                <c:pt idx="932">
                  <c:v>11.6751582028515</c:v>
                </c:pt>
                <c:pt idx="933">
                  <c:v>11.6755397465777</c:v>
                </c:pt>
                <c:pt idx="934">
                  <c:v>11.6759202862247</c:v>
                </c:pt>
                <c:pt idx="935">
                  <c:v>11.6762999082399</c:v>
                </c:pt>
                <c:pt idx="936">
                  <c:v>11.6766786099234</c:v>
                </c:pt>
                <c:pt idx="937">
                  <c:v>11.6770563885762</c:v>
                </c:pt>
                <c:pt idx="938">
                  <c:v>11.6774332415001</c:v>
                </c:pt>
                <c:pt idx="939">
                  <c:v>11.6778091659981</c:v>
                </c:pt>
                <c:pt idx="940">
                  <c:v>11.678184159374</c:v>
                </c:pt>
                <c:pt idx="941">
                  <c:v>11.6785583087817</c:v>
                </c:pt>
                <c:pt idx="942">
                  <c:v>11.6789314319067</c:v>
                </c:pt>
                <c:pt idx="943">
                  <c:v>11.6793037958346</c:v>
                </c:pt>
                <c:pt idx="944">
                  <c:v>11.6796751280949</c:v>
                </c:pt>
                <c:pt idx="945">
                  <c:v>11.6800456962375</c:v>
                </c:pt>
                <c:pt idx="946">
                  <c:v>11.6804152273321</c:v>
                </c:pt>
                <c:pt idx="947">
                  <c:v>11.6807839893918</c:v>
                </c:pt>
                <c:pt idx="948">
                  <c:v>11.6811517994146</c:v>
                </c:pt>
                <c:pt idx="949">
                  <c:v>11.681518745178</c:v>
                </c:pt>
                <c:pt idx="950">
                  <c:v>11.6818847336864</c:v>
                </c:pt>
                <c:pt idx="951">
                  <c:v>11.6822499434883</c:v>
                </c:pt>
                <c:pt idx="952">
                  <c:v>11.682614281666</c:v>
                </c:pt>
                <c:pt idx="953">
                  <c:v>11.6829776549985</c:v>
                </c:pt>
                <c:pt idx="954">
                  <c:v>11.6833402424937</c:v>
                </c:pt>
                <c:pt idx="955">
                  <c:v>11.6837019510082</c:v>
                </c:pt>
                <c:pt idx="956">
                  <c:v>11.6840627780919</c:v>
                </c:pt>
                <c:pt idx="957">
                  <c:v>11.6844227212958</c:v>
                </c:pt>
                <c:pt idx="958">
                  <c:v>11.6847818693176</c:v>
                </c:pt>
                <c:pt idx="959">
                  <c:v>11.6851401287152</c:v>
                </c:pt>
                <c:pt idx="960">
                  <c:v>11.6854975883388</c:v>
                </c:pt>
                <c:pt idx="961">
                  <c:v>11.6858541545974</c:v>
                </c:pt>
                <c:pt idx="962">
                  <c:v>11.6862099164932</c:v>
                </c:pt>
                <c:pt idx="963">
                  <c:v>11.6865647802874</c:v>
                </c:pt>
                <c:pt idx="964">
                  <c:v>11.6869188351338</c:v>
                </c:pt>
                <c:pt idx="965">
                  <c:v>11.687272078816</c:v>
                </c:pt>
                <c:pt idx="966">
                  <c:v>11.6876245091183</c:v>
                </c:pt>
                <c:pt idx="967">
                  <c:v>11.687976032007</c:v>
                </c:pt>
                <c:pt idx="968">
                  <c:v>11.688326828831</c:v>
                </c:pt>
                <c:pt idx="969">
                  <c:v>11.6886767136659</c:v>
                </c:pt>
                <c:pt idx="970">
                  <c:v>11.6890258681591</c:v>
                </c:pt>
                <c:pt idx="971">
                  <c:v>11.6893741060917</c:v>
                </c:pt>
                <c:pt idx="972">
                  <c:v>11.6897216094086</c:v>
                </c:pt>
                <c:pt idx="973">
                  <c:v>11.6900682838598</c:v>
                </c:pt>
                <c:pt idx="974">
                  <c:v>11.6904141272365</c:v>
                </c:pt>
                <c:pt idx="975">
                  <c:v>11.6907592297405</c:v>
                </c:pt>
                <c:pt idx="976">
                  <c:v>11.6911034044208</c:v>
                </c:pt>
                <c:pt idx="977">
                  <c:v>11.6914469265186</c:v>
                </c:pt>
                <c:pt idx="978">
                  <c:v>11.6917896090114</c:v>
                </c:pt>
                <c:pt idx="979">
                  <c:v>11.6921314496956</c:v>
                </c:pt>
                <c:pt idx="980">
                  <c:v>11.6924725391434</c:v>
                </c:pt>
                <c:pt idx="981">
                  <c:v>11.692812875372</c:v>
                </c:pt>
                <c:pt idx="982">
                  <c:v>11.6931523634797</c:v>
                </c:pt>
                <c:pt idx="983">
                  <c:v>11.6934910942595</c:v>
                </c:pt>
                <c:pt idx="984">
                  <c:v>11.6938290657311</c:v>
                </c:pt>
                <c:pt idx="985">
                  <c:v>11.6941662759147</c:v>
                </c:pt>
                <c:pt idx="986">
                  <c:v>11.6945026296226</c:v>
                </c:pt>
                <c:pt idx="987">
                  <c:v>11.6948383112223</c:v>
                </c:pt>
                <c:pt idx="988">
                  <c:v>11.695173132247</c:v>
                </c:pt>
                <c:pt idx="989">
                  <c:v>11.6955072773541</c:v>
                </c:pt>
                <c:pt idx="990">
                  <c:v>11.6958406512871</c:v>
                </c:pt>
                <c:pt idx="991">
                  <c:v>11.6961732520716</c:v>
                </c:pt>
                <c:pt idx="992">
                  <c:v>11.6965050777337</c:v>
                </c:pt>
                <c:pt idx="993">
                  <c:v>11.6968361263008</c:v>
                </c:pt>
                <c:pt idx="994">
                  <c:v>11.6971664895836</c:v>
                </c:pt>
                <c:pt idx="995">
                  <c:v>11.6974960719715</c:v>
                </c:pt>
                <c:pt idx="996">
                  <c:v>11.6978249654192</c:v>
                </c:pt>
                <c:pt idx="997">
                  <c:v>11.6981529801796</c:v>
                </c:pt>
                <c:pt idx="998">
                  <c:v>11.6984803022051</c:v>
                </c:pt>
                <c:pt idx="999">
                  <c:v>11.6988070238788</c:v>
                </c:pt>
              </c:numCache>
            </c:numRef>
          </c:yVal>
          <c:smooth val="0"/>
        </c:ser>
        <c:axId val="26359143"/>
        <c:axId val="17221976"/>
      </c:scatterChart>
      <c:valAx>
        <c:axId val="26359143"/>
        <c:scaling>
          <c:orientation val="minMax"/>
          <c:max val="16"/>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Base flow Qb (mL/s)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21976"/>
        <c:crosses val="min"/>
        <c:crossBetween val="midCat"/>
      </c:valAx>
      <c:valAx>
        <c:axId val="17221976"/>
        <c:scaling>
          <c:orientation val="minMax"/>
          <c:max val="13"/>
          <c:min val="1"/>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Steady-state pH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35914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Process gain from the titration slope</a:t>
            </a:r>
          </a:p>
        </c:rich>
      </c:tx>
      <c:overlay val="0"/>
      <c:spPr>
        <a:noFill/>
        <a:ln w="0">
          <a:noFill/>
        </a:ln>
      </c:spPr>
    </c:title>
    <c:autoTitleDeleted val="0"/>
    <c:plotArea>
      <c:scatterChart>
        <c:scatterStyle val="line"/>
        <c:varyColors val="0"/>
        <c:ser>
          <c:idx val="0"/>
          <c:order val="0"/>
          <c:tx>
            <c:strRef>
              <c:f>"Raw slope"</c:f>
              <c:strCache>
                <c:ptCount val="1"/>
                <c:pt idx="0">
                  <c:v>Raw slope</c:v>
                </c:pt>
              </c:strCache>
            </c:strRef>
          </c:tx>
          <c:spPr>
            <a:solidFill>
              <a:srgbClr val="a6a6a6"/>
            </a:solidFill>
            <a:ln w="14040">
              <a:solidFill>
                <a:srgbClr val="a6a6a6"/>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04_Titration!$B$5:$B$1004</c:f>
              <c:numCache>
                <c:formatCode>0.0000</c:formatCode>
                <c:ptCount val="1000"/>
                <c:pt idx="0">
                  <c:v>1.99999999995657</c:v>
                </c:pt>
                <c:pt idx="1">
                  <c:v>2.00260707821176</c:v>
                </c:pt>
                <c:pt idx="2">
                  <c:v>2.00521420344244</c:v>
                </c:pt>
                <c:pt idx="3">
                  <c:v>2.0078214226292</c:v>
                </c:pt>
                <c:pt idx="4">
                  <c:v>2.01042878276276</c:v>
                </c:pt>
                <c:pt idx="5">
                  <c:v>2.01303633084911</c:v>
                </c:pt>
                <c:pt idx="6">
                  <c:v>2.01564411391456</c:v>
                </c:pt>
                <c:pt idx="7">
                  <c:v>2.01825217901083</c:v>
                </c:pt>
                <c:pt idx="8">
                  <c:v>2.02086057322018</c:v>
                </c:pt>
                <c:pt idx="9">
                  <c:v>2.02346934366048</c:v>
                </c:pt>
                <c:pt idx="10">
                  <c:v>2.02607853749035</c:v>
                </c:pt>
                <c:pt idx="11">
                  <c:v>2.0286882019143</c:v>
                </c:pt>
                <c:pt idx="12">
                  <c:v>2.03129838418784</c:v>
                </c:pt>
                <c:pt idx="13">
                  <c:v>2.03390913162264</c:v>
                </c:pt>
                <c:pt idx="14">
                  <c:v>2.03652049159172</c:v>
                </c:pt>
                <c:pt idx="15">
                  <c:v>2.03913251153464</c:v>
                </c:pt>
                <c:pt idx="16">
                  <c:v>2.04174523896266</c:v>
                </c:pt>
                <c:pt idx="17">
                  <c:v>2.04435872146402</c:v>
                </c:pt>
                <c:pt idx="18">
                  <c:v>2.04697300670914</c:v>
                </c:pt>
                <c:pt idx="19">
                  <c:v>2.04958814245593</c:v>
                </c:pt>
                <c:pt idx="20">
                  <c:v>2.05220417655504</c:v>
                </c:pt>
                <c:pt idx="21">
                  <c:v>2.05482115695519</c:v>
                </c:pt>
                <c:pt idx="22">
                  <c:v>2.05743913170854</c:v>
                </c:pt>
                <c:pt idx="23">
                  <c:v>2.06005814897604</c:v>
                </c:pt>
                <c:pt idx="24">
                  <c:v>2.0626782570328</c:v>
                </c:pt>
                <c:pt idx="25">
                  <c:v>2.06529950427361</c:v>
                </c:pt>
                <c:pt idx="26">
                  <c:v>2.0679219392183</c:v>
                </c:pt>
                <c:pt idx="27">
                  <c:v>2.07054561051733</c:v>
                </c:pt>
                <c:pt idx="28">
                  <c:v>2.07317056695729</c:v>
                </c:pt>
                <c:pt idx="29">
                  <c:v>2.07579685746646</c:v>
                </c:pt>
                <c:pt idx="30">
                  <c:v>2.07842453112045</c:v>
                </c:pt>
                <c:pt idx="31">
                  <c:v>2.08105363714785</c:v>
                </c:pt>
                <c:pt idx="32">
                  <c:v>2.08368422493593</c:v>
                </c:pt>
                <c:pt idx="33">
                  <c:v>2.08631634403635</c:v>
                </c:pt>
                <c:pt idx="34">
                  <c:v>2.08895004417101</c:v>
                </c:pt>
                <c:pt idx="35">
                  <c:v>2.09158537523785</c:v>
                </c:pt>
                <c:pt idx="36">
                  <c:v>2.09422238731671</c:v>
                </c:pt>
                <c:pt idx="37">
                  <c:v>2.09686113067533</c:v>
                </c:pt>
                <c:pt idx="38">
                  <c:v>2.09950165577529</c:v>
                </c:pt>
                <c:pt idx="39">
                  <c:v>2.10214401327808</c:v>
                </c:pt>
                <c:pt idx="40">
                  <c:v>2.1047882540512</c:v>
                </c:pt>
                <c:pt idx="41">
                  <c:v>2.10743442917432</c:v>
                </c:pt>
                <c:pt idx="42">
                  <c:v>2.11008258994549</c:v>
                </c:pt>
                <c:pt idx="43">
                  <c:v>2.11273278788744</c:v>
                </c:pt>
                <c:pt idx="44">
                  <c:v>2.11538507475395</c:v>
                </c:pt>
                <c:pt idx="45">
                  <c:v>2.11803950253622</c:v>
                </c:pt>
                <c:pt idx="46">
                  <c:v>2.12069612346939</c:v>
                </c:pt>
                <c:pt idx="47">
                  <c:v>2.12335499003909</c:v>
                </c:pt>
                <c:pt idx="48">
                  <c:v>2.12601615498806</c:v>
                </c:pt>
                <c:pt idx="49">
                  <c:v>2.12867967132287</c:v>
                </c:pt>
                <c:pt idx="50">
                  <c:v>2.13134559232071</c:v>
                </c:pt>
                <c:pt idx="51">
                  <c:v>2.13401397153623</c:v>
                </c:pt>
                <c:pt idx="52">
                  <c:v>2.13668486280849</c:v>
                </c:pt>
                <c:pt idx="53">
                  <c:v>2.139358320268</c:v>
                </c:pt>
                <c:pt idx="54">
                  <c:v>2.14203439834384</c:v>
                </c:pt>
                <c:pt idx="55">
                  <c:v>2.14471315177087</c:v>
                </c:pt>
                <c:pt idx="56">
                  <c:v>2.14739463559699</c:v>
                </c:pt>
                <c:pt idx="57">
                  <c:v>2.1500789051906</c:v>
                </c:pt>
                <c:pt idx="58">
                  <c:v>2.15276601624804</c:v>
                </c:pt>
                <c:pt idx="59">
                  <c:v>2.15545602480117</c:v>
                </c:pt>
                <c:pt idx="60">
                  <c:v>2.15814898722513</c:v>
                </c:pt>
                <c:pt idx="61">
                  <c:v>2.16084496024607</c:v>
                </c:pt>
                <c:pt idx="62">
                  <c:v>2.1635440009491</c:v>
                </c:pt>
                <c:pt idx="63">
                  <c:v>2.16624616678628</c:v>
                </c:pt>
                <c:pt idx="64">
                  <c:v>2.16895151558478</c:v>
                </c:pt>
                <c:pt idx="65">
                  <c:v>2.17166010555511</c:v>
                </c:pt>
                <c:pt idx="66">
                  <c:v>2.17437199529949</c:v>
                </c:pt>
                <c:pt idx="67">
                  <c:v>2.17708724382038</c:v>
                </c:pt>
                <c:pt idx="68">
                  <c:v>2.17980591052905</c:v>
                </c:pt>
                <c:pt idx="69">
                  <c:v>2.18252805525436</c:v>
                </c:pt>
                <c:pt idx="70">
                  <c:v>2.18525373825166</c:v>
                </c:pt>
                <c:pt idx="71">
                  <c:v>2.18798302021178</c:v>
                </c:pt>
                <c:pt idx="72">
                  <c:v>2.19071596227022</c:v>
                </c:pt>
                <c:pt idx="73">
                  <c:v>2.19345262601646</c:v>
                </c:pt>
                <c:pt idx="74">
                  <c:v>2.19619307350339</c:v>
                </c:pt>
                <c:pt idx="75">
                  <c:v>2.19893736725695</c:v>
                </c:pt>
                <c:pt idx="76">
                  <c:v>2.2016855702859</c:v>
                </c:pt>
                <c:pt idx="77">
                  <c:v>2.20443774609172</c:v>
                </c:pt>
                <c:pt idx="78">
                  <c:v>2.20719395867871</c:v>
                </c:pt>
                <c:pt idx="79">
                  <c:v>2.20995427256429</c:v>
                </c:pt>
                <c:pt idx="80">
                  <c:v>2.21271875278937</c:v>
                </c:pt>
                <c:pt idx="81">
                  <c:v>2.21548746492901</c:v>
                </c:pt>
                <c:pt idx="82">
                  <c:v>2.21826047510321</c:v>
                </c:pt>
                <c:pt idx="83">
                  <c:v>2.22103784998789</c:v>
                </c:pt>
                <c:pt idx="84">
                  <c:v>2.22381965682604</c:v>
                </c:pt>
                <c:pt idx="85">
                  <c:v>2.22660596343913</c:v>
                </c:pt>
                <c:pt idx="86">
                  <c:v>2.22939683823866</c:v>
                </c:pt>
                <c:pt idx="87">
                  <c:v>2.23219235023797</c:v>
                </c:pt>
                <c:pt idx="88">
                  <c:v>2.23499256906422</c:v>
                </c:pt>
                <c:pt idx="89">
                  <c:v>2.23779756497059</c:v>
                </c:pt>
                <c:pt idx="90">
                  <c:v>2.24060740884875</c:v>
                </c:pt>
                <c:pt idx="91">
                  <c:v>2.24342217224152</c:v>
                </c:pt>
                <c:pt idx="92">
                  <c:v>2.24624192735577</c:v>
                </c:pt>
                <c:pt idx="93">
                  <c:v>2.2490667470756</c:v>
                </c:pt>
                <c:pt idx="94">
                  <c:v>2.25189670497569</c:v>
                </c:pt>
                <c:pt idx="95">
                  <c:v>2.25473187533501</c:v>
                </c:pt>
                <c:pt idx="96">
                  <c:v>2.25757233315072</c:v>
                </c:pt>
                <c:pt idx="97">
                  <c:v>2.26041815415232</c:v>
                </c:pt>
                <c:pt idx="98">
                  <c:v>2.26326941481621</c:v>
                </c:pt>
                <c:pt idx="99">
                  <c:v>2.26612619238033</c:v>
                </c:pt>
                <c:pt idx="100">
                  <c:v>2.2689885648593</c:v>
                </c:pt>
                <c:pt idx="101">
                  <c:v>2.2718566110597</c:v>
                </c:pt>
                <c:pt idx="102">
                  <c:v>2.27473041059576</c:v>
                </c:pt>
                <c:pt idx="103">
                  <c:v>2.27761004390529</c:v>
                </c:pt>
                <c:pt idx="104">
                  <c:v>2.28049559226603</c:v>
                </c:pt>
                <c:pt idx="105">
                  <c:v>2.28338713781221</c:v>
                </c:pt>
                <c:pt idx="106">
                  <c:v>2.28628476355158</c:v>
                </c:pt>
                <c:pt idx="107">
                  <c:v>2.28918855338269</c:v>
                </c:pt>
                <c:pt idx="108">
                  <c:v>2.2920985921126</c:v>
                </c:pt>
                <c:pt idx="109">
                  <c:v>2.29501496547493</c:v>
                </c:pt>
                <c:pt idx="110">
                  <c:v>2.2979377601483</c:v>
                </c:pt>
                <c:pt idx="111">
                  <c:v>2.30086706377514</c:v>
                </c:pt>
                <c:pt idx="112">
                  <c:v>2.30380296498099</c:v>
                </c:pt>
                <c:pt idx="113">
                  <c:v>2.30674555339405</c:v>
                </c:pt>
                <c:pt idx="114">
                  <c:v>2.30969491966537</c:v>
                </c:pt>
                <c:pt idx="115">
                  <c:v>2.31265115548928</c:v>
                </c:pt>
                <c:pt idx="116">
                  <c:v>2.31561435362439</c:v>
                </c:pt>
                <c:pt idx="117">
                  <c:v>2.31858460791503</c:v>
                </c:pt>
                <c:pt idx="118">
                  <c:v>2.32156201331314</c:v>
                </c:pt>
                <c:pt idx="119">
                  <c:v>2.3245466659007</c:v>
                </c:pt>
                <c:pt idx="120">
                  <c:v>2.32753866291257</c:v>
                </c:pt>
                <c:pt idx="121">
                  <c:v>2.33053810276</c:v>
                </c:pt>
                <c:pt idx="122">
                  <c:v>2.33354508505451</c:v>
                </c:pt>
                <c:pt idx="123">
                  <c:v>2.33655971063244</c:v>
                </c:pt>
                <c:pt idx="124">
                  <c:v>2.33958208158001</c:v>
                </c:pt>
                <c:pt idx="125">
                  <c:v>2.34261230125895</c:v>
                </c:pt>
                <c:pt idx="126">
                  <c:v>2.34565047433281</c:v>
                </c:pt>
                <c:pt idx="127">
                  <c:v>2.34869670679378</c:v>
                </c:pt>
                <c:pt idx="128">
                  <c:v>2.35175110599021</c:v>
                </c:pt>
                <c:pt idx="129">
                  <c:v>2.35481378065477</c:v>
                </c:pt>
                <c:pt idx="130">
                  <c:v>2.35788484093328</c:v>
                </c:pt>
                <c:pt idx="131">
                  <c:v>2.36096439841424</c:v>
                </c:pt>
                <c:pt idx="132">
                  <c:v>2.36405256615907</c:v>
                </c:pt>
                <c:pt idx="133">
                  <c:v>2.36714945873307</c:v>
                </c:pt>
                <c:pt idx="134">
                  <c:v>2.37025519223719</c:v>
                </c:pt>
                <c:pt idx="135">
                  <c:v>2.37336988434049</c:v>
                </c:pt>
                <c:pt idx="136">
                  <c:v>2.37649365431353</c:v>
                </c:pt>
                <c:pt idx="137">
                  <c:v>2.37962662306245</c:v>
                </c:pt>
                <c:pt idx="138">
                  <c:v>2.38276891316404</c:v>
                </c:pt>
                <c:pt idx="139">
                  <c:v>2.38592064890158</c:v>
                </c:pt>
                <c:pt idx="140">
                  <c:v>2.38908195630168</c:v>
                </c:pt>
                <c:pt idx="141">
                  <c:v>2.39225296317197</c:v>
                </c:pt>
                <c:pt idx="142">
                  <c:v>2.39543379913987</c:v>
                </c:pt>
                <c:pt idx="143">
                  <c:v>2.39862459569224</c:v>
                </c:pt>
                <c:pt idx="144">
                  <c:v>2.40182548621612</c:v>
                </c:pt>
                <c:pt idx="145">
                  <c:v>2.40503660604058</c:v>
                </c:pt>
                <c:pt idx="146">
                  <c:v>2.40825809247955</c:v>
                </c:pt>
                <c:pt idx="147">
                  <c:v>2.41149008487589</c:v>
                </c:pt>
                <c:pt idx="148">
                  <c:v>2.4147327246466</c:v>
                </c:pt>
                <c:pt idx="149">
                  <c:v>2.41798615532917</c:v>
                </c:pt>
                <c:pt idx="150">
                  <c:v>2.42125052262931</c:v>
                </c:pt>
                <c:pt idx="151">
                  <c:v>2.42452597446986</c:v>
                </c:pt>
                <c:pt idx="152">
                  <c:v>2.42781266104105</c:v>
                </c:pt>
                <c:pt idx="153">
                  <c:v>2.43111073485219</c:v>
                </c:pt>
                <c:pt idx="154">
                  <c:v>2.43442035078472</c:v>
                </c:pt>
                <c:pt idx="155">
                  <c:v>2.43774166614678</c:v>
                </c:pt>
                <c:pt idx="156">
                  <c:v>2.44107484072926</c:v>
                </c:pt>
                <c:pt idx="157">
                  <c:v>2.44442003686342</c:v>
                </c:pt>
                <c:pt idx="158">
                  <c:v>2.44777741948022</c:v>
                </c:pt>
                <c:pt idx="159">
                  <c:v>2.45114715617121</c:v>
                </c:pt>
                <c:pt idx="160">
                  <c:v>2.45452941725121</c:v>
                </c:pt>
                <c:pt idx="161">
                  <c:v>2.45792437582287</c:v>
                </c:pt>
                <c:pt idx="162">
                  <c:v>2.46133220784293</c:v>
                </c:pt>
                <c:pt idx="163">
                  <c:v>2.46475309219059</c:v>
                </c:pt>
                <c:pt idx="164">
                  <c:v>2.46818721073772</c:v>
                </c:pt>
                <c:pt idx="165">
                  <c:v>2.47163474842126</c:v>
                </c:pt>
                <c:pt idx="166">
                  <c:v>2.47509589331768</c:v>
                </c:pt>
                <c:pt idx="167">
                  <c:v>2.47857083671971</c:v>
                </c:pt>
                <c:pt idx="168">
                  <c:v>2.48205977321539</c:v>
                </c:pt>
                <c:pt idx="169">
                  <c:v>2.48556290076939</c:v>
                </c:pt>
                <c:pt idx="170">
                  <c:v>2.48908042080696</c:v>
                </c:pt>
                <c:pt idx="171">
                  <c:v>2.49261253830037</c:v>
                </c:pt>
                <c:pt idx="172">
                  <c:v>2.49615946185794</c:v>
                </c:pt>
                <c:pt idx="173">
                  <c:v>2.49972140381598</c:v>
                </c:pt>
                <c:pt idx="174">
                  <c:v>2.50329858033348</c:v>
                </c:pt>
                <c:pt idx="175">
                  <c:v>2.50689121148979</c:v>
                </c:pt>
                <c:pt idx="176">
                  <c:v>2.51049952138544</c:v>
                </c:pt>
                <c:pt idx="177">
                  <c:v>2.51412373824608</c:v>
                </c:pt>
                <c:pt idx="178">
                  <c:v>2.51776409452983</c:v>
                </c:pt>
                <c:pt idx="179">
                  <c:v>2.52142082703803</c:v>
                </c:pt>
                <c:pt idx="180">
                  <c:v>2.52509417702959</c:v>
                </c:pt>
                <c:pt idx="181">
                  <c:v>2.52878439033911</c:v>
                </c:pt>
                <c:pt idx="182">
                  <c:v>2.53249171749882</c:v>
                </c:pt>
                <c:pt idx="183">
                  <c:v>2.53621641386461</c:v>
                </c:pt>
                <c:pt idx="184">
                  <c:v>2.53995873974622</c:v>
                </c:pt>
                <c:pt idx="185">
                  <c:v>2.54371896054182</c:v>
                </c:pt>
                <c:pt idx="186">
                  <c:v>2.54749734687714</c:v>
                </c:pt>
                <c:pt idx="187">
                  <c:v>2.55129417474928</c:v>
                </c:pt>
                <c:pt idx="188">
                  <c:v>2.55510972567551</c:v>
                </c:pt>
                <c:pt idx="189">
                  <c:v>2.55894428684716</c:v>
                </c:pt>
                <c:pt idx="190">
                  <c:v>2.56279815128886</c:v>
                </c:pt>
                <c:pt idx="191">
                  <c:v>2.56667161802339</c:v>
                </c:pt>
                <c:pt idx="192">
                  <c:v>2.57056499224224</c:v>
                </c:pt>
                <c:pt idx="193">
                  <c:v>2.57447858548232</c:v>
                </c:pt>
                <c:pt idx="194">
                  <c:v>2.57841271580895</c:v>
                </c:pt>
                <c:pt idx="195">
                  <c:v>2.5823677080054</c:v>
                </c:pt>
                <c:pt idx="196">
                  <c:v>2.58634389376937</c:v>
                </c:pt>
                <c:pt idx="197">
                  <c:v>2.59034161191658</c:v>
                </c:pt>
                <c:pt idx="198">
                  <c:v>2.59436120859191</c:v>
                </c:pt>
                <c:pt idx="199">
                  <c:v>2.59840303748831</c:v>
                </c:pt>
                <c:pt idx="200">
                  <c:v>2.60246746007394</c:v>
                </c:pt>
                <c:pt idx="201">
                  <c:v>2.60655484582783</c:v>
                </c:pt>
                <c:pt idx="202">
                  <c:v>2.61066557248448</c:v>
                </c:pt>
                <c:pt idx="203">
                  <c:v>2.61480002628781</c:v>
                </c:pt>
                <c:pt idx="204">
                  <c:v>2.61895860225492</c:v>
                </c:pt>
                <c:pt idx="205">
                  <c:v>2.62314170445001</c:v>
                </c:pt>
                <c:pt idx="206">
                  <c:v>2.62734974626914</c:v>
                </c:pt>
                <c:pt idx="207">
                  <c:v>2.63158315073607</c:v>
                </c:pt>
                <c:pt idx="208">
                  <c:v>2.63584235081</c:v>
                </c:pt>
                <c:pt idx="209">
                  <c:v>2.64012778970554</c:v>
                </c:pt>
                <c:pt idx="210">
                  <c:v>2.64443992122569</c:v>
                </c:pt>
                <c:pt idx="211">
                  <c:v>2.64877921010829</c:v>
                </c:pt>
                <c:pt idx="212">
                  <c:v>2.65314613238677</c:v>
                </c:pt>
                <c:pt idx="213">
                  <c:v>2.65754117576579</c:v>
                </c:pt>
                <c:pt idx="214">
                  <c:v>2.66196484001264</c:v>
                </c:pt>
                <c:pt idx="215">
                  <c:v>2.666417637365</c:v>
                </c:pt>
                <c:pt idx="216">
                  <c:v>2.67090009295613</c:v>
                </c:pt>
                <c:pt idx="217">
                  <c:v>2.67541274525819</c:v>
                </c:pt>
                <c:pt idx="218">
                  <c:v>2.67995614654479</c:v>
                </c:pt>
                <c:pt idx="219">
                  <c:v>2.68453086337365</c:v>
                </c:pt>
                <c:pt idx="220">
                  <c:v>2.68913747709043</c:v>
                </c:pt>
                <c:pt idx="221">
                  <c:v>2.69377658435507</c:v>
                </c:pt>
                <c:pt idx="222">
                  <c:v>2.6984487976915</c:v>
                </c:pt>
                <c:pt idx="223">
                  <c:v>2.70315474606229</c:v>
                </c:pt>
                <c:pt idx="224">
                  <c:v>2.70789507546949</c:v>
                </c:pt>
                <c:pt idx="225">
                  <c:v>2.71267044958305</c:v>
                </c:pt>
                <c:pt idx="226">
                  <c:v>2.71748155039844</c:v>
                </c:pt>
                <c:pt idx="227">
                  <c:v>2.72232907892508</c:v>
                </c:pt>
                <c:pt idx="228">
                  <c:v>2.7272137559074</c:v>
                </c:pt>
                <c:pt idx="229">
                  <c:v>2.73213632258022</c:v>
                </c:pt>
                <c:pt idx="230">
                  <c:v>2.73709754146064</c:v>
                </c:pt>
                <c:pt idx="231">
                  <c:v>2.74209819717847</c:v>
                </c:pt>
                <c:pt idx="232">
                  <c:v>2.74713909734744</c:v>
                </c:pt>
                <c:pt idx="233">
                  <c:v>2.75222107347981</c:v>
                </c:pt>
                <c:pt idx="234">
                  <c:v>2.75734498194665</c:v>
                </c:pt>
                <c:pt idx="235">
                  <c:v>2.76251170498698</c:v>
                </c:pt>
                <c:pt idx="236">
                  <c:v>2.76772215176839</c:v>
                </c:pt>
                <c:pt idx="237">
                  <c:v>2.77297725950268</c:v>
                </c:pt>
                <c:pt idx="238">
                  <c:v>2.77827799461965</c:v>
                </c:pt>
                <c:pt idx="239">
                  <c:v>2.78362535400294</c:v>
                </c:pt>
                <c:pt idx="240">
                  <c:v>2.78902036629188</c:v>
                </c:pt>
                <c:pt idx="241">
                  <c:v>2.79446409325351</c:v>
                </c:pt>
                <c:pt idx="242">
                  <c:v>2.79995763122944</c:v>
                </c:pt>
                <c:pt idx="243">
                  <c:v>2.80550211266251</c:v>
                </c:pt>
                <c:pt idx="244">
                  <c:v>2.81109870770861</c:v>
                </c:pt>
                <c:pt idx="245">
                  <c:v>2.81674862593928</c:v>
                </c:pt>
                <c:pt idx="246">
                  <c:v>2.82245311814156</c:v>
                </c:pt>
                <c:pt idx="247">
                  <c:v>2.8282134782215</c:v>
                </c:pt>
                <c:pt idx="248">
                  <c:v>2.83403104521896</c:v>
                </c:pt>
                <c:pt idx="249">
                  <c:v>2.83990720544121</c:v>
                </c:pt>
                <c:pt idx="250">
                  <c:v>2.84584339472416</c:v>
                </c:pt>
                <c:pt idx="251">
                  <c:v>2.85184110083029</c:v>
                </c:pt>
                <c:pt idx="252">
                  <c:v>2.85790186599342</c:v>
                </c:pt>
                <c:pt idx="253">
                  <c:v>2.86402728962124</c:v>
                </c:pt>
                <c:pt idx="254">
                  <c:v>2.87021903116734</c:v>
                </c:pt>
                <c:pt idx="255">
                  <c:v>2.87647881318598</c:v>
                </c:pt>
                <c:pt idx="256">
                  <c:v>2.88280842458333</c:v>
                </c:pt>
                <c:pt idx="257">
                  <c:v>2.88920972408088</c:v>
                </c:pt>
                <c:pt idx="258">
                  <c:v>2.89568464390769</c:v>
                </c:pt>
                <c:pt idx="259">
                  <c:v>2.90223519373983</c:v>
                </c:pt>
                <c:pt idx="260">
                  <c:v>2.90886346490735</c:v>
                </c:pt>
                <c:pt idx="261">
                  <c:v>2.91557163489059</c:v>
                </c:pt>
                <c:pt idx="262">
                  <c:v>2.92236197213031</c:v>
                </c:pt>
                <c:pt idx="263">
                  <c:v>2.92923684117815</c:v>
                </c:pt>
                <c:pt idx="264">
                  <c:v>2.93619870821673</c:v>
                </c:pt>
                <c:pt idx="265">
                  <c:v>2.94325014698176</c:v>
                </c:pt>
                <c:pt idx="266">
                  <c:v>2.95039384512181</c:v>
                </c:pt>
                <c:pt idx="267">
                  <c:v>2.95763261103503</c:v>
                </c:pt>
                <c:pt idx="268">
                  <c:v>2.96496938122657</c:v>
                </c:pt>
                <c:pt idx="269">
                  <c:v>2.97240722823481</c:v>
                </c:pt>
                <c:pt idx="270">
                  <c:v>2.97994936918024</c:v>
                </c:pt>
                <c:pt idx="271">
                  <c:v>2.98759917499645</c:v>
                </c:pt>
                <c:pt idx="272">
                  <c:v>2.99536018040967</c:v>
                </c:pt>
                <c:pt idx="273">
                  <c:v>3.0032360947409</c:v>
                </c:pt>
                <c:pt idx="274">
                  <c:v>3.01123081361335</c:v>
                </c:pt>
                <c:pt idx="275">
                  <c:v>3.01934843165779</c:v>
                </c:pt>
                <c:pt idx="276">
                  <c:v>3.0275932563197</c:v>
                </c:pt>
                <c:pt idx="277">
                  <c:v>3.03596982288484</c:v>
                </c:pt>
                <c:pt idx="278">
                  <c:v>3.0444829108546</c:v>
                </c:pt>
                <c:pt idx="279">
                  <c:v>3.0531375618194</c:v>
                </c:pt>
                <c:pt idx="280">
                  <c:v>3.06193909899748</c:v>
                </c:pt>
                <c:pt idx="281">
                  <c:v>3.07089314862898</c:v>
                </c:pt>
                <c:pt idx="282">
                  <c:v>3.08000566344084</c:v>
                </c:pt>
                <c:pt idx="283">
                  <c:v>3.08928294842762</c:v>
                </c:pt>
                <c:pt idx="284">
                  <c:v>3.09873168922826</c:v>
                </c:pt>
                <c:pt idx="285">
                  <c:v>3.10835898341883</c:v>
                </c:pt>
                <c:pt idx="286">
                  <c:v>3.11817237508839</c:v>
                </c:pt>
                <c:pt idx="287">
                  <c:v>3.12817989312019</c:v>
                </c:pt>
                <c:pt idx="288">
                  <c:v>3.13839009366525</c:v>
                </c:pt>
                <c:pt idx="289">
                  <c:v>3.14881210737146</c:v>
                </c:pt>
                <c:pt idx="290">
                  <c:v>3.15945569202199</c:v>
                </c:pt>
                <c:pt idx="291">
                  <c:v>3.17033129134383</c:v>
                </c:pt>
                <c:pt idx="292">
                  <c:v>3.18145010087528</c:v>
                </c:pt>
                <c:pt idx="293">
                  <c:v>3.19282414193414</c:v>
                </c:pt>
                <c:pt idx="294">
                  <c:v>3.20446634491244</c:v>
                </c:pt>
                <c:pt idx="295">
                  <c:v>3.21639064334543</c:v>
                </c:pt>
                <c:pt idx="296">
                  <c:v>3.22861208047166</c:v>
                </c:pt>
                <c:pt idx="297">
                  <c:v>3.24114693032907</c:v>
                </c:pt>
                <c:pt idx="298">
                  <c:v>3.25401283583338</c:v>
                </c:pt>
                <c:pt idx="299">
                  <c:v>3.26722896677939</c:v>
                </c:pt>
                <c:pt idx="300">
                  <c:v>3.28081620131735</c:v>
                </c:pt>
                <c:pt idx="301">
                  <c:v>3.29479733521856</c:v>
                </c:pt>
                <c:pt idx="302">
                  <c:v>3.30919732419806</c:v>
                </c:pt>
                <c:pt idx="303">
                  <c:v>3.32404356576595</c:v>
                </c:pt>
                <c:pt idx="304">
                  <c:v>3.33936622860667</c:v>
                </c:pt>
                <c:pt idx="305">
                  <c:v>3.35519863944034</c:v>
                </c:pt>
                <c:pt idx="306">
                  <c:v>3.37157773984075</c:v>
                </c:pt>
                <c:pt idx="307">
                  <c:v>3.38854462876192</c:v>
                </c:pt>
                <c:pt idx="308">
                  <c:v>3.40614521082497</c:v>
                </c:pt>
                <c:pt idx="309">
                  <c:v>3.42443097611279</c:v>
                </c:pt>
                <c:pt idx="310">
                  <c:v>3.44345994484356</c:v>
                </c:pt>
                <c:pt idx="311">
                  <c:v>3.46329782061143</c:v>
                </c:pt>
                <c:pt idx="312">
                  <c:v>3.48401941001489</c:v>
                </c:pt>
                <c:pt idx="313">
                  <c:v>3.50571038610408</c:v>
                </c:pt>
                <c:pt idx="314">
                  <c:v>3.52846950067897</c:v>
                </c:pt>
                <c:pt idx="315">
                  <c:v>3.55241138992186</c:v>
                </c:pt>
                <c:pt idx="316">
                  <c:v>3.57767017519868</c:v>
                </c:pt>
                <c:pt idx="317">
                  <c:v>3.60440414580423</c:v>
                </c:pt>
                <c:pt idx="318">
                  <c:v>3.63280193884873</c:v>
                </c:pt>
                <c:pt idx="319">
                  <c:v>3.66309083014863</c:v>
                </c:pt>
                <c:pt idx="320">
                  <c:v>3.69554806531159</c:v>
                </c:pt>
                <c:pt idx="321">
                  <c:v>3.73051667541052</c:v>
                </c:pt>
                <c:pt idx="322">
                  <c:v>3.76842809161948</c:v>
                </c:pt>
                <c:pt idx="323">
                  <c:v>3.80983539887254</c:v>
                </c:pt>
                <c:pt idx="324">
                  <c:v>3.85546386436975</c:v>
                </c:pt>
                <c:pt idx="325">
                  <c:v>3.90629077163212</c:v>
                </c:pt>
                <c:pt idx="326">
                  <c:v>3.96367766485354</c:v>
                </c:pt>
                <c:pt idx="327">
                  <c:v>4.0296026206119</c:v>
                </c:pt>
                <c:pt idx="328">
                  <c:v>4.10709979545214</c:v>
                </c:pt>
                <c:pt idx="329">
                  <c:v>4.20117745955217</c:v>
                </c:pt>
                <c:pt idx="330">
                  <c:v>4.32101843351308</c:v>
                </c:pt>
                <c:pt idx="331">
                  <c:v>4.48648089259874</c:v>
                </c:pt>
                <c:pt idx="332">
                  <c:v>4.75596957115667</c:v>
                </c:pt>
                <c:pt idx="333">
                  <c:v>5.60104197582013</c:v>
                </c:pt>
                <c:pt idx="334">
                  <c:v>9.09661224810978</c:v>
                </c:pt>
                <c:pt idx="335">
                  <c:v>9.4383623974003</c:v>
                </c:pt>
                <c:pt idx="336">
                  <c:v>9.62676579420998</c:v>
                </c:pt>
                <c:pt idx="337">
                  <c:v>9.75739509029475</c:v>
                </c:pt>
                <c:pt idx="338">
                  <c:v>9.85741720571016</c:v>
                </c:pt>
                <c:pt idx="339">
                  <c:v>9.9384403990015</c:v>
                </c:pt>
                <c:pt idx="340">
                  <c:v>10.0065104250167</c:v>
                </c:pt>
                <c:pt idx="341">
                  <c:v>10.0651796536777</c:v>
                </c:pt>
                <c:pt idx="342">
                  <c:v>10.1167138801257</c:v>
                </c:pt>
                <c:pt idx="343">
                  <c:v>10.1626472093081</c:v>
                </c:pt>
                <c:pt idx="344">
                  <c:v>10.2040667040467</c:v>
                </c:pt>
                <c:pt idx="345">
                  <c:v>10.24177080151</c:v>
                </c:pt>
                <c:pt idx="346">
                  <c:v>10.2763632337792</c:v>
                </c:pt>
                <c:pt idx="347">
                  <c:v>10.3083116026387</c:v>
                </c:pt>
                <c:pt idx="348">
                  <c:v>10.3379854605137</c:v>
                </c:pt>
                <c:pt idx="349">
                  <c:v>10.3656819412151</c:v>
                </c:pt>
                <c:pt idx="350">
                  <c:v>10.3916435269608</c:v>
                </c:pt>
                <c:pt idx="351">
                  <c:v>10.4160706800003</c:v>
                </c:pt>
                <c:pt idx="352">
                  <c:v>10.4391310243842</c:v>
                </c:pt>
                <c:pt idx="353">
                  <c:v>10.4609661465134</c:v>
                </c:pt>
                <c:pt idx="354">
                  <c:v>10.4816967253353</c:v>
                </c:pt>
                <c:pt idx="355">
                  <c:v>10.5014264560462</c:v>
                </c:pt>
                <c:pt idx="356">
                  <c:v>10.5202450929598</c:v>
                </c:pt>
                <c:pt idx="357">
                  <c:v>10.5382308434471</c:v>
                </c:pt>
                <c:pt idx="358">
                  <c:v>10.5554522662719</c:v>
                </c:pt>
                <c:pt idx="359">
                  <c:v>10.5719697981864</c:v>
                </c:pt>
                <c:pt idx="360">
                  <c:v>10.5878369844325</c:v>
                </c:pt>
                <c:pt idx="361">
                  <c:v>10.6031014922038</c:v>
                </c:pt>
                <c:pt idx="362">
                  <c:v>10.6178059384373</c:v>
                </c:pt>
                <c:pt idx="363">
                  <c:v>10.6319885792883</c:v>
                </c:pt>
                <c:pt idx="364">
                  <c:v>10.6456838860278</c:v>
                </c:pt>
                <c:pt idx="365">
                  <c:v>10.6589230273541</c:v>
                </c:pt>
                <c:pt idx="366">
                  <c:v>10.6717342805061</c:v>
                </c:pt>
                <c:pt idx="367">
                  <c:v>10.6841433746905</c:v>
                </c:pt>
                <c:pt idx="368">
                  <c:v>10.6961737924277</c:v>
                </c:pt>
                <c:pt idx="369">
                  <c:v>10.7078470176514</c:v>
                </c:pt>
                <c:pt idx="370">
                  <c:v>10.7191827643408</c:v>
                </c:pt>
                <c:pt idx="371">
                  <c:v>10.7301991587099</c:v>
                </c:pt>
                <c:pt idx="372">
                  <c:v>10.7409129107569</c:v>
                </c:pt>
                <c:pt idx="373">
                  <c:v>10.7513394507625</c:v>
                </c:pt>
                <c:pt idx="374">
                  <c:v>10.7614930651366</c:v>
                </c:pt>
                <c:pt idx="375">
                  <c:v>10.7713870031532</c:v>
                </c:pt>
                <c:pt idx="376">
                  <c:v>10.7810335714576</c:v>
                </c:pt>
                <c:pt idx="377">
                  <c:v>10.7904442257381</c:v>
                </c:pt>
                <c:pt idx="378">
                  <c:v>10.7996296485396</c:v>
                </c:pt>
                <c:pt idx="379">
                  <c:v>10.8085998121811</c:v>
                </c:pt>
                <c:pt idx="380">
                  <c:v>10.8173640438937</c:v>
                </c:pt>
                <c:pt idx="381">
                  <c:v>10.8259310794846</c:v>
                </c:pt>
                <c:pt idx="382">
                  <c:v>10.8343091160007</c:v>
                </c:pt>
                <c:pt idx="383">
                  <c:v>10.8425058435095</c:v>
                </c:pt>
                <c:pt idx="384">
                  <c:v>10.8505285020412</c:v>
                </c:pt>
                <c:pt idx="385">
                  <c:v>10.8583839034324</c:v>
                </c:pt>
                <c:pt idx="386">
                  <c:v>10.8660784700618</c:v>
                </c:pt>
                <c:pt idx="387">
                  <c:v>10.8736182627352</c:v>
                </c:pt>
                <c:pt idx="388">
                  <c:v>10.8810090090244</c:v>
                </c:pt>
                <c:pt idx="389">
                  <c:v>10.8882561252637</c:v>
                </c:pt>
                <c:pt idx="390">
                  <c:v>10.8953647357696</c:v>
                </c:pt>
                <c:pt idx="391">
                  <c:v>10.9023396992039</c:v>
                </c:pt>
                <c:pt idx="392">
                  <c:v>10.9091856285921</c:v>
                </c:pt>
                <c:pt idx="393">
                  <c:v>10.9159068937011</c:v>
                </c:pt>
                <c:pt idx="394">
                  <c:v>10.9225076563186</c:v>
                </c:pt>
                <c:pt idx="395">
                  <c:v>10.9289918714368</c:v>
                </c:pt>
                <c:pt idx="396">
                  <c:v>10.935363298721</c:v>
                </c:pt>
                <c:pt idx="397">
                  <c:v>10.9416255249387</c:v>
                </c:pt>
                <c:pt idx="398">
                  <c:v>10.9477819729547</c:v>
                </c:pt>
                <c:pt idx="399">
                  <c:v>10.9538358975907</c:v>
                </c:pt>
                <c:pt idx="400">
                  <c:v>10.9597904161036</c:v>
                </c:pt>
                <c:pt idx="401">
                  <c:v>10.9656485002488</c:v>
                </c:pt>
                <c:pt idx="402">
                  <c:v>10.9714129986076</c:v>
                </c:pt>
                <c:pt idx="403">
                  <c:v>10.9770866293183</c:v>
                </c:pt>
                <c:pt idx="404">
                  <c:v>10.982671994476</c:v>
                </c:pt>
                <c:pt idx="405">
                  <c:v>10.9881715951356</c:v>
                </c:pt>
                <c:pt idx="406">
                  <c:v>10.9935878165659</c:v>
                </c:pt>
                <c:pt idx="407">
                  <c:v>10.9989229584533</c:v>
                </c:pt>
                <c:pt idx="408">
                  <c:v>11.0041792164239</c:v>
                </c:pt>
                <c:pt idx="409">
                  <c:v>11.0093587067084</c:v>
                </c:pt>
                <c:pt idx="410">
                  <c:v>11.0144634572358</c:v>
                </c:pt>
                <c:pt idx="411">
                  <c:v>11.0194954212704</c:v>
                </c:pt>
                <c:pt idx="412">
                  <c:v>11.0244564730475</c:v>
                </c:pt>
                <c:pt idx="413">
                  <c:v>11.029348424132</c:v>
                </c:pt>
                <c:pt idx="414">
                  <c:v>11.0341730060513</c:v>
                </c:pt>
                <c:pt idx="415">
                  <c:v>11.0389318937013</c:v>
                </c:pt>
                <c:pt idx="416">
                  <c:v>11.043626694588</c:v>
                </c:pt>
                <c:pt idx="417">
                  <c:v>11.0482589748257</c:v>
                </c:pt>
                <c:pt idx="418">
                  <c:v>11.052830228916</c:v>
                </c:pt>
                <c:pt idx="419">
                  <c:v>11.0573418964843</c:v>
                </c:pt>
                <c:pt idx="420">
                  <c:v>11.0617953860585</c:v>
                </c:pt>
                <c:pt idx="421">
                  <c:v>11.066192034978</c:v>
                </c:pt>
                <c:pt idx="422">
                  <c:v>11.0705331503494</c:v>
                </c:pt>
                <c:pt idx="423">
                  <c:v>11.0748199914026</c:v>
                </c:pt>
                <c:pt idx="424">
                  <c:v>11.0790537680887</c:v>
                </c:pt>
                <c:pt idx="425">
                  <c:v>11.0832356684876</c:v>
                </c:pt>
                <c:pt idx="426">
                  <c:v>11.0873668190527</c:v>
                </c:pt>
                <c:pt idx="427">
                  <c:v>11.0914483242322</c:v>
                </c:pt>
                <c:pt idx="428">
                  <c:v>11.0954812558739</c:v>
                </c:pt>
                <c:pt idx="429">
                  <c:v>11.0994666481951</c:v>
                </c:pt>
                <c:pt idx="430">
                  <c:v>11.1034054927266</c:v>
                </c:pt>
                <c:pt idx="431">
                  <c:v>11.1072987633774</c:v>
                </c:pt>
                <c:pt idx="432">
                  <c:v>11.1111474005183</c:v>
                </c:pt>
                <c:pt idx="433">
                  <c:v>11.1149523250758</c:v>
                </c:pt>
                <c:pt idx="434">
                  <c:v>11.1187144040615</c:v>
                </c:pt>
                <c:pt idx="435">
                  <c:v>11.1224345081135</c:v>
                </c:pt>
                <c:pt idx="436">
                  <c:v>11.126113465202</c:v>
                </c:pt>
                <c:pt idx="437">
                  <c:v>11.1297520819138</c:v>
                </c:pt>
                <c:pt idx="438">
                  <c:v>11.1333511467954</c:v>
                </c:pt>
                <c:pt idx="439">
                  <c:v>11.1369114275458</c:v>
                </c:pt>
                <c:pt idx="440">
                  <c:v>11.1404336551829</c:v>
                </c:pt>
                <c:pt idx="441">
                  <c:v>11.1439185600399</c:v>
                </c:pt>
                <c:pt idx="442">
                  <c:v>11.1473668435293</c:v>
                </c:pt>
                <c:pt idx="443">
                  <c:v>11.1507791752926</c:v>
                </c:pt>
                <c:pt idx="444">
                  <c:v>11.1541562306348</c:v>
                </c:pt>
                <c:pt idx="445">
                  <c:v>11.157498648619</c:v>
                </c:pt>
                <c:pt idx="446">
                  <c:v>11.160807056471</c:v>
                </c:pt>
                <c:pt idx="447">
                  <c:v>11.1640820677397</c:v>
                </c:pt>
                <c:pt idx="448">
                  <c:v>11.1673242666066</c:v>
                </c:pt>
                <c:pt idx="449">
                  <c:v>11.1705342543303</c:v>
                </c:pt>
                <c:pt idx="450">
                  <c:v>11.1737125714024</c:v>
                </c:pt>
                <c:pt idx="451">
                  <c:v>11.1768597861277</c:v>
                </c:pt>
                <c:pt idx="452">
                  <c:v>11.179976423281</c:v>
                </c:pt>
                <c:pt idx="453">
                  <c:v>11.1830630188872</c:v>
                </c:pt>
                <c:pt idx="454">
                  <c:v>11.1861200617925</c:v>
                </c:pt>
                <c:pt idx="455">
                  <c:v>11.1891480638115</c:v>
                </c:pt>
                <c:pt idx="456">
                  <c:v>11.1921475083136</c:v>
                </c:pt>
                <c:pt idx="457">
                  <c:v>11.1951188557176</c:v>
                </c:pt>
                <c:pt idx="458">
                  <c:v>11.1980625864369</c:v>
                </c:pt>
                <c:pt idx="459">
                  <c:v>11.2009791409124</c:v>
                </c:pt>
                <c:pt idx="460">
                  <c:v>11.203868955122</c:v>
                </c:pt>
                <c:pt idx="461">
                  <c:v>11.2067324596922</c:v>
                </c:pt>
                <c:pt idx="462">
                  <c:v>11.2095700790059</c:v>
                </c:pt>
                <c:pt idx="463">
                  <c:v>11.2123822149507</c:v>
                </c:pt>
                <c:pt idx="464">
                  <c:v>11.2151692764372</c:v>
                </c:pt>
                <c:pt idx="465">
                  <c:v>11.2179316478856</c:v>
                </c:pt>
                <c:pt idx="466">
                  <c:v>11.2206697113106</c:v>
                </c:pt>
                <c:pt idx="467">
                  <c:v>11.2233838377888</c:v>
                </c:pt>
                <c:pt idx="468">
                  <c:v>11.2260744024042</c:v>
                </c:pt>
                <c:pt idx="469">
                  <c:v>11.2287417519384</c:v>
                </c:pt>
                <c:pt idx="470">
                  <c:v>11.2313862275411</c:v>
                </c:pt>
                <c:pt idx="471">
                  <c:v>11.2340081963503</c:v>
                </c:pt>
                <c:pt idx="472">
                  <c:v>11.236607962488</c:v>
                </c:pt>
                <c:pt idx="473">
                  <c:v>11.2391858708729</c:v>
                </c:pt>
                <c:pt idx="474">
                  <c:v>11.2417422422802</c:v>
                </c:pt>
                <c:pt idx="475">
                  <c:v>11.2442773804525</c:v>
                </c:pt>
                <c:pt idx="476">
                  <c:v>11.2467915878143</c:v>
                </c:pt>
                <c:pt idx="477">
                  <c:v>11.2492851734023</c:v>
                </c:pt>
                <c:pt idx="478">
                  <c:v>11.2517584274515</c:v>
                </c:pt>
                <c:pt idx="479">
                  <c:v>11.25421164585</c:v>
                </c:pt>
                <c:pt idx="480">
                  <c:v>11.2566450874317</c:v>
                </c:pt>
                <c:pt idx="481">
                  <c:v>11.259059049541</c:v>
                </c:pt>
                <c:pt idx="482">
                  <c:v>11.2614538000072</c:v>
                </c:pt>
                <c:pt idx="483">
                  <c:v>11.2638295846427</c:v>
                </c:pt>
                <c:pt idx="484">
                  <c:v>11.2661866871758</c:v>
                </c:pt>
                <c:pt idx="485">
                  <c:v>11.2685253426087</c:v>
                </c:pt>
                <c:pt idx="486">
                  <c:v>11.270845814672</c:v>
                </c:pt>
                <c:pt idx="487">
                  <c:v>11.2731483345026</c:v>
                </c:pt>
                <c:pt idx="488">
                  <c:v>11.2754331527756</c:v>
                </c:pt>
                <c:pt idx="489">
                  <c:v>11.2777004953417</c:v>
                </c:pt>
                <c:pt idx="490">
                  <c:v>11.2799505982098</c:v>
                </c:pt>
                <c:pt idx="491">
                  <c:v>11.2821836805205</c:v>
                </c:pt>
                <c:pt idx="492">
                  <c:v>11.2843999710682</c:v>
                </c:pt>
                <c:pt idx="493">
                  <c:v>11.2865996901054</c:v>
                </c:pt>
                <c:pt idx="494">
                  <c:v>11.288783039749</c:v>
                </c:pt>
                <c:pt idx="495">
                  <c:v>11.2909502309179</c:v>
                </c:pt>
                <c:pt idx="496">
                  <c:v>11.2931014741068</c:v>
                </c:pt>
                <c:pt idx="497">
                  <c:v>11.2952369791775</c:v>
                </c:pt>
                <c:pt idx="498">
                  <c:v>11.2973569271347</c:v>
                </c:pt>
                <c:pt idx="499">
                  <c:v>11.2994615067692</c:v>
                </c:pt>
                <c:pt idx="500">
                  <c:v>11.3015509335327</c:v>
                </c:pt>
                <c:pt idx="501">
                  <c:v>11.3036253931643</c:v>
                </c:pt>
                <c:pt idx="502">
                  <c:v>11.3056850408013</c:v>
                </c:pt>
                <c:pt idx="503">
                  <c:v>11.3077300766051</c:v>
                </c:pt>
                <c:pt idx="504">
                  <c:v>11.3097606890238</c:v>
                </c:pt>
                <c:pt idx="505">
                  <c:v>11.3117770350495</c:v>
                </c:pt>
                <c:pt idx="506">
                  <c:v>11.3137792781287</c:v>
                </c:pt>
                <c:pt idx="507">
                  <c:v>11.3157676076611</c:v>
                </c:pt>
                <c:pt idx="508">
                  <c:v>11.3177421807357</c:v>
                </c:pt>
                <c:pt idx="509">
                  <c:v>11.3197031605776</c:v>
                </c:pt>
                <c:pt idx="510">
                  <c:v>11.321650696809</c:v>
                </c:pt>
                <c:pt idx="511">
                  <c:v>11.3235849646957</c:v>
                </c:pt>
                <c:pt idx="512">
                  <c:v>11.325506105818</c:v>
                </c:pt>
                <c:pt idx="513">
                  <c:v>11.3274142872428</c:v>
                </c:pt>
                <c:pt idx="514">
                  <c:v>11.3293096215651</c:v>
                </c:pt>
                <c:pt idx="515">
                  <c:v>11.3311922867388</c:v>
                </c:pt>
                <c:pt idx="516">
                  <c:v>11.3330624462908</c:v>
                </c:pt>
                <c:pt idx="517">
                  <c:v>11.3349201878013</c:v>
                </c:pt>
                <c:pt idx="518">
                  <c:v>11.3367656847736</c:v>
                </c:pt>
                <c:pt idx="519">
                  <c:v>11.338599075159</c:v>
                </c:pt>
                <c:pt idx="520">
                  <c:v>11.3404204811191</c:v>
                </c:pt>
                <c:pt idx="521">
                  <c:v>11.3422300500198</c:v>
                </c:pt>
                <c:pt idx="522">
                  <c:v>11.3440278924834</c:v>
                </c:pt>
                <c:pt idx="523">
                  <c:v>11.3458141650582</c:v>
                </c:pt>
                <c:pt idx="524">
                  <c:v>11.3475889662509</c:v>
                </c:pt>
                <c:pt idx="525">
                  <c:v>11.3493524405062</c:v>
                </c:pt>
                <c:pt idx="526">
                  <c:v>11.3511046945203</c:v>
                </c:pt>
                <c:pt idx="527">
                  <c:v>11.3528458600579</c:v>
                </c:pt>
                <c:pt idx="528">
                  <c:v>11.3545760517707</c:v>
                </c:pt>
                <c:pt idx="529">
                  <c:v>11.3562953881682</c:v>
                </c:pt>
                <c:pt idx="530">
                  <c:v>11.3580039916222</c:v>
                </c:pt>
                <c:pt idx="531">
                  <c:v>11.3597019452533</c:v>
                </c:pt>
                <c:pt idx="532">
                  <c:v>11.3613894003083</c:v>
                </c:pt>
                <c:pt idx="533">
                  <c:v>11.3630664687905</c:v>
                </c:pt>
                <c:pt idx="534">
                  <c:v>11.3647332226235</c:v>
                </c:pt>
                <c:pt idx="535">
                  <c:v>11.366389780395</c:v>
                </c:pt>
                <c:pt idx="536">
                  <c:v>11.3680362642414</c:v>
                </c:pt>
                <c:pt idx="537">
                  <c:v>11.3696727557306</c:v>
                </c:pt>
                <c:pt idx="538">
                  <c:v>11.3712993836052</c:v>
                </c:pt>
                <c:pt idx="539">
                  <c:v>11.3729162134879</c:v>
                </c:pt>
                <c:pt idx="540">
                  <c:v>11.37452338049</c:v>
                </c:pt>
                <c:pt idx="541">
                  <c:v>11.3761209561129</c:v>
                </c:pt>
                <c:pt idx="542">
                  <c:v>11.3777090593744</c:v>
                </c:pt>
                <c:pt idx="543">
                  <c:v>11.3792877448648</c:v>
                </c:pt>
                <c:pt idx="544">
                  <c:v>11.3808571599676</c:v>
                </c:pt>
                <c:pt idx="545">
                  <c:v>11.3824173647621</c:v>
                </c:pt>
                <c:pt idx="546">
                  <c:v>11.383968421586</c:v>
                </c:pt>
                <c:pt idx="547">
                  <c:v>11.385510486556</c:v>
                </c:pt>
                <c:pt idx="548">
                  <c:v>11.3870436045512</c:v>
                </c:pt>
                <c:pt idx="549">
                  <c:v>11.3885678684753</c:v>
                </c:pt>
                <c:pt idx="550">
                  <c:v>11.3900833738243</c:v>
                </c:pt>
                <c:pt idx="551">
                  <c:v>11.3915901954868</c:v>
                </c:pt>
                <c:pt idx="552">
                  <c:v>11.3930884106246</c:v>
                </c:pt>
                <c:pt idx="553">
                  <c:v>11.3945781453983</c:v>
                </c:pt>
                <c:pt idx="554">
                  <c:v>11.3960594116771</c:v>
                </c:pt>
                <c:pt idx="555">
                  <c:v>11.3975323402561</c:v>
                </c:pt>
                <c:pt idx="556">
                  <c:v>11.3989969940451</c:v>
                </c:pt>
                <c:pt idx="557">
                  <c:v>11.400453437916</c:v>
                </c:pt>
                <c:pt idx="558">
                  <c:v>11.4019017624636</c:v>
                </c:pt>
                <c:pt idx="559">
                  <c:v>11.4033420605642</c:v>
                </c:pt>
                <c:pt idx="560">
                  <c:v>11.404774355626</c:v>
                </c:pt>
                <c:pt idx="561">
                  <c:v>11.4061987923709</c:v>
                </c:pt>
                <c:pt idx="562">
                  <c:v>11.4076153980635</c:v>
                </c:pt>
                <c:pt idx="563">
                  <c:v>11.4090242254618</c:v>
                </c:pt>
                <c:pt idx="564">
                  <c:v>11.4104254016706</c:v>
                </c:pt>
                <c:pt idx="565">
                  <c:v>11.4118189348504</c:v>
                </c:pt>
                <c:pt idx="566">
                  <c:v>11.413204956125</c:v>
                </c:pt>
                <c:pt idx="567">
                  <c:v>11.4145835013585</c:v>
                </c:pt>
                <c:pt idx="568">
                  <c:v>11.4159546323055</c:v>
                </c:pt>
                <c:pt idx="569">
                  <c:v>11.4173184123821</c:v>
                </c:pt>
                <c:pt idx="570">
                  <c:v>11.4186749313614</c:v>
                </c:pt>
                <c:pt idx="571">
                  <c:v>11.4200242314441</c:v>
                </c:pt>
                <c:pt idx="572">
                  <c:v>11.4213663810343</c:v>
                </c:pt>
                <c:pt idx="573">
                  <c:v>11.4227014501994</c:v>
                </c:pt>
                <c:pt idx="574">
                  <c:v>11.4240295106699</c:v>
                </c:pt>
                <c:pt idx="575">
                  <c:v>11.4253506107624</c:v>
                </c:pt>
                <c:pt idx="576">
                  <c:v>11.426664800152</c:v>
                </c:pt>
                <c:pt idx="577">
                  <c:v>11.4279721551017</c:v>
                </c:pt>
                <c:pt idx="578">
                  <c:v>11.4292727282333</c:v>
                </c:pt>
                <c:pt idx="579">
                  <c:v>11.4305665735285</c:v>
                </c:pt>
                <c:pt idx="580">
                  <c:v>11.4318537463293</c:v>
                </c:pt>
                <c:pt idx="581">
                  <c:v>11.4331343288692</c:v>
                </c:pt>
                <c:pt idx="582">
                  <c:v>11.4344083538315</c:v>
                </c:pt>
                <c:pt idx="583">
                  <c:v>11.4356759063208</c:v>
                </c:pt>
                <c:pt idx="584">
                  <c:v>11.4369369958362</c:v>
                </c:pt>
                <c:pt idx="585">
                  <c:v>11.4381916842992</c:v>
                </c:pt>
                <c:pt idx="586">
                  <c:v>11.4394400608964</c:v>
                </c:pt>
                <c:pt idx="587">
                  <c:v>11.4406821645153</c:v>
                </c:pt>
                <c:pt idx="588">
                  <c:v>11.4419180351064</c:v>
                </c:pt>
                <c:pt idx="589">
                  <c:v>11.4431477136832</c:v>
                </c:pt>
                <c:pt idx="590">
                  <c:v>11.4443712685234</c:v>
                </c:pt>
                <c:pt idx="591">
                  <c:v>11.4455887692633</c:v>
                </c:pt>
                <c:pt idx="592">
                  <c:v>11.4468002342037</c:v>
                </c:pt>
                <c:pt idx="593">
                  <c:v>11.4480057352552</c:v>
                </c:pt>
                <c:pt idx="594">
                  <c:v>11.4492052926998</c:v>
                </c:pt>
                <c:pt idx="595">
                  <c:v>11.4503989807227</c:v>
                </c:pt>
                <c:pt idx="596">
                  <c:v>11.4515868215873</c:v>
                </c:pt>
                <c:pt idx="597">
                  <c:v>11.4527688917525</c:v>
                </c:pt>
                <c:pt idx="598">
                  <c:v>11.4539452154634</c:v>
                </c:pt>
                <c:pt idx="599">
                  <c:v>11.4551158714504</c:v>
                </c:pt>
                <c:pt idx="600">
                  <c:v>11.4562808590114</c:v>
                </c:pt>
                <c:pt idx="601">
                  <c:v>11.4574402859299</c:v>
                </c:pt>
                <c:pt idx="602">
                  <c:v>11.4585941262676</c:v>
                </c:pt>
                <c:pt idx="603">
                  <c:v>11.4597424357163</c:v>
                </c:pt>
                <c:pt idx="604">
                  <c:v>11.4608852982454</c:v>
                </c:pt>
                <c:pt idx="605">
                  <c:v>11.4620227173108</c:v>
                </c:pt>
                <c:pt idx="606">
                  <c:v>11.4631547515735</c:v>
                </c:pt>
                <c:pt idx="607">
                  <c:v>11.4642814607539</c:v>
                </c:pt>
                <c:pt idx="608">
                  <c:v>11.4654028781314</c:v>
                </c:pt>
                <c:pt idx="609">
                  <c:v>11.4665190101889</c:v>
                </c:pt>
                <c:pt idx="610">
                  <c:v>11.4676299468247</c:v>
                </c:pt>
                <c:pt idx="611">
                  <c:v>11.4687356961412</c:v>
                </c:pt>
                <c:pt idx="612">
                  <c:v>11.469836294515</c:v>
                </c:pt>
                <c:pt idx="613">
                  <c:v>11.4709318069491</c:v>
                </c:pt>
                <c:pt idx="614">
                  <c:v>11.4720222436565</c:v>
                </c:pt>
                <c:pt idx="615">
                  <c:v>11.4731076993195</c:v>
                </c:pt>
                <c:pt idx="616">
                  <c:v>11.4741881296439</c:v>
                </c:pt>
                <c:pt idx="617">
                  <c:v>11.4752636027967</c:v>
                </c:pt>
                <c:pt idx="618">
                  <c:v>11.4763341879963</c:v>
                </c:pt>
                <c:pt idx="619">
                  <c:v>11.4773998989711</c:v>
                </c:pt>
                <c:pt idx="620">
                  <c:v>11.4784607782826</c:v>
                </c:pt>
                <c:pt idx="621">
                  <c:v>11.4795168692638</c:v>
                </c:pt>
                <c:pt idx="622">
                  <c:v>11.4805681590643</c:v>
                </c:pt>
                <c:pt idx="623">
                  <c:v>11.4816147492364</c:v>
                </c:pt>
                <c:pt idx="624">
                  <c:v>11.4826566281951</c:v>
                </c:pt>
                <c:pt idx="625">
                  <c:v>11.4836938419412</c:v>
                </c:pt>
                <c:pt idx="626">
                  <c:v>11.4847264372448</c:v>
                </c:pt>
                <c:pt idx="627">
                  <c:v>11.4857544616443</c:v>
                </c:pt>
                <c:pt idx="628">
                  <c:v>11.486777876784</c:v>
                </c:pt>
                <c:pt idx="629">
                  <c:v>11.4877968179894</c:v>
                </c:pt>
                <c:pt idx="630">
                  <c:v>11.4888112190081</c:v>
                </c:pt>
                <c:pt idx="631">
                  <c:v>11.4898212169016</c:v>
                </c:pt>
                <c:pt idx="632">
                  <c:v>11.4908267462037</c:v>
                </c:pt>
                <c:pt idx="633">
                  <c:v>11.4918278580334</c:v>
                </c:pt>
                <c:pt idx="634">
                  <c:v>11.4928246335664</c:v>
                </c:pt>
                <c:pt idx="635">
                  <c:v>11.4938170669325</c:v>
                </c:pt>
                <c:pt idx="636">
                  <c:v>11.4948052113393</c:v>
                </c:pt>
                <c:pt idx="637">
                  <c:v>11.4957890617707</c:v>
                </c:pt>
                <c:pt idx="638">
                  <c:v>11.4967687021154</c:v>
                </c:pt>
                <c:pt idx="639">
                  <c:v>11.4977440987853</c:v>
                </c:pt>
                <c:pt idx="640">
                  <c:v>11.4987153072304</c:v>
                </c:pt>
                <c:pt idx="641">
                  <c:v>11.4996823836595</c:v>
                </c:pt>
                <c:pt idx="642">
                  <c:v>11.50064532539</c:v>
                </c:pt>
                <c:pt idx="643">
                  <c:v>11.501604159858</c:v>
                </c:pt>
                <c:pt idx="644">
                  <c:v>11.5025589449481</c:v>
                </c:pt>
                <c:pt idx="645">
                  <c:v>11.5035096792565</c:v>
                </c:pt>
                <c:pt idx="646">
                  <c:v>11.5044563916955</c:v>
                </c:pt>
                <c:pt idx="647">
                  <c:v>11.5053991418216</c:v>
                </c:pt>
                <c:pt idx="648">
                  <c:v>11.5063379295079</c:v>
                </c:pt>
                <c:pt idx="649">
                  <c:v>11.5072727851398</c:v>
                </c:pt>
                <c:pt idx="650">
                  <c:v>11.5082037395931</c:v>
                </c:pt>
                <c:pt idx="651">
                  <c:v>11.5091307938206</c:v>
                </c:pt>
                <c:pt idx="652">
                  <c:v>11.5100540099603</c:v>
                </c:pt>
                <c:pt idx="653">
                  <c:v>11.510973420356</c:v>
                </c:pt>
                <c:pt idx="654">
                  <c:v>11.5118889966268</c:v>
                </c:pt>
                <c:pt idx="655">
                  <c:v>11.512800833048</c:v>
                </c:pt>
                <c:pt idx="656">
                  <c:v>11.5137089019565</c:v>
                </c:pt>
                <c:pt idx="657">
                  <c:v>11.5146132680606</c:v>
                </c:pt>
                <c:pt idx="658">
                  <c:v>11.5155139042223</c:v>
                </c:pt>
                <c:pt idx="659">
                  <c:v>11.516410876059</c:v>
                </c:pt>
                <c:pt idx="660">
                  <c:v>11.5173042189389</c:v>
                </c:pt>
                <c:pt idx="661">
                  <c:v>11.5181939066071</c:v>
                </c:pt>
                <c:pt idx="662">
                  <c:v>11.5190800372552</c:v>
                </c:pt>
                <c:pt idx="663">
                  <c:v>11.5199625541623</c:v>
                </c:pt>
                <c:pt idx="664">
                  <c:v>11.5208415253075</c:v>
                </c:pt>
                <c:pt idx="665">
                  <c:v>11.5217169567923</c:v>
                </c:pt>
                <c:pt idx="666">
                  <c:v>11.5225888863186</c:v>
                </c:pt>
                <c:pt idx="667">
                  <c:v>11.5234573206378</c:v>
                </c:pt>
                <c:pt idx="668">
                  <c:v>11.5243222982274</c:v>
                </c:pt>
                <c:pt idx="669">
                  <c:v>11.5251838580458</c:v>
                </c:pt>
                <c:pt idx="670">
                  <c:v>11.5260419762911</c:v>
                </c:pt>
                <c:pt idx="671">
                  <c:v>11.5268966925073</c:v>
                </c:pt>
                <c:pt idx="672">
                  <c:v>11.5277480467183</c:v>
                </c:pt>
                <c:pt idx="673">
                  <c:v>11.5285960476198</c:v>
                </c:pt>
                <c:pt idx="674">
                  <c:v>11.5294407360062</c:v>
                </c:pt>
                <c:pt idx="675">
                  <c:v>11.5302820892882</c:v>
                </c:pt>
                <c:pt idx="676">
                  <c:v>11.5311201488438</c:v>
                </c:pt>
                <c:pt idx="677">
                  <c:v>11.5319549565281</c:v>
                </c:pt>
                <c:pt idx="678">
                  <c:v>11.5327864904411</c:v>
                </c:pt>
                <c:pt idx="679">
                  <c:v>11.5336148251965</c:v>
                </c:pt>
                <c:pt idx="680">
                  <c:v>11.5344399394146</c:v>
                </c:pt>
                <c:pt idx="681">
                  <c:v>11.5352618762978</c:v>
                </c:pt>
                <c:pt idx="682">
                  <c:v>11.5360806471622</c:v>
                </c:pt>
                <c:pt idx="683">
                  <c:v>11.5368962635527</c:v>
                </c:pt>
                <c:pt idx="684">
                  <c:v>11.5377087372431</c:v>
                </c:pt>
                <c:pt idx="685">
                  <c:v>11.5385181127783</c:v>
                </c:pt>
                <c:pt idx="686">
                  <c:v>11.5393244025713</c:v>
                </c:pt>
                <c:pt idx="687">
                  <c:v>11.5401276192638</c:v>
                </c:pt>
                <c:pt idx="688">
                  <c:v>11.5409277757254</c:v>
                </c:pt>
                <c:pt idx="689">
                  <c:v>11.5417249178369</c:v>
                </c:pt>
                <c:pt idx="690">
                  <c:v>11.5425190591044</c:v>
                </c:pt>
                <c:pt idx="691">
                  <c:v>11.5433101474553</c:v>
                </c:pt>
                <c:pt idx="692">
                  <c:v>11.5440983283424</c:v>
                </c:pt>
                <c:pt idx="693">
                  <c:v>11.5448835172447</c:v>
                </c:pt>
                <c:pt idx="694">
                  <c:v>11.5456657283986</c:v>
                </c:pt>
                <c:pt idx="695">
                  <c:v>11.5464450756916</c:v>
                </c:pt>
                <c:pt idx="696">
                  <c:v>11.5472214747467</c:v>
                </c:pt>
                <c:pt idx="697">
                  <c:v>11.5479950070012</c:v>
                </c:pt>
                <c:pt idx="698">
                  <c:v>11.5487656546351</c:v>
                </c:pt>
                <c:pt idx="699">
                  <c:v>11.5495334331961</c:v>
                </c:pt>
                <c:pt idx="700">
                  <c:v>11.5502984253315</c:v>
                </c:pt>
                <c:pt idx="701">
                  <c:v>11.5510605469071</c:v>
                </c:pt>
                <c:pt idx="702">
                  <c:v>11.55181988108</c:v>
                </c:pt>
                <c:pt idx="703">
                  <c:v>11.552576444476</c:v>
                </c:pt>
                <c:pt idx="704">
                  <c:v>11.5533302202748</c:v>
                </c:pt>
                <c:pt idx="705">
                  <c:v>11.5540812591057</c:v>
                </c:pt>
                <c:pt idx="706">
                  <c:v>11.5548295444806</c:v>
                </c:pt>
                <c:pt idx="707">
                  <c:v>11.5555750937484</c:v>
                </c:pt>
                <c:pt idx="708">
                  <c:v>11.5563179583855</c:v>
                </c:pt>
                <c:pt idx="709">
                  <c:v>11.5570581224012</c:v>
                </c:pt>
                <c:pt idx="710">
                  <c:v>11.5577956038158</c:v>
                </c:pt>
                <c:pt idx="711">
                  <c:v>11.5585304549494</c:v>
                </c:pt>
                <c:pt idx="712">
                  <c:v>11.559262626173</c:v>
                </c:pt>
                <c:pt idx="713">
                  <c:v>11.5599922043862</c:v>
                </c:pt>
                <c:pt idx="714">
                  <c:v>11.5607191744238</c:v>
                </c:pt>
                <c:pt idx="715">
                  <c:v>11.5614434868074</c:v>
                </c:pt>
                <c:pt idx="716">
                  <c:v>11.5621652636384</c:v>
                </c:pt>
                <c:pt idx="717">
                  <c:v>11.562884455825</c:v>
                </c:pt>
                <c:pt idx="718">
                  <c:v>11.5636011174708</c:v>
                </c:pt>
                <c:pt idx="719">
                  <c:v>11.5643151995277</c:v>
                </c:pt>
                <c:pt idx="720">
                  <c:v>11.5650267910747</c:v>
                </c:pt>
                <c:pt idx="721">
                  <c:v>11.565735843278</c:v>
                </c:pt>
                <c:pt idx="722">
                  <c:v>11.5664424458838</c:v>
                </c:pt>
                <c:pt idx="723">
                  <c:v>11.5671465155128</c:v>
                </c:pt>
                <c:pt idx="724">
                  <c:v>11.5678481424072</c:v>
                </c:pt>
                <c:pt idx="725">
                  <c:v>11.5685473128635</c:v>
                </c:pt>
                <c:pt idx="726">
                  <c:v>11.5692440481004</c:v>
                </c:pt>
                <c:pt idx="727">
                  <c:v>11.5699383345717</c:v>
                </c:pt>
                <c:pt idx="728">
                  <c:v>11.5706302288049</c:v>
                </c:pt>
                <c:pt idx="729">
                  <c:v>11.5713197175788</c:v>
                </c:pt>
                <c:pt idx="730">
                  <c:v>11.5720067876674</c:v>
                </c:pt>
                <c:pt idx="731">
                  <c:v>11.5726915314581</c:v>
                </c:pt>
                <c:pt idx="732">
                  <c:v>11.573373900954</c:v>
                </c:pt>
                <c:pt idx="733">
                  <c:v>11.5740538832485</c:v>
                </c:pt>
                <c:pt idx="734">
                  <c:v>11.5747315715465</c:v>
                </c:pt>
                <c:pt idx="735">
                  <c:v>11.5754069534299</c:v>
                </c:pt>
                <c:pt idx="736">
                  <c:v>11.5760799809945</c:v>
                </c:pt>
                <c:pt idx="737">
                  <c:v>11.576750748259</c:v>
                </c:pt>
                <c:pt idx="738">
                  <c:v>11.5774192431221</c:v>
                </c:pt>
                <c:pt idx="739">
                  <c:v>11.5780854178326</c:v>
                </c:pt>
                <c:pt idx="740">
                  <c:v>11.5787493672196</c:v>
                </c:pt>
                <c:pt idx="741">
                  <c:v>11.579411043743</c:v>
                </c:pt>
                <c:pt idx="742">
                  <c:v>11.5800705070696</c:v>
                </c:pt>
                <c:pt idx="743">
                  <c:v>11.5807277455704</c:v>
                </c:pt>
                <c:pt idx="744">
                  <c:v>11.5813827835307</c:v>
                </c:pt>
                <c:pt idx="745">
                  <c:v>11.5820356094772</c:v>
                </c:pt>
                <c:pt idx="746">
                  <c:v>11.5826862479594</c:v>
                </c:pt>
                <c:pt idx="747">
                  <c:v>11.5833346876602</c:v>
                </c:pt>
                <c:pt idx="748">
                  <c:v>11.583981025659</c:v>
                </c:pt>
                <c:pt idx="749">
                  <c:v>11.5846251425564</c:v>
                </c:pt>
                <c:pt idx="750">
                  <c:v>11.5852671719889</c:v>
                </c:pt>
                <c:pt idx="751">
                  <c:v>11.5859070306845</c:v>
                </c:pt>
                <c:pt idx="752">
                  <c:v>11.5865448166765</c:v>
                </c:pt>
                <c:pt idx="753">
                  <c:v>11.5871804466339</c:v>
                </c:pt>
                <c:pt idx="754">
                  <c:v>11.5878140190651</c:v>
                </c:pt>
                <c:pt idx="755">
                  <c:v>11.5884454870876</c:v>
                </c:pt>
                <c:pt idx="756">
                  <c:v>11.5890748767235</c:v>
                </c:pt>
                <c:pt idx="757">
                  <c:v>11.5897022142044</c:v>
                </c:pt>
                <c:pt idx="758">
                  <c:v>11.5903274893064</c:v>
                </c:pt>
                <c:pt idx="759">
                  <c:v>11.5909507285208</c:v>
                </c:pt>
                <c:pt idx="760">
                  <c:v>11.5915719585482</c:v>
                </c:pt>
                <c:pt idx="761">
                  <c:v>11.5921911694739</c:v>
                </c:pt>
                <c:pt idx="762">
                  <c:v>11.5928083145066</c:v>
                </c:pt>
                <c:pt idx="763">
                  <c:v>11.593423531281</c:v>
                </c:pt>
                <c:pt idx="764">
                  <c:v>11.5940366624296</c:v>
                </c:pt>
                <c:pt idx="765">
                  <c:v>11.5946479200654</c:v>
                </c:pt>
                <c:pt idx="766">
                  <c:v>11.595257146713</c:v>
                </c:pt>
                <c:pt idx="767">
                  <c:v>11.5958644068767</c:v>
                </c:pt>
                <c:pt idx="768">
                  <c:v>11.5964697654752</c:v>
                </c:pt>
                <c:pt idx="769">
                  <c:v>11.5970732133613</c:v>
                </c:pt>
                <c:pt idx="770">
                  <c:v>11.5976746668051</c:v>
                </c:pt>
                <c:pt idx="771">
                  <c:v>11.5982741910313</c:v>
                </c:pt>
                <c:pt idx="772">
                  <c:v>11.5988718516759</c:v>
                </c:pt>
                <c:pt idx="773">
                  <c:v>11.5994675650054</c:v>
                </c:pt>
                <c:pt idx="774">
                  <c:v>11.6000613968589</c:v>
                </c:pt>
                <c:pt idx="775">
                  <c:v>11.6006534134848</c:v>
                </c:pt>
                <c:pt idx="776">
                  <c:v>11.6012435311456</c:v>
                </c:pt>
                <c:pt idx="777">
                  <c:v>11.6018317409926</c:v>
                </c:pt>
                <c:pt idx="778">
                  <c:v>11.6024181095774</c:v>
                </c:pt>
                <c:pt idx="779">
                  <c:v>11.6030027038576</c:v>
                </c:pt>
                <c:pt idx="780">
                  <c:v>11.6035853643858</c:v>
                </c:pt>
                <c:pt idx="781">
                  <c:v>11.6041663094255</c:v>
                </c:pt>
                <c:pt idx="782">
                  <c:v>11.6047453036208</c:v>
                </c:pt>
                <c:pt idx="783">
                  <c:v>11.605322565841</c:v>
                </c:pt>
                <c:pt idx="784">
                  <c:v>11.6058980881439</c:v>
                </c:pt>
                <c:pt idx="785">
                  <c:v>11.6064717103713</c:v>
                </c:pt>
                <c:pt idx="786">
                  <c:v>11.6070436525994</c:v>
                </c:pt>
                <c:pt idx="787">
                  <c:v>11.6076137545683</c:v>
                </c:pt>
                <c:pt idx="788">
                  <c:v>11.6081820844399</c:v>
                </c:pt>
                <c:pt idx="789">
                  <c:v>11.6087487107757</c:v>
                </c:pt>
                <c:pt idx="790">
                  <c:v>11.6093136259283</c:v>
                </c:pt>
                <c:pt idx="791">
                  <c:v>11.6098767455431</c:v>
                </c:pt>
                <c:pt idx="792">
                  <c:v>11.610438138479</c:v>
                </c:pt>
                <c:pt idx="793">
                  <c:v>11.6109977970872</c:v>
                </c:pt>
                <c:pt idx="794">
                  <c:v>11.6115557907222</c:v>
                </c:pt>
                <c:pt idx="795">
                  <c:v>11.6121120349288</c:v>
                </c:pt>
                <c:pt idx="796">
                  <c:v>11.6126665992586</c:v>
                </c:pt>
                <c:pt idx="797">
                  <c:v>11.613219476358</c:v>
                </c:pt>
                <c:pt idx="798">
                  <c:v>11.6137706588732</c:v>
                </c:pt>
                <c:pt idx="799">
                  <c:v>11.6143202169456</c:v>
                </c:pt>
                <c:pt idx="800">
                  <c:v>11.6148680659221</c:v>
                </c:pt>
                <c:pt idx="801">
                  <c:v>11.6154142761397</c:v>
                </c:pt>
                <c:pt idx="802">
                  <c:v>11.615958840538</c:v>
                </c:pt>
                <c:pt idx="803">
                  <c:v>11.6165018299419</c:v>
                </c:pt>
                <c:pt idx="804">
                  <c:v>11.6170430816172</c:v>
                </c:pt>
                <c:pt idx="805">
                  <c:v>11.6175827443713</c:v>
                </c:pt>
                <c:pt idx="806">
                  <c:v>11.6181208114353</c:v>
                </c:pt>
                <c:pt idx="807">
                  <c:v>11.6186572760396</c:v>
                </c:pt>
                <c:pt idx="808">
                  <c:v>11.6191921314148</c:v>
                </c:pt>
                <c:pt idx="809">
                  <c:v>11.6197253707918</c:v>
                </c:pt>
                <c:pt idx="810">
                  <c:v>11.6202570659635</c:v>
                </c:pt>
                <c:pt idx="811">
                  <c:v>11.6207871317916</c:v>
                </c:pt>
                <c:pt idx="812">
                  <c:v>11.6213157190155</c:v>
                </c:pt>
                <c:pt idx="813">
                  <c:v>11.6218426637434</c:v>
                </c:pt>
                <c:pt idx="814">
                  <c:v>11.6223680381532</c:v>
                </c:pt>
                <c:pt idx="815">
                  <c:v>11.6228919148054</c:v>
                </c:pt>
                <c:pt idx="816">
                  <c:v>11.6234142083712</c:v>
                </c:pt>
                <c:pt idx="817">
                  <c:v>11.6239349916022</c:v>
                </c:pt>
                <c:pt idx="818">
                  <c:v>11.6244542583048</c:v>
                </c:pt>
                <c:pt idx="819">
                  <c:v>11.624972002286</c:v>
                </c:pt>
                <c:pt idx="820">
                  <c:v>11.6254882173529</c:v>
                </c:pt>
                <c:pt idx="821">
                  <c:v>11.6260029769215</c:v>
                </c:pt>
                <c:pt idx="822">
                  <c:v>11.6265161953801</c:v>
                </c:pt>
                <c:pt idx="823">
                  <c:v>11.6270278665377</c:v>
                </c:pt>
                <c:pt idx="824">
                  <c:v>11.6275381439843</c:v>
                </c:pt>
                <c:pt idx="825">
                  <c:v>11.628046942109</c:v>
                </c:pt>
                <c:pt idx="826">
                  <c:v>11.6285541749268</c:v>
                </c:pt>
                <c:pt idx="827">
                  <c:v>11.6290599965913</c:v>
                </c:pt>
                <c:pt idx="828">
                  <c:v>11.6295644014757</c:v>
                </c:pt>
                <c:pt idx="829">
                  <c:v>11.6300673035968</c:v>
                </c:pt>
                <c:pt idx="830">
                  <c:v>11.630568777499</c:v>
                </c:pt>
                <c:pt idx="831">
                  <c:v>11.6310688175564</c:v>
                </c:pt>
                <c:pt idx="832">
                  <c:v>11.6315674181438</c:v>
                </c:pt>
                <c:pt idx="833">
                  <c:v>11.6320645736365</c:v>
                </c:pt>
                <c:pt idx="834">
                  <c:v>11.6325603592298</c:v>
                </c:pt>
                <c:pt idx="835">
                  <c:v>11.6330546886656</c:v>
                </c:pt>
                <c:pt idx="836">
                  <c:v>11.6335476373246</c:v>
                </c:pt>
                <c:pt idx="837">
                  <c:v>11.6340391998609</c:v>
                </c:pt>
                <c:pt idx="838">
                  <c:v>11.6345292897426</c:v>
                </c:pt>
                <c:pt idx="839">
                  <c:v>11.6350180639061</c:v>
                </c:pt>
                <c:pt idx="840">
                  <c:v>11.6355054359125</c:v>
                </c:pt>
                <c:pt idx="841">
                  <c:v>11.6359914818787</c:v>
                </c:pt>
                <c:pt idx="842">
                  <c:v>11.6364761151839</c:v>
                </c:pt>
                <c:pt idx="843">
                  <c:v>11.6369594121287</c:v>
                </c:pt>
                <c:pt idx="844">
                  <c:v>11.6374412859119</c:v>
                </c:pt>
                <c:pt idx="845">
                  <c:v>11.6379218130173</c:v>
                </c:pt>
                <c:pt idx="846">
                  <c:v>11.6384010702917</c:v>
                </c:pt>
                <c:pt idx="847">
                  <c:v>11.6388788889321</c:v>
                </c:pt>
                <c:pt idx="848">
                  <c:v>11.6393555098842</c:v>
                </c:pt>
                <c:pt idx="849">
                  <c:v>11.6398306820723</c:v>
                </c:pt>
                <c:pt idx="850">
                  <c:v>11.6403045647101</c:v>
                </c:pt>
                <c:pt idx="851">
                  <c:v>11.6407771530043</c:v>
                </c:pt>
                <c:pt idx="852">
                  <c:v>11.6412484421619</c:v>
                </c:pt>
                <c:pt idx="853">
                  <c:v>11.6417184273909</c:v>
                </c:pt>
                <c:pt idx="854">
                  <c:v>11.6421871038998</c:v>
                </c:pt>
                <c:pt idx="855">
                  <c:v>11.642654466898</c:v>
                </c:pt>
                <c:pt idx="856">
                  <c:v>11.643120511596</c:v>
                </c:pt>
                <c:pt idx="857">
                  <c:v>11.6435853989998</c:v>
                </c:pt>
                <c:pt idx="858">
                  <c:v>11.6440488758961</c:v>
                </c:pt>
                <c:pt idx="859">
                  <c:v>11.6445111864556</c:v>
                </c:pt>
                <c:pt idx="860">
                  <c:v>11.6449721600979</c:v>
                </c:pt>
                <c:pt idx="861">
                  <c:v>11.6454318752895</c:v>
                </c:pt>
                <c:pt idx="862">
                  <c:v>11.6458903275118</c:v>
                </c:pt>
                <c:pt idx="863">
                  <c:v>11.6463475956732</c:v>
                </c:pt>
                <c:pt idx="864">
                  <c:v>11.6468035920063</c:v>
                </c:pt>
                <c:pt idx="865">
                  <c:v>11.6472583119949</c:v>
                </c:pt>
                <c:pt idx="866">
                  <c:v>11.6477118348131</c:v>
                </c:pt>
                <c:pt idx="867">
                  <c:v>11.6481641562091</c:v>
                </c:pt>
                <c:pt idx="868">
                  <c:v>11.6486151880689</c:v>
                </c:pt>
                <c:pt idx="869">
                  <c:v>11.6490650937809</c:v>
                </c:pt>
                <c:pt idx="870">
                  <c:v>11.6495137012829</c:v>
                </c:pt>
                <c:pt idx="871">
                  <c:v>11.6499610901896</c:v>
                </c:pt>
                <c:pt idx="872">
                  <c:v>11.6504073404632</c:v>
                </c:pt>
                <c:pt idx="873">
                  <c:v>11.6508523638205</c:v>
                </c:pt>
                <c:pt idx="874">
                  <c:v>11.6512962403983</c:v>
                </c:pt>
                <c:pt idx="875">
                  <c:v>11.6517388817422</c:v>
                </c:pt>
                <c:pt idx="876">
                  <c:v>11.6521803681632</c:v>
                </c:pt>
                <c:pt idx="877">
                  <c:v>11.6526206110369</c:v>
                </c:pt>
                <c:pt idx="878">
                  <c:v>11.6530597755738</c:v>
                </c:pt>
                <c:pt idx="879">
                  <c:v>11.6534976884259</c:v>
                </c:pt>
                <c:pt idx="880">
                  <c:v>11.6539345151478</c:v>
                </c:pt>
                <c:pt idx="881">
                  <c:v>11.654370167033</c:v>
                </c:pt>
                <c:pt idx="882">
                  <c:v>11.6548046401017</c:v>
                </c:pt>
                <c:pt idx="883">
                  <c:v>11.6552380155268</c:v>
                </c:pt>
                <c:pt idx="884">
                  <c:v>11.6556701191123</c:v>
                </c:pt>
                <c:pt idx="885">
                  <c:v>11.656101202591</c:v>
                </c:pt>
                <c:pt idx="886">
                  <c:v>11.6565311770896</c:v>
                </c:pt>
                <c:pt idx="887">
                  <c:v>11.6569599533975</c:v>
                </c:pt>
                <c:pt idx="888">
                  <c:v>11.6573876131161</c:v>
                </c:pt>
                <c:pt idx="889">
                  <c:v>11.6578141525266</c:v>
                </c:pt>
                <c:pt idx="890">
                  <c:v>11.6582395679111</c:v>
                </c:pt>
                <c:pt idx="891">
                  <c:v>11.6586639413788</c:v>
                </c:pt>
                <c:pt idx="892">
                  <c:v>11.6590871835555</c:v>
                </c:pt>
                <c:pt idx="893">
                  <c:v>11.6595092907262</c:v>
                </c:pt>
                <c:pt idx="894">
                  <c:v>11.6599302591774</c:v>
                </c:pt>
                <c:pt idx="895">
                  <c:v>11.6603501713565</c:v>
                </c:pt>
                <c:pt idx="896">
                  <c:v>11.6607690238022</c:v>
                </c:pt>
                <c:pt idx="897">
                  <c:v>11.6611868130536</c:v>
                </c:pt>
                <c:pt idx="898">
                  <c:v>11.6616035356508</c:v>
                </c:pt>
                <c:pt idx="899">
                  <c:v>11.6620191016431</c:v>
                </c:pt>
                <c:pt idx="900">
                  <c:v>11.6624335938987</c:v>
                </c:pt>
                <c:pt idx="901">
                  <c:v>11.6628470956172</c:v>
                </c:pt>
                <c:pt idx="902">
                  <c:v>11.663259430112</c:v>
                </c:pt>
                <c:pt idx="903">
                  <c:v>11.663670854145</c:v>
                </c:pt>
                <c:pt idx="904">
                  <c:v>11.6640811040454</c:v>
                </c:pt>
                <c:pt idx="905">
                  <c:v>11.6644903500848</c:v>
                </c:pt>
                <c:pt idx="906">
                  <c:v>11.6648985890574</c:v>
                </c:pt>
                <c:pt idx="907">
                  <c:v>11.6653057306094</c:v>
                </c:pt>
                <c:pt idx="908">
                  <c:v>11.6657118585218</c:v>
                </c:pt>
                <c:pt idx="909">
                  <c:v>11.6661169695912</c:v>
                </c:pt>
                <c:pt idx="910">
                  <c:v>11.6665209732225</c:v>
                </c:pt>
                <c:pt idx="911">
                  <c:v>11.6669240409183</c:v>
                </c:pt>
                <c:pt idx="912">
                  <c:v>11.6673259946116</c:v>
                </c:pt>
                <c:pt idx="913">
                  <c:v>11.6677270061317</c:v>
                </c:pt>
                <c:pt idx="914">
                  <c:v>11.6681270725228</c:v>
                </c:pt>
                <c:pt idx="915">
                  <c:v>11.6685260152349</c:v>
                </c:pt>
                <c:pt idx="916">
                  <c:v>11.6689240065854</c:v>
                </c:pt>
                <c:pt idx="917">
                  <c:v>11.6693209556624</c:v>
                </c:pt>
                <c:pt idx="918">
                  <c:v>11.6697169473103</c:v>
                </c:pt>
                <c:pt idx="919">
                  <c:v>11.6701119785768</c:v>
                </c:pt>
                <c:pt idx="920">
                  <c:v>11.670505958312</c:v>
                </c:pt>
                <c:pt idx="921">
                  <c:v>11.6708989716039</c:v>
                </c:pt>
                <c:pt idx="922">
                  <c:v>11.6712910155028</c:v>
                </c:pt>
                <c:pt idx="923">
                  <c:v>11.67168208706</c:v>
                </c:pt>
                <c:pt idx="924">
                  <c:v>11.6720721833278</c:v>
                </c:pt>
                <c:pt idx="925">
                  <c:v>11.6724612127629</c:v>
                </c:pt>
                <c:pt idx="926">
                  <c:v>11.6728493495331</c:v>
                </c:pt>
                <c:pt idx="927">
                  <c:v>11.6732365909314</c:v>
                </c:pt>
                <c:pt idx="928">
                  <c:v>11.6736228454176</c:v>
                </c:pt>
                <c:pt idx="929">
                  <c:v>11.674008110049</c:v>
                </c:pt>
                <c:pt idx="930">
                  <c:v>11.6743924708753</c:v>
                </c:pt>
                <c:pt idx="931">
                  <c:v>11.6747758361225</c:v>
                </c:pt>
                <c:pt idx="932">
                  <c:v>11.6751582028515</c:v>
                </c:pt>
                <c:pt idx="933">
                  <c:v>11.6755397465777</c:v>
                </c:pt>
                <c:pt idx="934">
                  <c:v>11.6759202862247</c:v>
                </c:pt>
                <c:pt idx="935">
                  <c:v>11.6762999082399</c:v>
                </c:pt>
                <c:pt idx="936">
                  <c:v>11.6766786099234</c:v>
                </c:pt>
                <c:pt idx="937">
                  <c:v>11.6770563885762</c:v>
                </c:pt>
                <c:pt idx="938">
                  <c:v>11.6774332415001</c:v>
                </c:pt>
                <c:pt idx="939">
                  <c:v>11.6778091659981</c:v>
                </c:pt>
                <c:pt idx="940">
                  <c:v>11.678184159374</c:v>
                </c:pt>
                <c:pt idx="941">
                  <c:v>11.6785583087817</c:v>
                </c:pt>
                <c:pt idx="942">
                  <c:v>11.6789314319067</c:v>
                </c:pt>
                <c:pt idx="943">
                  <c:v>11.6793037958346</c:v>
                </c:pt>
                <c:pt idx="944">
                  <c:v>11.6796751280949</c:v>
                </c:pt>
                <c:pt idx="945">
                  <c:v>11.6800456962375</c:v>
                </c:pt>
                <c:pt idx="946">
                  <c:v>11.6804152273321</c:v>
                </c:pt>
                <c:pt idx="947">
                  <c:v>11.6807839893918</c:v>
                </c:pt>
                <c:pt idx="948">
                  <c:v>11.6811517994146</c:v>
                </c:pt>
                <c:pt idx="949">
                  <c:v>11.681518745178</c:v>
                </c:pt>
                <c:pt idx="950">
                  <c:v>11.6818847336864</c:v>
                </c:pt>
                <c:pt idx="951">
                  <c:v>11.6822499434883</c:v>
                </c:pt>
                <c:pt idx="952">
                  <c:v>11.682614281666</c:v>
                </c:pt>
                <c:pt idx="953">
                  <c:v>11.6829776549985</c:v>
                </c:pt>
                <c:pt idx="954">
                  <c:v>11.6833402424937</c:v>
                </c:pt>
                <c:pt idx="955">
                  <c:v>11.6837019510082</c:v>
                </c:pt>
                <c:pt idx="956">
                  <c:v>11.6840627780919</c:v>
                </c:pt>
                <c:pt idx="957">
                  <c:v>11.6844227212958</c:v>
                </c:pt>
                <c:pt idx="958">
                  <c:v>11.6847818693176</c:v>
                </c:pt>
                <c:pt idx="959">
                  <c:v>11.6851401287152</c:v>
                </c:pt>
                <c:pt idx="960">
                  <c:v>11.6854975883388</c:v>
                </c:pt>
                <c:pt idx="961">
                  <c:v>11.6858541545974</c:v>
                </c:pt>
                <c:pt idx="962">
                  <c:v>11.6862099164932</c:v>
                </c:pt>
                <c:pt idx="963">
                  <c:v>11.6865647802874</c:v>
                </c:pt>
                <c:pt idx="964">
                  <c:v>11.6869188351338</c:v>
                </c:pt>
                <c:pt idx="965">
                  <c:v>11.687272078816</c:v>
                </c:pt>
                <c:pt idx="966">
                  <c:v>11.6876245091183</c:v>
                </c:pt>
                <c:pt idx="967">
                  <c:v>11.687976032007</c:v>
                </c:pt>
                <c:pt idx="968">
                  <c:v>11.688326828831</c:v>
                </c:pt>
                <c:pt idx="969">
                  <c:v>11.6886767136659</c:v>
                </c:pt>
                <c:pt idx="970">
                  <c:v>11.6890258681591</c:v>
                </c:pt>
                <c:pt idx="971">
                  <c:v>11.6893741060917</c:v>
                </c:pt>
                <c:pt idx="972">
                  <c:v>11.6897216094086</c:v>
                </c:pt>
                <c:pt idx="973">
                  <c:v>11.6900682838598</c:v>
                </c:pt>
                <c:pt idx="974">
                  <c:v>11.6904141272365</c:v>
                </c:pt>
                <c:pt idx="975">
                  <c:v>11.6907592297405</c:v>
                </c:pt>
                <c:pt idx="976">
                  <c:v>11.6911034044208</c:v>
                </c:pt>
                <c:pt idx="977">
                  <c:v>11.6914469265186</c:v>
                </c:pt>
                <c:pt idx="978">
                  <c:v>11.6917896090114</c:v>
                </c:pt>
                <c:pt idx="979">
                  <c:v>11.6921314496956</c:v>
                </c:pt>
                <c:pt idx="980">
                  <c:v>11.6924725391434</c:v>
                </c:pt>
                <c:pt idx="981">
                  <c:v>11.692812875372</c:v>
                </c:pt>
                <c:pt idx="982">
                  <c:v>11.6931523634797</c:v>
                </c:pt>
                <c:pt idx="983">
                  <c:v>11.6934910942595</c:v>
                </c:pt>
                <c:pt idx="984">
                  <c:v>11.6938290657311</c:v>
                </c:pt>
                <c:pt idx="985">
                  <c:v>11.6941662759147</c:v>
                </c:pt>
                <c:pt idx="986">
                  <c:v>11.6945026296226</c:v>
                </c:pt>
                <c:pt idx="987">
                  <c:v>11.6948383112223</c:v>
                </c:pt>
                <c:pt idx="988">
                  <c:v>11.695173132247</c:v>
                </c:pt>
                <c:pt idx="989">
                  <c:v>11.6955072773541</c:v>
                </c:pt>
                <c:pt idx="990">
                  <c:v>11.6958406512871</c:v>
                </c:pt>
                <c:pt idx="991">
                  <c:v>11.6961732520716</c:v>
                </c:pt>
                <c:pt idx="992">
                  <c:v>11.6965050777337</c:v>
                </c:pt>
                <c:pt idx="993">
                  <c:v>11.6968361263008</c:v>
                </c:pt>
                <c:pt idx="994">
                  <c:v>11.6971664895836</c:v>
                </c:pt>
                <c:pt idx="995">
                  <c:v>11.6974960719715</c:v>
                </c:pt>
                <c:pt idx="996">
                  <c:v>11.6978249654192</c:v>
                </c:pt>
                <c:pt idx="997">
                  <c:v>11.6981529801796</c:v>
                </c:pt>
                <c:pt idx="998">
                  <c:v>11.6984803022051</c:v>
                </c:pt>
                <c:pt idx="999">
                  <c:v>11.6988070238788</c:v>
                </c:pt>
              </c:numCache>
            </c:numRef>
          </c:xVal>
          <c:yVal>
            <c:numRef>
              <c:f>04_Titration!$C$5:$C$1004</c:f>
              <c:numCache>
                <c:formatCode>0.000</c:formatCode>
                <c:ptCount val="1000"/>
                <c:pt idx="0">
                  <c:v>0.173717923145354</c:v>
                </c:pt>
                <c:pt idx="1">
                  <c:v>0.173719488190983</c:v>
                </c:pt>
                <c:pt idx="2">
                  <c:v>0.173724183497484</c:v>
                </c:pt>
                <c:pt idx="3">
                  <c:v>0.173732009572689</c:v>
                </c:pt>
                <c:pt idx="4">
                  <c:v>0.173742967262825</c:v>
                </c:pt>
                <c:pt idx="5">
                  <c:v>0.173757057752908</c:v>
                </c:pt>
                <c:pt idx="6">
                  <c:v>0.173774282567166</c:v>
                </c:pt>
                <c:pt idx="7">
                  <c:v>0.173794643569323</c:v>
                </c:pt>
                <c:pt idx="8">
                  <c:v>0.173818142963057</c:v>
                </c:pt>
                <c:pt idx="9">
                  <c:v>0.173844783292964</c:v>
                </c:pt>
                <c:pt idx="10">
                  <c:v>0.173874567444699</c:v>
                </c:pt>
                <c:pt idx="11">
                  <c:v>0.173907498646258</c:v>
                </c:pt>
                <c:pt idx="12">
                  <c:v>0.173943580468318</c:v>
                </c:pt>
                <c:pt idx="13">
                  <c:v>0.173982816826026</c:v>
                </c:pt>
                <c:pt idx="14">
                  <c:v>0.174025211979</c:v>
                </c:pt>
                <c:pt idx="15">
                  <c:v>0.174070770533461</c:v>
                </c:pt>
                <c:pt idx="16">
                  <c:v>0.174119497442803</c:v>
                </c:pt>
                <c:pt idx="17">
                  <c:v>0.174171398009406</c:v>
                </c:pt>
                <c:pt idx="18">
                  <c:v>0.174226477885753</c:v>
                </c:pt>
                <c:pt idx="19">
                  <c:v>0.174284743076157</c:v>
                </c:pt>
                <c:pt idx="20">
                  <c:v>0.174346199938384</c:v>
                </c:pt>
                <c:pt idx="21">
                  <c:v>0.174410855185357</c:v>
                </c:pt>
                <c:pt idx="22">
                  <c:v>0.174478715886863</c:v>
                </c:pt>
                <c:pt idx="23">
                  <c:v>0.174549789471882</c:v>
                </c:pt>
                <c:pt idx="24">
                  <c:v>0.174624083730237</c:v>
                </c:pt>
                <c:pt idx="25">
                  <c:v>0.174701606814892</c:v>
                </c:pt>
                <c:pt idx="26">
                  <c:v>0.174782367244234</c:v>
                </c:pt>
                <c:pt idx="27">
                  <c:v>0.17486637390445</c:v>
                </c:pt>
                <c:pt idx="28">
                  <c:v>0.174953636051811</c:v>
                </c:pt>
                <c:pt idx="29">
                  <c:v>0.175044163315477</c:v>
                </c:pt>
                <c:pt idx="30">
                  <c:v>0.17513796570006</c:v>
                </c:pt>
                <c:pt idx="31">
                  <c:v>0.175235053588381</c:v>
                </c:pt>
                <c:pt idx="32">
                  <c:v>0.175335437744508</c:v>
                </c:pt>
                <c:pt idx="33">
                  <c:v>0.175439129316487</c:v>
                </c:pt>
                <c:pt idx="34">
                  <c:v>0.175546139839952</c:v>
                </c:pt>
                <c:pt idx="35">
                  <c:v>0.175656481240878</c:v>
                </c:pt>
                <c:pt idx="36">
                  <c:v>0.175770165839197</c:v>
                </c:pt>
                <c:pt idx="37">
                  <c:v>0.1758872063524</c:v>
                </c:pt>
                <c:pt idx="38">
                  <c:v>0.176007615898698</c:v>
                </c:pt>
                <c:pt idx="39">
                  <c:v>0.176131408001368</c:v>
                </c:pt>
                <c:pt idx="40">
                  <c:v>0.176258596592163</c:v>
                </c:pt>
                <c:pt idx="41">
                  <c:v>0.176389196015265</c:v>
                </c:pt>
                <c:pt idx="42">
                  <c:v>0.176523221031971</c:v>
                </c:pt>
                <c:pt idx="43">
                  <c:v>0.176660686824192</c:v>
                </c:pt>
                <c:pt idx="44">
                  <c:v>0.176801608999284</c:v>
                </c:pt>
                <c:pt idx="45">
                  <c:v>0.176946003594566</c:v>
                </c:pt>
                <c:pt idx="46">
                  <c:v>0.177093887081867</c:v>
                </c:pt>
                <c:pt idx="47">
                  <c:v>0.177245276372304</c:v>
                </c:pt>
                <c:pt idx="48">
                  <c:v>0.177400188821338</c:v>
                </c:pt>
                <c:pt idx="49">
                  <c:v>0.177558642233748</c:v>
                </c:pt>
                <c:pt idx="50">
                  <c:v>0.177720654869148</c:v>
                </c:pt>
                <c:pt idx="51">
                  <c:v>0.177886245446985</c:v>
                </c:pt>
                <c:pt idx="52">
                  <c:v>0.178055433152423</c:v>
                </c:pt>
                <c:pt idx="53">
                  <c:v>0.178228237641889</c:v>
                </c:pt>
                <c:pt idx="54">
                  <c:v>0.178404679049265</c:v>
                </c:pt>
                <c:pt idx="55">
                  <c:v>0.178584777991233</c:v>
                </c:pt>
                <c:pt idx="56">
                  <c:v>0.178768555574465</c:v>
                </c:pt>
                <c:pt idx="57">
                  <c:v>0.178956033401022</c:v>
                </c:pt>
                <c:pt idx="58">
                  <c:v>0.179147233575833</c:v>
                </c:pt>
                <c:pt idx="59">
                  <c:v>0.179342178712744</c:v>
                </c:pt>
                <c:pt idx="60">
                  <c:v>0.17954089194194</c:v>
                </c:pt>
                <c:pt idx="61">
                  <c:v>0.179743396916592</c:v>
                </c:pt>
                <c:pt idx="62">
                  <c:v>0.17994971782079</c:v>
                </c:pt>
                <c:pt idx="63">
                  <c:v>0.180159879376447</c:v>
                </c:pt>
                <c:pt idx="64">
                  <c:v>0.180373906851486</c:v>
                </c:pt>
                <c:pt idx="65">
                  <c:v>0.180591826067428</c:v>
                </c:pt>
                <c:pt idx="66">
                  <c:v>0.180813663407747</c:v>
                </c:pt>
                <c:pt idx="67">
                  <c:v>0.181039445826258</c:v>
                </c:pt>
                <c:pt idx="68">
                  <c:v>0.181269200855411</c:v>
                </c:pt>
                <c:pt idx="69">
                  <c:v>0.181502956615447</c:v>
                </c:pt>
                <c:pt idx="70">
                  <c:v>0.181740741823177</c:v>
                </c:pt>
                <c:pt idx="71">
                  <c:v>0.181982585801393</c:v>
                </c:pt>
                <c:pt idx="72">
                  <c:v>0.182228518488472</c:v>
                </c:pt>
                <c:pt idx="73">
                  <c:v>0.182478570447785</c:v>
                </c:pt>
                <c:pt idx="74">
                  <c:v>0.182732772878126</c:v>
                </c:pt>
                <c:pt idx="75">
                  <c:v>0.182991157623945</c:v>
                </c:pt>
                <c:pt idx="76">
                  <c:v>0.183253757185611</c:v>
                </c:pt>
                <c:pt idx="77">
                  <c:v>0.183520604730632</c:v>
                </c:pt>
                <c:pt idx="78">
                  <c:v>0.18379173410446</c:v>
                </c:pt>
                <c:pt idx="79">
                  <c:v>0.184067179842174</c:v>
                </c:pt>
                <c:pt idx="80">
                  <c:v>0.18434697718007</c:v>
                </c:pt>
                <c:pt idx="81">
                  <c:v>0.184631162067433</c:v>
                </c:pt>
                <c:pt idx="82">
                  <c:v>0.184919771179523</c:v>
                </c:pt>
                <c:pt idx="83">
                  <c:v>0.185212841929399</c:v>
                </c:pt>
                <c:pt idx="84">
                  <c:v>0.185510412481619</c:v>
                </c:pt>
                <c:pt idx="85">
                  <c:v>0.185812521765257</c:v>
                </c:pt>
                <c:pt idx="86">
                  <c:v>0.186119209487345</c:v>
                </c:pt>
                <c:pt idx="87">
                  <c:v>0.186430516147482</c:v>
                </c:pt>
                <c:pt idx="88">
                  <c:v>0.186746483051707</c:v>
                </c:pt>
                <c:pt idx="89">
                  <c:v>0.187067152327558</c:v>
                </c:pt>
                <c:pt idx="90">
                  <c:v>0.187392566939252</c:v>
                </c:pt>
                <c:pt idx="91">
                  <c:v>0.187722770703033</c:v>
                </c:pt>
                <c:pt idx="92">
                  <c:v>0.188057808303455</c:v>
                </c:pt>
                <c:pt idx="93">
                  <c:v>0.188397725309613</c:v>
                </c:pt>
                <c:pt idx="94">
                  <c:v>0.188742568191969</c:v>
                </c:pt>
                <c:pt idx="95">
                  <c:v>0.189092384339801</c:v>
                </c:pt>
                <c:pt idx="96">
                  <c:v>0.189447222078684</c:v>
                </c:pt>
                <c:pt idx="97">
                  <c:v>0.189807130689019</c:v>
                </c:pt>
                <c:pt idx="98">
                  <c:v>0.190172160424538</c:v>
                </c:pt>
                <c:pt idx="99">
                  <c:v>0.190542362531687</c:v>
                </c:pt>
                <c:pt idx="100">
                  <c:v>0.190917789269093</c:v>
                </c:pt>
                <c:pt idx="101">
                  <c:v>0.191298493928088</c:v>
                </c:pt>
                <c:pt idx="102">
                  <c:v>0.191684530853479</c:v>
                </c:pt>
                <c:pt idx="103">
                  <c:v>0.192075955464702</c:v>
                </c:pt>
                <c:pt idx="104">
                  <c:v>0.192472824278042</c:v>
                </c:pt>
                <c:pt idx="105">
                  <c:v>0.192875194929059</c:v>
                </c:pt>
                <c:pt idx="106">
                  <c:v>0.193283126195723</c:v>
                </c:pt>
                <c:pt idx="107">
                  <c:v>0.193696678022349</c:v>
                </c:pt>
                <c:pt idx="108">
                  <c:v>0.194115911543833</c:v>
                </c:pt>
                <c:pt idx="109">
                  <c:v>0.194540889111067</c:v>
                </c:pt>
                <c:pt idx="110">
                  <c:v>0.194971674316548</c:v>
                </c:pt>
                <c:pt idx="111">
                  <c:v>0.195408332020918</c:v>
                </c:pt>
                <c:pt idx="112">
                  <c:v>0.195850928380423</c:v>
                </c:pt>
                <c:pt idx="113">
                  <c:v>0.196299530874711</c:v>
                </c:pt>
                <c:pt idx="114">
                  <c:v>0.196754208335904</c:v>
                </c:pt>
                <c:pt idx="115">
                  <c:v>0.197215030978185</c:v>
                </c:pt>
                <c:pt idx="116">
                  <c:v>0.197682070427987</c:v>
                </c:pt>
                <c:pt idx="117">
                  <c:v>0.198155399755734</c:v>
                </c:pt>
                <c:pt idx="118">
                  <c:v>0.198635093507932</c:v>
                </c:pt>
                <c:pt idx="119">
                  <c:v>0.199121227740164</c:v>
                </c:pt>
                <c:pt idx="120">
                  <c:v>0.199613880051487</c:v>
                </c:pt>
                <c:pt idx="121">
                  <c:v>0.200113129619183</c:v>
                </c:pt>
                <c:pt idx="122">
                  <c:v>0.200619057235201</c:v>
                </c:pt>
                <c:pt idx="123">
                  <c:v>0.20113174534302</c:v>
                </c:pt>
                <c:pt idx="124">
                  <c:v>0.201651278075985</c:v>
                </c:pt>
                <c:pt idx="125">
                  <c:v>0.202177741296822</c:v>
                </c:pt>
                <c:pt idx="126">
                  <c:v>0.202711222637788</c:v>
                </c:pt>
                <c:pt idx="127">
                  <c:v>0.203251811542714</c:v>
                </c:pt>
                <c:pt idx="128">
                  <c:v>0.20379959930969</c:v>
                </c:pt>
                <c:pt idx="129">
                  <c:v>0.204354679135491</c:v>
                </c:pt>
                <c:pt idx="130">
                  <c:v>0.204917146160881</c:v>
                </c:pt>
                <c:pt idx="131">
                  <c:v>0.205487097517676</c:v>
                </c:pt>
                <c:pt idx="132">
                  <c:v>0.206064632377149</c:v>
                </c:pt>
                <c:pt idx="133">
                  <c:v>0.206649851999345</c:v>
                </c:pt>
                <c:pt idx="134">
                  <c:v>0.207242859785112</c:v>
                </c:pt>
                <c:pt idx="135">
                  <c:v>0.207843761328178</c:v>
                </c:pt>
                <c:pt idx="136">
                  <c:v>0.208452664470343</c:v>
                </c:pt>
                <c:pt idx="137">
                  <c:v>0.209069679356958</c:v>
                </c:pt>
                <c:pt idx="138">
                  <c:v>0.209694918495472</c:v>
                </c:pt>
                <c:pt idx="139">
                  <c:v>0.21032849681481</c:v>
                </c:pt>
                <c:pt idx="140">
                  <c:v>0.21097053172673</c:v>
                </c:pt>
                <c:pt idx="141">
                  <c:v>0.211621143189916</c:v>
                </c:pt>
                <c:pt idx="142">
                  <c:v>0.212280453775037</c:v>
                </c:pt>
                <c:pt idx="143">
                  <c:v>0.212948588732559</c:v>
                </c:pt>
                <c:pt idx="144">
                  <c:v>0.21362567606235</c:v>
                </c:pt>
                <c:pt idx="145">
                  <c:v>0.214311846585815</c:v>
                </c:pt>
                <c:pt idx="146">
                  <c:v>0.215007234020277</c:v>
                </c:pt>
                <c:pt idx="147">
                  <c:v>0.215711975055456</c:v>
                </c:pt>
                <c:pt idx="148">
                  <c:v>0.216426209432939</c:v>
                </c:pt>
                <c:pt idx="149">
                  <c:v>0.217150080027864</c:v>
                </c:pt>
                <c:pt idx="150">
                  <c:v>0.217883732933558</c:v>
                </c:pt>
                <c:pt idx="151">
                  <c:v>0.21862731754868</c:v>
                </c:pt>
                <c:pt idx="152">
                  <c:v>0.219380986667574</c:v>
                </c:pt>
                <c:pt idx="153">
                  <c:v>0.220144896573544</c:v>
                </c:pt>
                <c:pt idx="154">
                  <c:v>0.22091920713504</c:v>
                </c:pt>
                <c:pt idx="155">
                  <c:v>0.221704081905301</c:v>
                </c:pt>
                <c:pt idx="156">
                  <c:v>0.222499688225753</c:v>
                </c:pt>
                <c:pt idx="157">
                  <c:v>0.223306197331965</c:v>
                </c:pt>
                <c:pt idx="158">
                  <c:v>0.224123784464325</c:v>
                </c:pt>
                <c:pt idx="159">
                  <c:v>0.224952628981612</c:v>
                </c:pt>
                <c:pt idx="160">
                  <c:v>0.225792914479371</c:v>
                </c:pt>
                <c:pt idx="161">
                  <c:v>0.226644828911816</c:v>
                </c:pt>
                <c:pt idx="162">
                  <c:v>0.227508564718136</c:v>
                </c:pt>
                <c:pt idx="163">
                  <c:v>0.228384318953459</c:v>
                </c:pt>
                <c:pt idx="164">
                  <c:v>0.229272293424344</c:v>
                </c:pt>
                <c:pt idx="165">
                  <c:v>0.230172694829065</c:v>
                </c:pt>
                <c:pt idx="166">
                  <c:v>0.231085734902933</c:v>
                </c:pt>
                <c:pt idx="167">
                  <c:v>0.232011630569303</c:v>
                </c:pt>
                <c:pt idx="168">
                  <c:v>0.232950604095151</c:v>
                </c:pt>
                <c:pt idx="169">
                  <c:v>0.233902883253563</c:v>
                </c:pt>
                <c:pt idx="170">
                  <c:v>0.234868701490939</c:v>
                </c:pt>
                <c:pt idx="171">
                  <c:v>0.235848298101558</c:v>
                </c:pt>
                <c:pt idx="172">
                  <c:v>0.236841918407805</c:v>
                </c:pt>
                <c:pt idx="173">
                  <c:v>0.237849813947378</c:v>
                </c:pt>
                <c:pt idx="174">
                  <c:v>0.238872242668123</c:v>
                </c:pt>
                <c:pt idx="175">
                  <c:v>0.239909469129202</c:v>
                </c:pt>
                <c:pt idx="176">
                  <c:v>0.240961764711187</c:v>
                </c:pt>
                <c:pt idx="177">
                  <c:v>0.242029407832945</c:v>
                </c:pt>
                <c:pt idx="178">
                  <c:v>0.243112684178158</c:v>
                </c:pt>
                <c:pt idx="179">
                  <c:v>0.244211886929634</c:v>
                </c:pt>
                <c:pt idx="180">
                  <c:v>0.245327317013704</c:v>
                </c:pt>
                <c:pt idx="181">
                  <c:v>0.246459283353261</c:v>
                </c:pt>
                <c:pt idx="182">
                  <c:v>0.247608103131967</c:v>
                </c:pt>
                <c:pt idx="183">
                  <c:v>0.248774102068381</c:v>
                </c:pt>
                <c:pt idx="184">
                  <c:v>0.249957614700662</c:v>
                </c:pt>
                <c:pt idx="185">
                  <c:v>0.251158984684082</c:v>
                </c:pt>
                <c:pt idx="186">
                  <c:v>0.252378565099662</c:v>
                </c:pt>
                <c:pt idx="187">
                  <c:v>0.253616718775675</c:v>
                </c:pt>
                <c:pt idx="188">
                  <c:v>0.254873818622798</c:v>
                </c:pt>
                <c:pt idx="189">
                  <c:v>0.256150247982788</c:v>
                </c:pt>
                <c:pt idx="190">
                  <c:v>0.257446400991995</c:v>
                </c:pt>
                <c:pt idx="191">
                  <c:v>0.25876268296048</c:v>
                </c:pt>
                <c:pt idx="192">
                  <c:v>0.260099510766537</c:v>
                </c:pt>
                <c:pt idx="193">
                  <c:v>0.261457313268977</c:v>
                </c:pt>
                <c:pt idx="194">
                  <c:v>0.262836531736497</c:v>
                </c:pt>
                <c:pt idx="195">
                  <c:v>0.264237620296171</c:v>
                </c:pt>
                <c:pt idx="196">
                  <c:v>0.265661046401135</c:v>
                </c:pt>
                <c:pt idx="197">
                  <c:v>0.267107291319576</c:v>
                </c:pt>
                <c:pt idx="198">
                  <c:v>0.268576850644593</c:v>
                </c:pt>
                <c:pt idx="199">
                  <c:v>0.270070234827358</c:v>
                </c:pt>
                <c:pt idx="200">
                  <c:v>0.271587969734469</c:v>
                </c:pt>
                <c:pt idx="201">
                  <c:v>0.273130597229994</c:v>
                </c:pt>
                <c:pt idx="202">
                  <c:v>0.274698675784862</c:v>
                </c:pt>
                <c:pt idx="203">
                  <c:v>0.276292781113938</c:v>
                </c:pt>
                <c:pt idx="204">
                  <c:v>0.277913506842651</c:v>
                </c:pt>
                <c:pt idx="205">
                  <c:v>0.279561465204921</c:v>
                </c:pt>
                <c:pt idx="206">
                  <c:v>0.281237287774559</c:v>
                </c:pt>
                <c:pt idx="207">
                  <c:v>0.282941626230297</c:v>
                </c:pt>
                <c:pt idx="208">
                  <c:v>0.28467515315873</c:v>
                </c:pt>
                <c:pt idx="209">
                  <c:v>0.286438562895171</c:v>
                </c:pt>
                <c:pt idx="210">
                  <c:v>0.288232572405974</c:v>
                </c:pt>
                <c:pt idx="211">
                  <c:v>0.290057922214118</c:v>
                </c:pt>
                <c:pt idx="212">
                  <c:v>0.291915377370316</c:v>
                </c:pt>
                <c:pt idx="213">
                  <c:v>0.293805728473274</c:v>
                </c:pt>
                <c:pt idx="214">
                  <c:v>0.295729792740417</c:v>
                </c:pt>
                <c:pt idx="215">
                  <c:v>0.297688415133933</c:v>
                </c:pt>
                <c:pt idx="216">
                  <c:v>0.299682469544024</c:v>
                </c:pt>
                <c:pt idx="217">
                  <c:v>0.30171286003295</c:v>
                </c:pt>
                <c:pt idx="218">
                  <c:v>0.303780522144649</c:v>
                </c:pt>
                <c:pt idx="219">
                  <c:v>0.305886424282818</c:v>
                </c:pt>
                <c:pt idx="220">
                  <c:v>0.308031569161756</c:v>
                </c:pt>
                <c:pt idx="221">
                  <c:v>0.310216995335367</c:v>
                </c:pt>
                <c:pt idx="222">
                  <c:v>0.312443778808557</c:v>
                </c:pt>
                <c:pt idx="223">
                  <c:v>0.314713034735945</c:v>
                </c:pt>
                <c:pt idx="224">
                  <c:v>0.317025919214842</c:v>
                </c:pt>
                <c:pt idx="225">
                  <c:v>0.319383631176692</c:v>
                </c:pt>
                <c:pt idx="226">
                  <c:v>0.32178741438517</c:v>
                </c:pt>
                <c:pt idx="227">
                  <c:v>0.324238559547041</c:v>
                </c:pt>
                <c:pt idx="228">
                  <c:v>0.326738406543029</c:v>
                </c:pt>
                <c:pt idx="229">
                  <c:v>0.329288346787905</c:v>
                </c:pt>
                <c:pt idx="230">
                  <c:v>0.331889825727387</c:v>
                </c:pt>
                <c:pt idx="231">
                  <c:v>0.334544345481618</c:v>
                </c:pt>
                <c:pt idx="232">
                  <c:v>0.337253467645951</c:v>
                </c:pt>
                <c:pt idx="233">
                  <c:v>0.340018816258805</c:v>
                </c:pt>
                <c:pt idx="234">
                  <c:v>0.342842080949879</c:v>
                </c:pt>
                <c:pt idx="235">
                  <c:v>0.345725020280014</c:v>
                </c:pt>
                <c:pt idx="236">
                  <c:v>0.348669465288083</c:v>
                </c:pt>
                <c:pt idx="237">
                  <c:v>0.351677323258656</c:v>
                </c:pt>
                <c:pt idx="238">
                  <c:v>0.354750581727302</c:v>
                </c:pt>
                <c:pt idx="239">
                  <c:v>0.357891312741486</c:v>
                </c:pt>
                <c:pt idx="240">
                  <c:v>0.361101677395197</c:v>
                </c:pt>
                <c:pt idx="241">
                  <c:v>0.364383930659784</c:v>
                </c:pt>
                <c:pt idx="242">
                  <c:v>0.36774042653181</c:v>
                </c:pt>
                <c:pt idx="243">
                  <c:v>0.371173623524072</c:v>
                </c:pt>
                <c:pt idx="244">
                  <c:v>0.374686090525671</c:v>
                </c:pt>
                <c:pt idx="245">
                  <c:v>0.37828051306181</c:v>
                </c:pt>
                <c:pt idx="246">
                  <c:v>0.381959699983213</c:v>
                </c:pt>
                <c:pt idx="247">
                  <c:v>0.385726590622539</c:v>
                </c:pt>
                <c:pt idx="248">
                  <c:v>0.389584262454434</c:v>
                </c:pt>
                <c:pt idx="249">
                  <c:v>0.393535939301842</c:v>
                </c:pt>
                <c:pt idx="250">
                  <c:v>0.397585000134257</c:v>
                </c:pt>
                <c:pt idx="251">
                  <c:v>0.401734988508906</c:v>
                </c:pt>
                <c:pt idx="252">
                  <c:v>0.405989622709342</c:v>
                </c:pt>
                <c:pt idx="253">
                  <c:v>0.410352806643459</c:v>
                </c:pt>
                <c:pt idx="254">
                  <c:v>0.414828641567169</c:v>
                </c:pt>
                <c:pt idx="255">
                  <c:v>0.419421438708383</c:v>
                </c:pt>
                <c:pt idx="256">
                  <c:v>0.424135732872202</c:v>
                </c:pt>
                <c:pt idx="257">
                  <c:v>0.428976297118453</c:v>
                </c:pt>
                <c:pt idx="258">
                  <c:v>0.433948158610662</c:v>
                </c:pt>
                <c:pt idx="259">
                  <c:v>0.439056615747603</c:v>
                </c:pt>
                <c:pt idx="260">
                  <c:v>0.444307256699119</c:v>
                </c:pt>
                <c:pt idx="261">
                  <c:v>0.449705979484463</c:v>
                </c:pt>
                <c:pt idx="262">
                  <c:v>0.455259013742477</c:v>
                </c:pt>
                <c:pt idx="263">
                  <c:v>0.460972944363931</c:v>
                </c:pt>
                <c:pt idx="264">
                  <c:v>0.4668547371746</c:v>
                </c:pt>
                <c:pt idx="265">
                  <c:v>0.472911766878326</c:v>
                </c:pt>
                <c:pt idx="266">
                  <c:v>0.479151847497718</c:v>
                </c:pt>
                <c:pt idx="267">
                  <c:v>0.485583265574348</c:v>
                </c:pt>
                <c:pt idx="268">
                  <c:v>0.492214816427094</c:v>
                </c:pt>
                <c:pt idx="269">
                  <c:v>0.499055843800733</c:v>
                </c:pt>
                <c:pt idx="270">
                  <c:v>0.506116283281585</c:v>
                </c:pt>
                <c:pt idx="271">
                  <c:v>0.513406709903933</c:v>
                </c:pt>
                <c:pt idx="272">
                  <c:v>0.520938390426693</c:v>
                </c:pt>
                <c:pt idx="273">
                  <c:v>0.528723340824143</c:v>
                </c:pt>
                <c:pt idx="274">
                  <c:v>0.536774389608382</c:v>
                </c:pt>
                <c:pt idx="275">
                  <c:v>0.54510524768321</c:v>
                </c:pt>
                <c:pt idx="276">
                  <c:v>0.553730585532662</c:v>
                </c:pt>
                <c:pt idx="277">
                  <c:v>0.562666118654931</c:v>
                </c:pt>
                <c:pt idx="278">
                  <c:v>0.57192870229116</c:v>
                </c:pt>
                <c:pt idx="279">
                  <c:v>0.581536436648634</c:v>
                </c:pt>
                <c:pt idx="280">
                  <c:v>0.591508784001377</c:v>
                </c:pt>
                <c:pt idx="281">
                  <c:v>0.601866699261166</c:v>
                </c:pt>
                <c:pt idx="282">
                  <c:v>0.612632775864455</c:v>
                </c:pt>
                <c:pt idx="283">
                  <c:v>0.623831409109641</c:v>
                </c:pt>
                <c:pt idx="284">
                  <c:v>0.635488979433291</c:v>
                </c:pt>
                <c:pt idx="285">
                  <c:v>0.647634058520254</c:v>
                </c:pt>
                <c:pt idx="286">
                  <c:v>0.660297641641307</c:v>
                </c:pt>
                <c:pt idx="287">
                  <c:v>0.673513410191646</c:v>
                </c:pt>
                <c:pt idx="288">
                  <c:v>0.687318029117108</c:v>
                </c:pt>
                <c:pt idx="289">
                  <c:v>0.701751484755079</c:v>
                </c:pt>
                <c:pt idx="290">
                  <c:v>0.716857469648346</c:v>
                </c:pt>
                <c:pt idx="291">
                  <c:v>0.73268382213206</c:v>
                </c:pt>
                <c:pt idx="292">
                  <c:v>0.749283030010446</c:v>
                </c:pt>
                <c:pt idx="293">
                  <c:v>0.766712809496653</c:v>
                </c:pt>
                <c:pt idx="294">
                  <c:v>0.785036772873042</c:v>
                </c:pt>
                <c:pt idx="295">
                  <c:v>0.804325201149993</c:v>
                </c:pt>
                <c:pt idx="296">
                  <c:v>0.824655941507842</c:v>
                </c:pt>
                <c:pt idx="297">
                  <c:v>0.846115453684206</c:v>
                </c:pt>
                <c:pt idx="298">
                  <c:v>0.868800034969951</c:v>
                </c:pt>
                <c:pt idx="299">
                  <c:v>0.892817260425744</c:v>
                </c:pt>
                <c:pt idx="300">
                  <c:v>0.918287683766124</c:v>
                </c:pt>
                <c:pt idx="301">
                  <c:v>0.945346855672341</c:v>
                </c:pt>
                <c:pt idx="302">
                  <c:v>0.974147730869959</c:v>
                </c:pt>
                <c:pt idx="303">
                  <c:v>1.00486355424175</c:v>
                </c:pt>
                <c:pt idx="304">
                  <c:v>1.03769134102663</c:v>
                </c:pt>
                <c:pt idx="305">
                  <c:v>1.07285609885625</c:v>
                </c:pt>
                <c:pt idx="306">
                  <c:v>1.11061598293151</c:v>
                </c:pt>
                <c:pt idx="307">
                  <c:v>1.15126863418578</c:v>
                </c:pt>
                <c:pt idx="308">
                  <c:v>1.19515902978148</c:v>
                </c:pt>
                <c:pt idx="309">
                  <c:v>1.24268928443522</c:v>
                </c:pt>
                <c:pt idx="310">
                  <c:v>1.29433099267047</c:v>
                </c:pt>
                <c:pt idx="311">
                  <c:v>1.35064091534352</c:v>
                </c:pt>
                <c:pt idx="312">
                  <c:v>1.412281117845</c:v>
                </c:pt>
                <c:pt idx="313">
                  <c:v>1.48004510736359</c:v>
                </c:pt>
                <c:pt idx="314">
                  <c:v>1.55489216356781</c:v>
                </c:pt>
                <c:pt idx="315">
                  <c:v>1.63799302520644</c:v>
                </c:pt>
                <c:pt idx="316">
                  <c:v>1.73079157199544</c:v>
                </c:pt>
                <c:pt idx="317">
                  <c:v>1.83508944230104</c:v>
                </c:pt>
                <c:pt idx="318">
                  <c:v>1.9531641976574</c:v>
                </c:pt>
                <c:pt idx="319">
                  <c:v>2.08793765508534</c:v>
                </c:pt>
                <c:pt idx="320">
                  <c:v>2.24322114125337</c:v>
                </c:pt>
                <c:pt idx="321">
                  <c:v>2.42408208300736</c:v>
                </c:pt>
                <c:pt idx="322">
                  <c:v>2.63740831321996</c:v>
                </c:pt>
                <c:pt idx="323">
                  <c:v>2.89280689610555</c:v>
                </c:pt>
                <c:pt idx="324">
                  <c:v>3.20409444082617</c:v>
                </c:pt>
                <c:pt idx="325">
                  <c:v>3.59188958913012</c:v>
                </c:pt>
                <c:pt idx="326">
                  <c:v>4.08839408977627</c:v>
                </c:pt>
                <c:pt idx="327">
                  <c:v>4.74687638268239</c:v>
                </c:pt>
                <c:pt idx="328">
                  <c:v>5.66233167850123</c:v>
                </c:pt>
                <c:pt idx="329">
                  <c:v>7.02253191414349</c:v>
                </c:pt>
                <c:pt idx="330">
                  <c:v>9.25912190255912</c:v>
                </c:pt>
                <c:pt idx="331">
                  <c:v>13.6444849865704</c:v>
                </c:pt>
                <c:pt idx="332">
                  <c:v>26.5571503622592</c:v>
                </c:pt>
                <c:pt idx="333">
                  <c:v>246.532594809803</c:v>
                </c:pt>
                <c:pt idx="334">
                  <c:v>40.0630460290846</c:v>
                </c:pt>
                <c:pt idx="335">
                  <c:v>16.1506370595013</c:v>
                </c:pt>
                <c:pt idx="336">
                  <c:v>10.2782675114464</c:v>
                </c:pt>
                <c:pt idx="337">
                  <c:v>7.54919685387506</c:v>
                </c:pt>
                <c:pt idx="338">
                  <c:v>5.96562934511644</c:v>
                </c:pt>
                <c:pt idx="339">
                  <c:v>4.93002095529539</c:v>
                </c:pt>
                <c:pt idx="340">
                  <c:v>4.1994861962404</c:v>
                </c:pt>
                <c:pt idx="341">
                  <c:v>3.65637432349479</c:v>
                </c:pt>
                <c:pt idx="342">
                  <c:v>3.23669584963022</c:v>
                </c:pt>
                <c:pt idx="343">
                  <c:v>2.90263674525443</c:v>
                </c:pt>
                <c:pt idx="344">
                  <c:v>2.63040757408703</c:v>
                </c:pt>
                <c:pt idx="345">
                  <c:v>2.404289805193</c:v>
                </c:pt>
                <c:pt idx="346">
                  <c:v>2.21347913912848</c:v>
                </c:pt>
                <c:pt idx="347">
                  <c:v>2.05030348877187</c:v>
                </c:pt>
                <c:pt idx="348">
                  <c:v>1.90916423107831</c:v>
                </c:pt>
                <c:pt idx="349">
                  <c:v>1.78587984714795</c:v>
                </c:pt>
                <c:pt idx="350">
                  <c:v>1.6772640966268</c:v>
                </c:pt>
                <c:pt idx="351">
                  <c:v>1.58084652337584</c:v>
                </c:pt>
                <c:pt idx="352">
                  <c:v>1.49468199699209</c:v>
                </c:pt>
                <c:pt idx="353">
                  <c:v>1.4172182054898</c:v>
                </c:pt>
                <c:pt idx="354">
                  <c:v>1.34720120432951</c:v>
                </c:pt>
                <c:pt idx="355">
                  <c:v>1.28360689859255</c:v>
                </c:pt>
                <c:pt idx="356">
                  <c:v>1.22559092543236</c:v>
                </c:pt>
                <c:pt idx="357">
                  <c:v>1.17245060600578</c:v>
                </c:pt>
                <c:pt idx="358">
                  <c:v>1.12359655096202</c:v>
                </c:pt>
                <c:pt idx="359">
                  <c:v>1.07853078059941</c:v>
                </c:pt>
                <c:pt idx="360">
                  <c:v>1.03682944853335</c:v>
                </c:pt>
                <c:pt idx="361">
                  <c:v>0.998129828303149</c:v>
                </c:pt>
                <c:pt idx="362">
                  <c:v>0.962119385511187</c:v>
                </c:pt>
                <c:pt idx="363">
                  <c:v>0.928527614766381</c:v>
                </c:pt>
                <c:pt idx="364">
                  <c:v>0.897119045814407</c:v>
                </c:pt>
                <c:pt idx="365">
                  <c:v>0.867687920109574</c:v>
                </c:pt>
                <c:pt idx="366">
                  <c:v>0.840053389791251</c:v>
                </c:pt>
                <c:pt idx="367">
                  <c:v>0.814056142873255</c:v>
                </c:pt>
                <c:pt idx="368">
                  <c:v>0.78955514788197</c:v>
                </c:pt>
                <c:pt idx="369">
                  <c:v>0.766424890438202</c:v>
                </c:pt>
                <c:pt idx="370">
                  <c:v>0.744554008981595</c:v>
                </c:pt>
                <c:pt idx="371">
                  <c:v>0.723842359122159</c:v>
                </c:pt>
                <c:pt idx="372">
                  <c:v>0.70420053459452</c:v>
                </c:pt>
                <c:pt idx="373">
                  <c:v>0.685547698751748</c:v>
                </c:pt>
                <c:pt idx="374">
                  <c:v>0.667811285417884</c:v>
                </c:pt>
                <c:pt idx="375">
                  <c:v>0.650925670812626</c:v>
                </c:pt>
                <c:pt idx="376">
                  <c:v>0.6348310139864</c:v>
                </c:pt>
                <c:pt idx="377">
                  <c:v>0.619473417111522</c:v>
                </c:pt>
                <c:pt idx="378">
                  <c:v>0.604803347378834</c:v>
                </c:pt>
                <c:pt idx="379">
                  <c:v>0.590775769494371</c:v>
                </c:pt>
                <c:pt idx="380">
                  <c:v>0.577349657859713</c:v>
                </c:pt>
                <c:pt idx="381">
                  <c:v>0.564487257945871</c:v>
                </c:pt>
                <c:pt idx="382">
                  <c:v>0.552153650271521</c:v>
                </c:pt>
                <c:pt idx="383">
                  <c:v>0.54031748353043</c:v>
                </c:pt>
                <c:pt idx="384">
                  <c:v>0.528948934010487</c:v>
                </c:pt>
                <c:pt idx="385">
                  <c:v>0.518021124281404</c:v>
                </c:pt>
                <c:pt idx="386">
                  <c:v>0.507509157562936</c:v>
                </c:pt>
                <c:pt idx="387">
                  <c:v>0.497389382114989</c:v>
                </c:pt>
                <c:pt idx="388">
                  <c:v>0.487640874406111</c:v>
                </c:pt>
                <c:pt idx="389">
                  <c:v>0.478243469333961</c:v>
                </c:pt>
                <c:pt idx="390">
                  <c:v>0.46917833360817</c:v>
                </c:pt>
                <c:pt idx="391">
                  <c:v>0.46042867262031</c:v>
                </c:pt>
                <c:pt idx="392">
                  <c:v>0.451978148020316</c:v>
                </c:pt>
                <c:pt idx="393">
                  <c:v>0.44381179877098</c:v>
                </c:pt>
                <c:pt idx="394">
                  <c:v>0.435915700168266</c:v>
                </c:pt>
                <c:pt idx="395">
                  <c:v>0.428276543446032</c:v>
                </c:pt>
                <c:pt idx="396">
                  <c:v>0.42088208912503</c:v>
                </c:pt>
                <c:pt idx="397">
                  <c:v>0.413721084643498</c:v>
                </c:pt>
                <c:pt idx="398">
                  <c:v>0.406782302694523</c:v>
                </c:pt>
                <c:pt idx="399">
                  <c:v>0.400055873222527</c:v>
                </c:pt>
                <c:pt idx="400">
                  <c:v>0.393532423177362</c:v>
                </c:pt>
                <c:pt idx="401">
                  <c:v>0.387202546508206</c:v>
                </c:pt>
                <c:pt idx="402">
                  <c:v>0.381058130071665</c:v>
                </c:pt>
                <c:pt idx="403">
                  <c:v>0.375090943547434</c:v>
                </c:pt>
                <c:pt idx="404">
                  <c:v>0.369293812411456</c:v>
                </c:pt>
                <c:pt idx="405">
                  <c:v>0.363659428478286</c:v>
                </c:pt>
                <c:pt idx="406">
                  <c:v>0.358180906759571</c:v>
                </c:pt>
                <c:pt idx="407">
                  <c:v>0.352852068723564</c:v>
                </c:pt>
                <c:pt idx="408">
                  <c:v>0.347667102179116</c:v>
                </c:pt>
                <c:pt idx="409">
                  <c:v>0.342620020461141</c:v>
                </c:pt>
                <c:pt idx="410">
                  <c:v>0.337705700515699</c:v>
                </c:pt>
                <c:pt idx="411">
                  <c:v>0.332918690801535</c:v>
                </c:pt>
                <c:pt idx="412">
                  <c:v>0.328254250495093</c:v>
                </c:pt>
                <c:pt idx="413">
                  <c:v>0.323708455663223</c:v>
                </c:pt>
                <c:pt idx="414">
                  <c:v>0.319275233723147</c:v>
                </c:pt>
                <c:pt idx="415">
                  <c:v>0.3149524787367</c:v>
                </c:pt>
                <c:pt idx="416">
                  <c:v>0.310734687097693</c:v>
                </c:pt>
                <c:pt idx="417">
                  <c:v>0.306618765874191</c:v>
                </c:pt>
                <c:pt idx="418">
                  <c:v>0.30260066742926</c:v>
                </c:pt>
                <c:pt idx="419">
                  <c:v>0.298677882243283</c:v>
                </c:pt>
                <c:pt idx="420">
                  <c:v>0.294845932514249</c:v>
                </c:pt>
                <c:pt idx="421">
                  <c:v>0.291102687215243</c:v>
                </c:pt>
                <c:pt idx="422">
                  <c:v>0.287444455525133</c:v>
                </c:pt>
                <c:pt idx="423">
                  <c:v>0.283868539808282</c:v>
                </c:pt>
                <c:pt idx="424">
                  <c:v>0.280372564438608</c:v>
                </c:pt>
                <c:pt idx="425">
                  <c:v>0.276953753332691</c:v>
                </c:pt>
                <c:pt idx="426">
                  <c:v>0.273609313127736</c:v>
                </c:pt>
                <c:pt idx="427">
                  <c:v>0.270337620253145</c:v>
                </c:pt>
                <c:pt idx="428">
                  <c:v>0.26713516416703</c:v>
                </c:pt>
                <c:pt idx="429">
                  <c:v>0.264000818342311</c:v>
                </c:pt>
                <c:pt idx="430">
                  <c:v>0.260931990976587</c:v>
                </c:pt>
                <c:pt idx="431">
                  <c:v>0.257926979554895</c:v>
                </c:pt>
                <c:pt idx="432">
                  <c:v>0.254983812830119</c:v>
                </c:pt>
                <c:pt idx="433">
                  <c:v>0.252099838872482</c:v>
                </c:pt>
                <c:pt idx="434">
                  <c:v>0.249274187573747</c:v>
                </c:pt>
                <c:pt idx="435">
                  <c:v>0.246505369943748</c:v>
                </c:pt>
                <c:pt idx="436">
                  <c:v>0.243790413147167</c:v>
                </c:pt>
                <c:pt idx="437">
                  <c:v>0.241129468431723</c:v>
                </c:pt>
                <c:pt idx="438">
                  <c:v>0.238519127075278</c:v>
                </c:pt>
                <c:pt idx="439">
                  <c:v>0.235959591008168</c:v>
                </c:pt>
                <c:pt idx="440">
                  <c:v>0.233448332382523</c:v>
                </c:pt>
                <c:pt idx="441">
                  <c:v>0.23098479321925</c:v>
                </c:pt>
                <c:pt idx="442">
                  <c:v>0.228567393799608</c:v>
                </c:pt>
                <c:pt idx="443">
                  <c:v>0.226194381626215</c:v>
                </c:pt>
                <c:pt idx="444">
                  <c:v>0.223864729328511</c:v>
                </c:pt>
                <c:pt idx="445">
                  <c:v>0.221578175743048</c:v>
                </c:pt>
                <c:pt idx="446">
                  <c:v>0.219332530274073</c:v>
                </c:pt>
                <c:pt idx="447">
                  <c:v>0.217126806319129</c:v>
                </c:pt>
                <c:pt idx="448">
                  <c:v>0.214960819917565</c:v>
                </c:pt>
                <c:pt idx="449">
                  <c:v>0.212832432244113</c:v>
                </c:pt>
                <c:pt idx="450">
                  <c:v>0.210741225292395</c:v>
                </c:pt>
                <c:pt idx="451">
                  <c:v>0.208686217670675</c:v>
                </c:pt>
                <c:pt idx="452">
                  <c:v>0.206666796899071</c:v>
                </c:pt>
                <c:pt idx="453">
                  <c:v>0.204680819701366</c:v>
                </c:pt>
                <c:pt idx="454">
                  <c:v>0.202729867320159</c:v>
                </c:pt>
                <c:pt idx="455">
                  <c:v>0.200810160365791</c:v>
                </c:pt>
                <c:pt idx="456">
                  <c:v>0.198923117047116</c:v>
                </c:pt>
                <c:pt idx="457">
                  <c:v>0.197067187309244</c:v>
                </c:pt>
                <c:pt idx="458">
                  <c:v>0.195240712127657</c:v>
                </c:pt>
                <c:pt idx="459">
                  <c:v>0.193445423882281</c:v>
                </c:pt>
                <c:pt idx="460">
                  <c:v>0.191678028649676</c:v>
                </c:pt>
                <c:pt idx="461">
                  <c:v>0.189939126919626</c:v>
                </c:pt>
                <c:pt idx="462">
                  <c:v>0.188227762877318</c:v>
                </c:pt>
                <c:pt idx="463">
                  <c:v>0.186542904457042</c:v>
                </c:pt>
                <c:pt idx="464">
                  <c:v>0.184885509619903</c:v>
                </c:pt>
                <c:pt idx="465">
                  <c:v>0.183252886587184</c:v>
                </c:pt>
                <c:pt idx="466">
                  <c:v>0.181645879793337</c:v>
                </c:pt>
                <c:pt idx="467">
                  <c:v>0.180063216997155</c:v>
                </c:pt>
                <c:pt idx="468">
                  <c:v>0.178505138297169</c:v>
                </c:pt>
                <c:pt idx="469">
                  <c:v>0.176969191422359</c:v>
                </c:pt>
                <c:pt idx="470">
                  <c:v>0.175457640339005</c:v>
                </c:pt>
                <c:pt idx="471">
                  <c:v>0.173967931301945</c:v>
                </c:pt>
                <c:pt idx="472">
                  <c:v>0.172500657122441</c:v>
                </c:pt>
                <c:pt idx="473">
                  <c:v>0.171054215132813</c:v>
                </c:pt>
                <c:pt idx="474">
                  <c:v>0.169629122137735</c:v>
                </c:pt>
                <c:pt idx="475">
                  <c:v>0.168225330258792</c:v>
                </c:pt>
                <c:pt idx="476">
                  <c:v>0.166840541230044</c:v>
                </c:pt>
                <c:pt idx="477">
                  <c:v>0.165476274557477</c:v>
                </c:pt>
                <c:pt idx="478">
                  <c:v>0.164130698057079</c:v>
                </c:pt>
                <c:pt idx="479">
                  <c:v>0.16280529280732</c:v>
                </c:pt>
                <c:pt idx="480">
                  <c:v>0.16149701354243</c:v>
                </c:pt>
                <c:pt idx="481">
                  <c:v>0.160207848507184</c:v>
                </c:pt>
                <c:pt idx="482">
                  <c:v>0.158936373557026</c:v>
                </c:pt>
                <c:pt idx="483">
                  <c:v>0.157681681571717</c:v>
                </c:pt>
                <c:pt idx="484">
                  <c:v>0.156445143501287</c:v>
                </c:pt>
                <c:pt idx="485">
                  <c:v>0.155224645272142</c:v>
                </c:pt>
                <c:pt idx="486">
                  <c:v>0.154020344552464</c:v>
                </c:pt>
                <c:pt idx="487">
                  <c:v>0.152832975563342</c:v>
                </c:pt>
                <c:pt idx="488">
                  <c:v>0.151660901878813</c:v>
                </c:pt>
                <c:pt idx="489">
                  <c:v>0.150504215587034</c:v>
                </c:pt>
                <c:pt idx="490">
                  <c:v>0.149362995120555</c:v>
                </c:pt>
                <c:pt idx="491">
                  <c:v>0.148236702771555</c:v>
                </c:pt>
                <c:pt idx="492">
                  <c:v>0.147124771650169</c:v>
                </c:pt>
                <c:pt idx="493">
                  <c:v>0.14602721424717</c:v>
                </c:pt>
                <c:pt idx="494">
                  <c:v>0.144944029226622</c:v>
                </c:pt>
                <c:pt idx="495">
                  <c:v>0.143873972103847</c:v>
                </c:pt>
                <c:pt idx="496">
                  <c:v>0.142818224725829</c:v>
                </c:pt>
                <c:pt idx="497">
                  <c:v>0.141776123312525</c:v>
                </c:pt>
                <c:pt idx="498">
                  <c:v>0.140745103722338</c:v>
                </c:pt>
                <c:pt idx="499">
                  <c:v>0.139729421678339</c:v>
                </c:pt>
                <c:pt idx="500">
                  <c:v>0.13872586742832</c:v>
                </c:pt>
                <c:pt idx="501">
                  <c:v>0.137732407355884</c:v>
                </c:pt>
                <c:pt idx="502">
                  <c:v>0.136753306574747</c:v>
                </c:pt>
                <c:pt idx="503">
                  <c:v>0.135785256061467</c:v>
                </c:pt>
                <c:pt idx="504">
                  <c:v>0.134828708370037</c:v>
                </c:pt>
                <c:pt idx="505">
                  <c:v>0.133885406439504</c:v>
                </c:pt>
                <c:pt idx="506">
                  <c:v>0.132951942292834</c:v>
                </c:pt>
                <c:pt idx="507">
                  <c:v>0.132028723553844</c:v>
                </c:pt>
                <c:pt idx="508">
                  <c:v>0.131118773150661</c:v>
                </c:pt>
                <c:pt idx="509">
                  <c:v>0.130217295232455</c:v>
                </c:pt>
                <c:pt idx="510">
                  <c:v>0.129327290585934</c:v>
                </c:pt>
                <c:pt idx="511">
                  <c:v>0.128447845052278</c:v>
                </c:pt>
                <c:pt idx="512">
                  <c:v>0.127579346424909</c:v>
                </c:pt>
                <c:pt idx="513">
                  <c:v>0.126718173478253</c:v>
                </c:pt>
                <c:pt idx="514">
                  <c:v>0.125870014603152</c:v>
                </c:pt>
                <c:pt idx="515">
                  <c:v>0.12502988989263</c:v>
                </c:pt>
                <c:pt idx="516">
                  <c:v>0.124199473513386</c:v>
                </c:pt>
                <c:pt idx="517">
                  <c:v>0.123379109471784</c:v>
                </c:pt>
                <c:pt idx="518">
                  <c:v>0.122567776706205</c:v>
                </c:pt>
                <c:pt idx="519">
                  <c:v>0.121764425753895</c:v>
                </c:pt>
                <c:pt idx="520">
                  <c:v>0.120970732941601</c:v>
                </c:pt>
                <c:pt idx="521">
                  <c:v>0.120185638254498</c:v>
                </c:pt>
                <c:pt idx="522">
                  <c:v>0.119409441891435</c:v>
                </c:pt>
                <c:pt idx="523">
                  <c:v>0.118642444447346</c:v>
                </c:pt>
                <c:pt idx="524">
                  <c:v>0.117882147110436</c:v>
                </c:pt>
                <c:pt idx="525">
                  <c:v>0.117131616768916</c:v>
                </c:pt>
                <c:pt idx="526">
                  <c:v>0.11638833258769</c:v>
                </c:pt>
                <c:pt idx="527">
                  <c:v>0.115652551119183</c:v>
                </c:pt>
                <c:pt idx="528">
                  <c:v>0.114925951798682</c:v>
                </c:pt>
                <c:pt idx="529">
                  <c:v>0.114207386260887</c:v>
                </c:pt>
                <c:pt idx="530">
                  <c:v>0.113494244489971</c:v>
                </c:pt>
                <c:pt idx="531">
                  <c:v>0.112789618069996</c:v>
                </c:pt>
                <c:pt idx="532">
                  <c:v>0.112093765041891</c:v>
                </c:pt>
                <c:pt idx="533">
                  <c:v>0.111402592095033</c:v>
                </c:pt>
                <c:pt idx="534">
                  <c:v>0.110722115025851</c:v>
                </c:pt>
                <c:pt idx="535">
                  <c:v>0.11004530656885</c:v>
                </c:pt>
                <c:pt idx="536">
                  <c:v>0.109376738110768</c:v>
                </c:pt>
                <c:pt idx="537">
                  <c:v>0.108715173707196</c:v>
                </c:pt>
                <c:pt idx="538">
                  <c:v>0.108060828111434</c:v>
                </c:pt>
                <c:pt idx="539">
                  <c:v>0.107412432569277</c:v>
                </c:pt>
                <c:pt idx="540">
                  <c:v>0.106770180185436</c:v>
                </c:pt>
                <c:pt idx="541">
                  <c:v>0.1061342642829</c:v>
                </c:pt>
                <c:pt idx="542">
                  <c:v>0.105506378454152</c:v>
                </c:pt>
                <c:pt idx="543">
                  <c:v>0.104883727082893</c:v>
                </c:pt>
                <c:pt idx="544">
                  <c:v>0.10426799310369</c:v>
                </c:pt>
                <c:pt idx="545">
                  <c:v>0.103656337612733</c:v>
                </c:pt>
                <c:pt idx="546">
                  <c:v>0.103051954860234</c:v>
                </c:pt>
                <c:pt idx="547">
                  <c:v>0.10245351176502</c:v>
                </c:pt>
                <c:pt idx="548">
                  <c:v>0.101861180906894</c:v>
                </c:pt>
                <c:pt idx="549">
                  <c:v>0.10127513496559</c:v>
                </c:pt>
                <c:pt idx="550">
                  <c:v>0.100692460071514</c:v>
                </c:pt>
                <c:pt idx="551">
                  <c:v>0.100116383565819</c:v>
                </c:pt>
                <c:pt idx="552">
                  <c:v>0.0995486324239892</c:v>
                </c:pt>
                <c:pt idx="553">
                  <c:v>0.0989831636343297</c:v>
                </c:pt>
                <c:pt idx="554">
                  <c:v>0.0984232156043845</c:v>
                </c:pt>
                <c:pt idx="555">
                  <c:v>0.0978689401936208</c:v>
                </c:pt>
                <c:pt idx="556">
                  <c:v>0.0973204893164166</c:v>
                </c:pt>
                <c:pt idx="557">
                  <c:v>0.0967764344210309</c:v>
                </c:pt>
                <c:pt idx="558">
                  <c:v>0.0962400779419568</c:v>
                </c:pt>
                <c:pt idx="559">
                  <c:v>0.0957036378258636</c:v>
                </c:pt>
                <c:pt idx="560">
                  <c:v>0.0951767597048274</c:v>
                </c:pt>
                <c:pt idx="561">
                  <c:v>0.0946532316282855</c:v>
                </c:pt>
                <c:pt idx="562">
                  <c:v>0.0941331638215388</c:v>
                </c:pt>
                <c:pt idx="563">
                  <c:v>0.0936198904933008</c:v>
                </c:pt>
                <c:pt idx="564">
                  <c:v>0.0931103295002913</c:v>
                </c:pt>
                <c:pt idx="565">
                  <c:v>0.0926045913400913</c:v>
                </c:pt>
                <c:pt idx="566">
                  <c:v>0.0921044140770846</c:v>
                </c:pt>
                <c:pt idx="567">
                  <c:v>0.091609929039123</c:v>
                </c:pt>
                <c:pt idx="568">
                  <c:v>0.0911179919662573</c:v>
                </c:pt>
                <c:pt idx="569">
                  <c:v>0.0906303358968899</c:v>
                </c:pt>
                <c:pt idx="570">
                  <c:v>0.090148719654394</c:v>
                </c:pt>
                <c:pt idx="571">
                  <c:v>0.0896699682120925</c:v>
                </c:pt>
                <c:pt idx="572">
                  <c:v>0.0891958301707518</c:v>
                </c:pt>
                <c:pt idx="573">
                  <c:v>0.0887247530142759</c:v>
                </c:pt>
                <c:pt idx="574">
                  <c:v>0.0882618325138083</c:v>
                </c:pt>
                <c:pt idx="575">
                  <c:v>0.0877971791085201</c:v>
                </c:pt>
                <c:pt idx="576">
                  <c:v>0.0873408938756484</c:v>
                </c:pt>
                <c:pt idx="577">
                  <c:v>0.0868863936907474</c:v>
                </c:pt>
                <c:pt idx="578">
                  <c:v>0.0864371262493933</c:v>
                </c:pt>
                <c:pt idx="579">
                  <c:v>0.0859915086588217</c:v>
                </c:pt>
                <c:pt idx="580">
                  <c:v>0.0855496315491564</c:v>
                </c:pt>
                <c:pt idx="581">
                  <c:v>0.0851098818861829</c:v>
                </c:pt>
                <c:pt idx="582">
                  <c:v>0.0846757477000892</c:v>
                </c:pt>
                <c:pt idx="583">
                  <c:v>0.0842439123204031</c:v>
                </c:pt>
                <c:pt idx="584">
                  <c:v>0.0838178837497026</c:v>
                </c:pt>
                <c:pt idx="585">
                  <c:v>0.0833943253311418</c:v>
                </c:pt>
                <c:pt idx="586">
                  <c:v>0.0829733078455774</c:v>
                </c:pt>
                <c:pt idx="587">
                  <c:v>0.0825583690834719</c:v>
                </c:pt>
                <c:pt idx="588">
                  <c:v>0.0821426657668098</c:v>
                </c:pt>
                <c:pt idx="589">
                  <c:v>0.0817332026487065</c:v>
                </c:pt>
                <c:pt idx="590">
                  <c:v>0.0813283417420507</c:v>
                </c:pt>
                <c:pt idx="591">
                  <c:v>0.080924667280101</c:v>
                </c:pt>
                <c:pt idx="592">
                  <c:v>0.0805239885736455</c:v>
                </c:pt>
                <c:pt idx="593">
                  <c:v>0.0801281394243461</c:v>
                </c:pt>
                <c:pt idx="594">
                  <c:v>0.0797336747335748</c:v>
                </c:pt>
                <c:pt idx="595">
                  <c:v>0.0793441911432637</c:v>
                </c:pt>
                <c:pt idx="596">
                  <c:v>0.0789597789450909</c:v>
                </c:pt>
                <c:pt idx="597">
                  <c:v>0.0785733992225914</c:v>
                </c:pt>
                <c:pt idx="598">
                  <c:v>0.0781922132385944</c:v>
                </c:pt>
                <c:pt idx="599">
                  <c:v>0.0778145192471129</c:v>
                </c:pt>
                <c:pt idx="600">
                  <c:v>0.0774421847678468</c:v>
                </c:pt>
                <c:pt idx="601">
                  <c:v>0.0770680937414454</c:v>
                </c:pt>
                <c:pt idx="602">
                  <c:v>0.0767012908539755</c:v>
                </c:pt>
                <c:pt idx="603">
                  <c:v>0.0763328298072565</c:v>
                </c:pt>
                <c:pt idx="604">
                  <c:v>0.0759718031365537</c:v>
                </c:pt>
                <c:pt idx="605">
                  <c:v>0.0756110373201864</c:v>
                </c:pt>
                <c:pt idx="606">
                  <c:v>0.0752542155682932</c:v>
                </c:pt>
                <c:pt idx="607">
                  <c:v>0.0748977483867748</c:v>
                </c:pt>
                <c:pt idx="608">
                  <c:v>0.0745490075172484</c:v>
                </c:pt>
                <c:pt idx="609">
                  <c:v>0.0741970643816785</c:v>
                </c:pt>
                <c:pt idx="610">
                  <c:v>0.0738511349054534</c:v>
                </c:pt>
                <c:pt idx="611">
                  <c:v>0.0735094594473367</c:v>
                </c:pt>
                <c:pt idx="612">
                  <c:v>0.0731665476918124</c:v>
                </c:pt>
                <c:pt idx="613">
                  <c:v>0.0728279883923051</c:v>
                </c:pt>
                <c:pt idx="614">
                  <c:v>0.0724919889325975</c:v>
                </c:pt>
                <c:pt idx="615">
                  <c:v>0.0721586008436361</c:v>
                </c:pt>
                <c:pt idx="616">
                  <c:v>0.071829747793231</c:v>
                </c:pt>
                <c:pt idx="617">
                  <c:v>0.0714998694212454</c:v>
                </c:pt>
                <c:pt idx="618">
                  <c:v>0.0711727429722942</c:v>
                </c:pt>
                <c:pt idx="619">
                  <c:v>0.0708503059478289</c:v>
                </c:pt>
                <c:pt idx="620">
                  <c:v>0.070530737570607</c:v>
                </c:pt>
                <c:pt idx="621">
                  <c:v>0.0702102987427224</c:v>
                </c:pt>
                <c:pt idx="622">
                  <c:v>0.0698928036964617</c:v>
                </c:pt>
                <c:pt idx="623">
                  <c:v>0.0695821125391376</c:v>
                </c:pt>
                <c:pt idx="624">
                  <c:v>0.0692668594566612</c:v>
                </c:pt>
                <c:pt idx="625">
                  <c:v>0.0689604171633391</c:v>
                </c:pt>
                <c:pt idx="626">
                  <c:v>0.0686513832728224</c:v>
                </c:pt>
                <c:pt idx="627">
                  <c:v>0.0683474447207573</c:v>
                </c:pt>
                <c:pt idx="628">
                  <c:v>0.0680448165840062</c:v>
                </c:pt>
                <c:pt idx="629">
                  <c:v>0.0677435318402786</c:v>
                </c:pt>
                <c:pt idx="630">
                  <c:v>0.0674455596121106</c:v>
                </c:pt>
                <c:pt idx="631">
                  <c:v>0.06715095090658</c:v>
                </c:pt>
                <c:pt idx="632">
                  <c:v>0.0668539213251052</c:v>
                </c:pt>
                <c:pt idx="633">
                  <c:v>0.0665642159059416</c:v>
                </c:pt>
                <c:pt idx="634">
                  <c:v>0.0662741051042985</c:v>
                </c:pt>
                <c:pt idx="635">
                  <c:v>0.0659855624845704</c:v>
                </c:pt>
                <c:pt idx="636">
                  <c:v>0.0657005839626663</c:v>
                </c:pt>
                <c:pt idx="637">
                  <c:v>0.0654152854265249</c:v>
                </c:pt>
                <c:pt idx="638">
                  <c:v>0.0651355975687693</c:v>
                </c:pt>
                <c:pt idx="639">
                  <c:v>0.064853683635647</c:v>
                </c:pt>
                <c:pt idx="640">
                  <c:v>0.0645774638651346</c:v>
                </c:pt>
                <c:pt idx="641">
                  <c:v>0.0643010511462308</c:v>
                </c:pt>
                <c:pt idx="642">
                  <c:v>0.0640284396592961</c:v>
                </c:pt>
                <c:pt idx="643">
                  <c:v>0.0637536981578251</c:v>
                </c:pt>
                <c:pt idx="644">
                  <c:v>0.0634848173879163</c:v>
                </c:pt>
                <c:pt idx="645">
                  <c:v>0.0632158572786921</c:v>
                </c:pt>
                <c:pt idx="646">
                  <c:v>0.0629528540574711</c:v>
                </c:pt>
                <c:pt idx="647">
                  <c:v>0.0626838072532792</c:v>
                </c:pt>
                <c:pt idx="648">
                  <c:v>0.0624248054338068</c:v>
                </c:pt>
                <c:pt idx="649">
                  <c:v>0.0621597906118723</c:v>
                </c:pt>
                <c:pt idx="650">
                  <c:v>0.0619049208578417</c:v>
                </c:pt>
                <c:pt idx="651">
                  <c:v>0.0616440686958413</c:v>
                </c:pt>
                <c:pt idx="652">
                  <c:v>0.0613893954757714</c:v>
                </c:pt>
                <c:pt idx="653">
                  <c:v>0.0611368937094312</c:v>
                </c:pt>
                <c:pt idx="654">
                  <c:v>0.060882512789135</c:v>
                </c:pt>
                <c:pt idx="655">
                  <c:v>0.0606323884405811</c:v>
                </c:pt>
                <c:pt idx="656">
                  <c:v>0.0603845201706008</c:v>
                </c:pt>
                <c:pt idx="657">
                  <c:v>0.0601368860311595</c:v>
                </c:pt>
                <c:pt idx="658">
                  <c:v>0.0598895013800984</c:v>
                </c:pt>
                <c:pt idx="659">
                  <c:v>0.0596485702565133</c:v>
                </c:pt>
                <c:pt idx="660">
                  <c:v>0.0594038233602987</c:v>
                </c:pt>
                <c:pt idx="661">
                  <c:v>0.0591635275617364</c:v>
                </c:pt>
                <c:pt idx="662">
                  <c:v>0.0589235809384263</c:v>
                </c:pt>
                <c:pt idx="663">
                  <c:v>0.0586860786515899</c:v>
                </c:pt>
                <c:pt idx="664">
                  <c:v>0.0584510529257614</c:v>
                </c:pt>
                <c:pt idx="665">
                  <c:v>0.0582185359285177</c:v>
                </c:pt>
                <c:pt idx="666">
                  <c:v>0.0579822826413192</c:v>
                </c:pt>
                <c:pt idx="667">
                  <c:v>0.0577506611774652</c:v>
                </c:pt>
                <c:pt idx="668">
                  <c:v>0.0575237203620418</c:v>
                </c:pt>
                <c:pt idx="669">
                  <c:v>0.0572930893124521</c:v>
                </c:pt>
                <c:pt idx="670">
                  <c:v>0.0570650772183399</c:v>
                </c:pt>
                <c:pt idx="671">
                  <c:v>0.0568418292690467</c:v>
                </c:pt>
                <c:pt idx="672">
                  <c:v>0.0566170419577929</c:v>
                </c:pt>
                <c:pt idx="673">
                  <c:v>0.0563928355186363</c:v>
                </c:pt>
                <c:pt idx="674">
                  <c:v>0.056173476473532</c:v>
                </c:pt>
                <c:pt idx="675">
                  <c:v>0.055952624013571</c:v>
                </c:pt>
                <c:pt idx="676">
                  <c:v>0.0557345446022737</c:v>
                </c:pt>
                <c:pt idx="677">
                  <c:v>0.0555149941729951</c:v>
                </c:pt>
                <c:pt idx="678">
                  <c:v>0.0553025396238809</c:v>
                </c:pt>
                <c:pt idx="679">
                  <c:v>0.0550865149384663</c:v>
                </c:pt>
                <c:pt idx="680">
                  <c:v>0.0548755033217958</c:v>
                </c:pt>
                <c:pt idx="681">
                  <c:v>0.0546609357814987</c:v>
                </c:pt>
                <c:pt idx="682">
                  <c:v>0.0544514281510828</c:v>
                </c:pt>
                <c:pt idx="683">
                  <c:v>0.0542427035205719</c:v>
                </c:pt>
                <c:pt idx="684">
                  <c:v>0.0540347771225243</c:v>
                </c:pt>
                <c:pt idx="685">
                  <c:v>0.0538298345798012</c:v>
                </c:pt>
                <c:pt idx="686">
                  <c:v>0.0536213839809534</c:v>
                </c:pt>
                <c:pt idx="687">
                  <c:v>0.0534203005340714</c:v>
                </c:pt>
                <c:pt idx="688">
                  <c:v>0.0532157354181209</c:v>
                </c:pt>
                <c:pt idx="689">
                  <c:v>0.0530164175280561</c:v>
                </c:pt>
                <c:pt idx="690">
                  <c:v>0.0528136322822093</c:v>
                </c:pt>
                <c:pt idx="691">
                  <c:v>0.0526161406116898</c:v>
                </c:pt>
                <c:pt idx="692">
                  <c:v>0.0524173943437063</c:v>
                </c:pt>
                <c:pt idx="693">
                  <c:v>0.0522217974520345</c:v>
                </c:pt>
                <c:pt idx="694">
                  <c:v>0.0520271745989476</c:v>
                </c:pt>
                <c:pt idx="695">
                  <c:v>0.0518313305836955</c:v>
                </c:pt>
                <c:pt idx="696">
                  <c:v>0.0516386931782336</c:v>
                </c:pt>
                <c:pt idx="697">
                  <c:v>0.0514470750808869</c:v>
                </c:pt>
                <c:pt idx="698">
                  <c:v>0.0512564913515234</c:v>
                </c:pt>
                <c:pt idx="699">
                  <c:v>0.0510647310018157</c:v>
                </c:pt>
                <c:pt idx="700">
                  <c:v>0.0508784832618403</c:v>
                </c:pt>
                <c:pt idx="701">
                  <c:v>0.0506910928838806</c:v>
                </c:pt>
                <c:pt idx="702">
                  <c:v>0.0505025592220818</c:v>
                </c:pt>
                <c:pt idx="703">
                  <c:v>0.0503196066722467</c:v>
                </c:pt>
                <c:pt idx="704">
                  <c:v>0.0501355447098604</c:v>
                </c:pt>
                <c:pt idx="705">
                  <c:v>0.0499503727327237</c:v>
                </c:pt>
                <c:pt idx="706">
                  <c:v>0.0497708500915906</c:v>
                </c:pt>
                <c:pt idx="707">
                  <c:v>0.0495902511836448</c:v>
                </c:pt>
                <c:pt idx="708">
                  <c:v>0.0494085754421576</c:v>
                </c:pt>
                <c:pt idx="709">
                  <c:v>0.0492303520964015</c:v>
                </c:pt>
                <c:pt idx="710">
                  <c:v>0.0490533427158653</c:v>
                </c:pt>
                <c:pt idx="711">
                  <c:v>0.04887756214805</c:v>
                </c:pt>
                <c:pt idx="712">
                  <c:v>0.0486984724693684</c:v>
                </c:pt>
                <c:pt idx="713">
                  <c:v>0.048527458900935</c:v>
                </c:pt>
                <c:pt idx="714">
                  <c:v>0.0483508780176862</c:v>
                </c:pt>
                <c:pt idx="715">
                  <c:v>0.0481801379407898</c:v>
                </c:pt>
                <c:pt idx="716">
                  <c:v>0.0480084090436321</c:v>
                </c:pt>
                <c:pt idx="717">
                  <c:v>0.0478379862800011</c:v>
                </c:pt>
                <c:pt idx="718">
                  <c:v>0.0476665851949747</c:v>
                </c:pt>
                <c:pt idx="719">
                  <c:v>0.0474988113204518</c:v>
                </c:pt>
                <c:pt idx="720">
                  <c:v>0.0473323877274652</c:v>
                </c:pt>
                <c:pt idx="721">
                  <c:v>0.047162708077849</c:v>
                </c:pt>
                <c:pt idx="722">
                  <c:v>0.046999013973732</c:v>
                </c:pt>
                <c:pt idx="723">
                  <c:v>0.0468320780856857</c:v>
                </c:pt>
                <c:pt idx="724">
                  <c:v>0.0466711720343938</c:v>
                </c:pt>
                <c:pt idx="725">
                  <c:v>0.0465047129433742</c:v>
                </c:pt>
                <c:pt idx="726">
                  <c:v>0.0463466458368202</c:v>
                </c:pt>
                <c:pt idx="727">
                  <c:v>0.046180699506067</c:v>
                </c:pt>
                <c:pt idx="728">
                  <c:v>0.0460231854718813</c:v>
                </c:pt>
                <c:pt idx="729">
                  <c:v>0.0458648014387109</c:v>
                </c:pt>
                <c:pt idx="730">
                  <c:v>0.0457032030168421</c:v>
                </c:pt>
                <c:pt idx="731">
                  <c:v>0.0455454183370421</c:v>
                </c:pt>
                <c:pt idx="732">
                  <c:v>0.0453914766557091</c:v>
                </c:pt>
                <c:pt idx="733">
                  <c:v>0.0452343418327246</c:v>
                </c:pt>
                <c:pt idx="734">
                  <c:v>0.0450763576375266</c:v>
                </c:pt>
                <c:pt idx="735">
                  <c:v>0.0449246111390949</c:v>
                </c:pt>
                <c:pt idx="736">
                  <c:v>0.0447720477520761</c:v>
                </c:pt>
                <c:pt idx="737">
                  <c:v>0.0446186671906617</c:v>
                </c:pt>
                <c:pt idx="738">
                  <c:v>0.0444668425919872</c:v>
                </c:pt>
                <c:pt idx="739">
                  <c:v>0.0443165882903713</c:v>
                </c:pt>
                <c:pt idx="740">
                  <c:v>0.0441631572753067</c:v>
                </c:pt>
                <c:pt idx="741">
                  <c:v>0.0440184562228296</c:v>
                </c:pt>
                <c:pt idx="742">
                  <c:v>0.0438682154724575</c:v>
                </c:pt>
                <c:pt idx="743">
                  <c:v>0.0437195803820032</c:v>
                </c:pt>
                <c:pt idx="744">
                  <c:v>0.0435725651981329</c:v>
                </c:pt>
                <c:pt idx="745">
                  <c:v>0.0434271841339751</c:v>
                </c:pt>
                <c:pt idx="746">
                  <c:v>0.0432810490692646</c:v>
                </c:pt>
                <c:pt idx="747">
                  <c:v>0.0431365656941125</c:v>
                </c:pt>
                <c:pt idx="748">
                  <c:v>0.0429937481561638</c:v>
                </c:pt>
                <c:pt idx="749">
                  <c:v>0.0428501975386553</c:v>
                </c:pt>
                <c:pt idx="750">
                  <c:v>0.0427083302557776</c:v>
                </c:pt>
                <c:pt idx="751">
                  <c:v>0.0425657402373645</c:v>
                </c:pt>
                <c:pt idx="752">
                  <c:v>0.0424272747263785</c:v>
                </c:pt>
                <c:pt idx="753">
                  <c:v>0.0422856802116485</c:v>
                </c:pt>
                <c:pt idx="754">
                  <c:v>0.0421458039282925</c:v>
                </c:pt>
                <c:pt idx="755">
                  <c:v>0.0420076598888954</c:v>
                </c:pt>
                <c:pt idx="756">
                  <c:v>0.0418712620689803</c:v>
                </c:pt>
                <c:pt idx="757">
                  <c:v>0.0417317416935248</c:v>
                </c:pt>
                <c:pt idx="758">
                  <c:v>0.0415988640430669</c:v>
                </c:pt>
                <c:pt idx="759">
                  <c:v>0.0414579808585813</c:v>
                </c:pt>
                <c:pt idx="760">
                  <c:v>0.0413286649642259</c:v>
                </c:pt>
                <c:pt idx="761">
                  <c:v>0.041191343260607</c:v>
                </c:pt>
                <c:pt idx="762">
                  <c:v>0.0410582679761546</c:v>
                </c:pt>
                <c:pt idx="763">
                  <c:v>0.0409245422322329</c:v>
                </c:pt>
                <c:pt idx="764">
                  <c:v>0.0407901659235677</c:v>
                </c:pt>
                <c:pt idx="765">
                  <c:v>0.0406650160557547</c:v>
                </c:pt>
                <c:pt idx="766">
                  <c:v>0.0405293660846837</c:v>
                </c:pt>
                <c:pt idx="767">
                  <c:v>0.0404029700508772</c:v>
                </c:pt>
                <c:pt idx="768">
                  <c:v>0.0402660460340485</c:v>
                </c:pt>
                <c:pt idx="769">
                  <c:v>0.0401433696000595</c:v>
                </c:pt>
                <c:pt idx="770">
                  <c:v>0.0400151311383752</c:v>
                </c:pt>
                <c:pt idx="771">
                  <c:v>0.0398862829329119</c:v>
                </c:pt>
                <c:pt idx="772">
                  <c:v>0.0397568249162532</c:v>
                </c:pt>
                <c:pt idx="773">
                  <c:v>0.0396367441753682</c:v>
                </c:pt>
                <c:pt idx="774">
                  <c:v>0.0395060937080416</c:v>
                </c:pt>
                <c:pt idx="775">
                  <c:v>0.0393848476803669</c:v>
                </c:pt>
                <c:pt idx="776">
                  <c:v>0.0392580185024372</c:v>
                </c:pt>
                <c:pt idx="777">
                  <c:v>0.0391356204886506</c:v>
                </c:pt>
                <c:pt idx="778">
                  <c:v>0.0390076256090879</c:v>
                </c:pt>
                <c:pt idx="779">
                  <c:v>0.0388891096994257</c:v>
                </c:pt>
                <c:pt idx="780">
                  <c:v>0.0387700446491408</c:v>
                </c:pt>
                <c:pt idx="781">
                  <c:v>0.0386453825594799</c:v>
                </c:pt>
                <c:pt idx="782">
                  <c:v>0.038525205502765</c:v>
                </c:pt>
                <c:pt idx="783">
                  <c:v>0.038399417868618</c:v>
                </c:pt>
                <c:pt idx="784">
                  <c:v>0.0382882645637892</c:v>
                </c:pt>
                <c:pt idx="785">
                  <c:v>0.0381664527728844</c:v>
                </c:pt>
                <c:pt idx="786">
                  <c:v>0.0380491728442394</c:v>
                </c:pt>
                <c:pt idx="787">
                  <c:v>0.037931363485427</c:v>
                </c:pt>
                <c:pt idx="788">
                  <c:v>0.0378130246593855</c:v>
                </c:pt>
                <c:pt idx="789">
                  <c:v>0.0376992576078692</c:v>
                </c:pt>
                <c:pt idx="790">
                  <c:v>0.0375747651762595</c:v>
                </c:pt>
                <c:pt idx="791">
                  <c:v>0.0374701814126865</c:v>
                </c:pt>
                <c:pt idx="792">
                  <c:v>0.0373497643234941</c:v>
                </c:pt>
                <c:pt idx="793">
                  <c:v>0.0372339454465873</c:v>
                </c:pt>
                <c:pt idx="794">
                  <c:v>0.0371227511766392</c:v>
                </c:pt>
                <c:pt idx="795">
                  <c:v>0.0370110669504129</c:v>
                </c:pt>
                <c:pt idx="796">
                  <c:v>0.0368937453107492</c:v>
                </c:pt>
                <c:pt idx="797">
                  <c:v>0.0367862219380868</c:v>
                </c:pt>
                <c:pt idx="798">
                  <c:v>0.0366730676790894</c:v>
                </c:pt>
                <c:pt idx="799">
                  <c:v>0.0365594234007176</c:v>
                </c:pt>
                <c:pt idx="800">
                  <c:v>0.0364556361995483</c:v>
                </c:pt>
                <c:pt idx="801">
                  <c:v>0.036335857935228</c:v>
                </c:pt>
                <c:pt idx="802">
                  <c:v>0.0362363163395685</c:v>
                </c:pt>
                <c:pt idx="803">
                  <c:v>0.0361207641640249</c:v>
                </c:pt>
                <c:pt idx="804">
                  <c:v>0.0360151210466029</c:v>
                </c:pt>
                <c:pt idx="805">
                  <c:v>0.0359038209466007</c:v>
                </c:pt>
                <c:pt idx="806">
                  <c:v>0.0358024751784569</c:v>
                </c:pt>
                <c:pt idx="807">
                  <c:v>0.0356902600466356</c:v>
                </c:pt>
                <c:pt idx="808">
                  <c:v>0.0355880250198197</c:v>
                </c:pt>
                <c:pt idx="809">
                  <c:v>0.0354748949224586</c:v>
                </c:pt>
                <c:pt idx="810">
                  <c:v>0.0353770087036764</c:v>
                </c:pt>
                <c:pt idx="811">
                  <c:v>0.0352734654403548</c:v>
                </c:pt>
                <c:pt idx="812">
                  <c:v>0.0351642395502267</c:v>
                </c:pt>
                <c:pt idx="813">
                  <c:v>0.0350598199095202</c:v>
                </c:pt>
                <c:pt idx="814">
                  <c:v>0.034954968502575</c:v>
                </c:pt>
                <c:pt idx="815">
                  <c:v>0.0348602250880958</c:v>
                </c:pt>
                <c:pt idx="816">
                  <c:v>0.0347492593916741</c:v>
                </c:pt>
                <c:pt idx="817">
                  <c:v>0.0346536905873336</c:v>
                </c:pt>
                <c:pt idx="818">
                  <c:v>0.0345471503959516</c:v>
                </c:pt>
                <c:pt idx="819">
                  <c:v>0.0344454737565911</c:v>
                </c:pt>
                <c:pt idx="820">
                  <c:v>0.0343486859169389</c:v>
                </c:pt>
                <c:pt idx="821">
                  <c:v>0.0342515043366802</c:v>
                </c:pt>
                <c:pt idx="822">
                  <c:v>0.034143301081258</c:v>
                </c:pt>
                <c:pt idx="823">
                  <c:v>0.0340506271869572</c:v>
                </c:pt>
                <c:pt idx="824">
                  <c:v>0.0339522518895592</c:v>
                </c:pt>
                <c:pt idx="825">
                  <c:v>0.0338481502093373</c:v>
                </c:pt>
                <c:pt idx="826">
                  <c:v>0.0337543140469734</c:v>
                </c:pt>
                <c:pt idx="827">
                  <c:v>0.0336547578170894</c:v>
                </c:pt>
                <c:pt idx="828">
                  <c:v>0.0335601593733372</c:v>
                </c:pt>
                <c:pt idx="829">
                  <c:v>0.0334651860234771</c:v>
                </c:pt>
                <c:pt idx="830">
                  <c:v>0.0333644740742329</c:v>
                </c:pt>
                <c:pt idx="831">
                  <c:v>0.0332741085038606</c:v>
                </c:pt>
                <c:pt idx="832">
                  <c:v>0.0331726345386869</c:v>
                </c:pt>
                <c:pt idx="833">
                  <c:v>0.0330815317162205</c:v>
                </c:pt>
                <c:pt idx="834">
                  <c:v>0.0329900726144388</c:v>
                </c:pt>
                <c:pt idx="835">
                  <c:v>0.0328928627837968</c:v>
                </c:pt>
                <c:pt idx="836">
                  <c:v>0.0327952783389947</c:v>
                </c:pt>
                <c:pt idx="837">
                  <c:v>0.0327081327236556</c:v>
                </c:pt>
                <c:pt idx="838">
                  <c:v>0.0326152364833661</c:v>
                </c:pt>
                <c:pt idx="839">
                  <c:v>0.0325219841153057</c:v>
                </c:pt>
                <c:pt idx="840">
                  <c:v>0.0324283756729074</c:v>
                </c:pt>
                <c:pt idx="841">
                  <c:v>0.0323398422227683</c:v>
                </c:pt>
                <c:pt idx="842">
                  <c:v>0.0322455339410226</c:v>
                </c:pt>
                <c:pt idx="843">
                  <c:v>0.0321563128749176</c:v>
                </c:pt>
                <c:pt idx="844">
                  <c:v>0.0320667541154762</c:v>
                </c:pt>
                <c:pt idx="845">
                  <c:v>0.0319768577011246</c:v>
                </c:pt>
                <c:pt idx="846">
                  <c:v>0.031886623678929</c:v>
                </c:pt>
                <c:pt idx="847">
                  <c:v>0.0318015192866596</c:v>
                </c:pt>
                <c:pt idx="848">
                  <c:v>0.0317051490382028</c:v>
                </c:pt>
                <c:pt idx="849">
                  <c:v>0.0316193817134263</c:v>
                </c:pt>
                <c:pt idx="850">
                  <c:v>0.031538780111191</c:v>
                </c:pt>
                <c:pt idx="851">
                  <c:v>0.0314414037295592</c:v>
                </c:pt>
                <c:pt idx="852">
                  <c:v>0.0313601634046563</c:v>
                </c:pt>
                <c:pt idx="853">
                  <c:v>0.0312731186515975</c:v>
                </c:pt>
                <c:pt idx="854">
                  <c:v>0.0311857546575993</c:v>
                </c:pt>
                <c:pt idx="855">
                  <c:v>0.0310980714858715</c:v>
                </c:pt>
                <c:pt idx="856">
                  <c:v>0.0310155899720712</c:v>
                </c:pt>
                <c:pt idx="857">
                  <c:v>0.0309272804729517</c:v>
                </c:pt>
                <c:pt idx="858">
                  <c:v>0.0308441845645575</c:v>
                </c:pt>
                <c:pt idx="859">
                  <c:v>0.030760787430836</c:v>
                </c:pt>
                <c:pt idx="860">
                  <c:v>0.0306770891144197</c:v>
                </c:pt>
                <c:pt idx="861">
                  <c:v>0.0305930896654445</c:v>
                </c:pt>
                <c:pt idx="862">
                  <c:v>0.0305087891415496</c:v>
                </c:pt>
                <c:pt idx="863">
                  <c:v>0.0304241876081051</c:v>
                </c:pt>
                <c:pt idx="864">
                  <c:v>0.0303448528551371</c:v>
                </c:pt>
                <c:pt idx="865">
                  <c:v>0.0302596611765011</c:v>
                </c:pt>
                <c:pt idx="866">
                  <c:v>0.0301741686980677</c:v>
                </c:pt>
                <c:pt idx="867">
                  <c:v>0.0300995458406987</c:v>
                </c:pt>
                <c:pt idx="868">
                  <c:v>0.030013475234</c:v>
                </c:pt>
                <c:pt idx="869">
                  <c:v>0.0299382975633762</c:v>
                </c:pt>
                <c:pt idx="870">
                  <c:v>0.0298516490648808</c:v>
                </c:pt>
                <c:pt idx="871">
                  <c:v>0.0297759167680169</c:v>
                </c:pt>
                <c:pt idx="872">
                  <c:v>0.0296943047171681</c:v>
                </c:pt>
                <c:pt idx="873">
                  <c:v>0.0296124097346819</c:v>
                </c:pt>
                <c:pt idx="874">
                  <c:v>0.0295358574393276</c:v>
                </c:pt>
                <c:pt idx="875">
                  <c:v>0.0294534083084272</c:v>
                </c:pt>
                <c:pt idx="876">
                  <c:v>0.02937631346947</c:v>
                </c:pt>
                <c:pt idx="877">
                  <c:v>0.0293045958645735</c:v>
                </c:pt>
                <c:pt idx="878">
                  <c:v>0.0292213331657649</c:v>
                </c:pt>
                <c:pt idx="879">
                  <c:v>0.0291434421006898</c:v>
                </c:pt>
                <c:pt idx="880">
                  <c:v>0.0290652857494251</c:v>
                </c:pt>
                <c:pt idx="881">
                  <c:v>0.0289868641822295</c:v>
                </c:pt>
                <c:pt idx="882">
                  <c:v>0.0289138485783269</c:v>
                </c:pt>
                <c:pt idx="883">
                  <c:v>0.0288349081205297</c:v>
                </c:pt>
                <c:pt idx="884">
                  <c:v>0.0287613850661046</c:v>
                </c:pt>
                <c:pt idx="885">
                  <c:v>0.0286876140127106</c:v>
                </c:pt>
                <c:pt idx="886">
                  <c:v>0.0286079013401377</c:v>
                </c:pt>
                <c:pt idx="887">
                  <c:v>0.0285336231910378</c:v>
                </c:pt>
                <c:pt idx="888">
                  <c:v>0.0284590972183878</c:v>
                </c:pt>
                <c:pt idx="889">
                  <c:v>0.028390033969572</c:v>
                </c:pt>
                <c:pt idx="890">
                  <c:v>0.028309307639006</c:v>
                </c:pt>
                <c:pt idx="891">
                  <c:v>0.0282397602280753</c:v>
                </c:pt>
                <c:pt idx="892">
                  <c:v>0.0281585275255338</c:v>
                </c:pt>
                <c:pt idx="893">
                  <c:v>0.028088496223404</c:v>
                </c:pt>
                <c:pt idx="894">
                  <c:v>0.0280182341997488</c:v>
                </c:pt>
                <c:pt idx="895">
                  <c:v>0.0279477414943585</c:v>
                </c:pt>
                <c:pt idx="896">
                  <c:v>0.0278712687281768</c:v>
                </c:pt>
                <c:pt idx="897">
                  <c:v>0.0278003037416283</c:v>
                </c:pt>
                <c:pt idx="898">
                  <c:v>0.0277291082451256</c:v>
                </c:pt>
                <c:pt idx="899">
                  <c:v>0.0276576822976722</c:v>
                </c:pt>
                <c:pt idx="900">
                  <c:v>0.0275860259628189</c:v>
                </c:pt>
                <c:pt idx="901">
                  <c:v>0.0275141393092326</c:v>
                </c:pt>
                <c:pt idx="902">
                  <c:v>0.0274478048532956</c:v>
                </c:pt>
                <c:pt idx="903">
                  <c:v>0.0273754687316341</c:v>
                </c:pt>
                <c:pt idx="904">
                  <c:v>0.0273029024983771</c:v>
                </c:pt>
                <c:pt idx="905">
                  <c:v>0.0272359050760542</c:v>
                </c:pt>
                <c:pt idx="906">
                  <c:v>0.0271628897792198</c:v>
                </c:pt>
                <c:pt idx="907">
                  <c:v>0.0270954543387916</c:v>
                </c:pt>
                <c:pt idx="908">
                  <c:v>0.0270278054230175</c:v>
                </c:pt>
                <c:pt idx="909">
                  <c:v>0.0269599430851031</c:v>
                </c:pt>
                <c:pt idx="910">
                  <c:v>0.0268860414050778</c:v>
                </c:pt>
                <c:pt idx="911">
                  <c:v>0.0268235729739672</c:v>
                </c:pt>
                <c:pt idx="912">
                  <c:v>0.0267550707402506</c:v>
                </c:pt>
                <c:pt idx="913">
                  <c:v>0.026686355339848</c:v>
                </c:pt>
                <c:pt idx="914">
                  <c:v>0.0266174268481336</c:v>
                </c:pt>
                <c:pt idx="915">
                  <c:v>0.026554138246297</c:v>
                </c:pt>
                <c:pt idx="916">
                  <c:v>0.0264789362696547</c:v>
                </c:pt>
                <c:pt idx="917">
                  <c:v>0.0264210962085372</c:v>
                </c:pt>
                <c:pt idx="918">
                  <c:v>0.0263513375412003</c:v>
                </c:pt>
                <c:pt idx="919">
                  <c:v>0.026287240453712</c:v>
                </c:pt>
                <c:pt idx="920">
                  <c:v>0.0262229467334691</c:v>
                </c:pt>
                <c:pt idx="921">
                  <c:v>0.0261525715033031</c:v>
                </c:pt>
                <c:pt idx="922">
                  <c:v>0.0260937642976842</c:v>
                </c:pt>
                <c:pt idx="923">
                  <c:v>0.0260229854779936</c:v>
                </c:pt>
                <c:pt idx="924">
                  <c:v>0.0259637960396049</c:v>
                </c:pt>
                <c:pt idx="925">
                  <c:v>0.0258926139190407</c:v>
                </c:pt>
                <c:pt idx="926">
                  <c:v>0.025833042483896</c:v>
                </c:pt>
                <c:pt idx="927">
                  <c:v>0.0257673740333075</c:v>
                </c:pt>
                <c:pt idx="928">
                  <c:v>0.0257015094742883</c:v>
                </c:pt>
                <c:pt idx="929">
                  <c:v>0.0256413760472469</c:v>
                </c:pt>
                <c:pt idx="930">
                  <c:v>0.0255751300040856</c:v>
                </c:pt>
                <c:pt idx="931">
                  <c:v>0.0255146257169372</c:v>
                </c:pt>
                <c:pt idx="932">
                  <c:v>0.0254539413202792</c:v>
                </c:pt>
                <c:pt idx="933">
                  <c:v>0.0253871287890206</c:v>
                </c:pt>
                <c:pt idx="934">
                  <c:v>0.0253260739019652</c:v>
                </c:pt>
                <c:pt idx="935">
                  <c:v>0.0252648390810464</c:v>
                </c:pt>
                <c:pt idx="936">
                  <c:v>0.0252034243835624</c:v>
                </c:pt>
                <c:pt idx="937">
                  <c:v>0.025141829870563</c:v>
                </c:pt>
                <c:pt idx="938">
                  <c:v>0.0250800556057129</c:v>
                </c:pt>
                <c:pt idx="939">
                  <c:v>0.025018101656201</c:v>
                </c:pt>
                <c:pt idx="940">
                  <c:v>0.0249559680929679</c:v>
                </c:pt>
                <c:pt idx="941">
                  <c:v>0.0248996444960312</c:v>
                </c:pt>
                <c:pt idx="942">
                  <c:v>0.024837162214908</c:v>
                </c:pt>
                <c:pt idx="943">
                  <c:v>0.0247805003111807</c:v>
                </c:pt>
                <c:pt idx="944">
                  <c:v>0.0247176695517055</c:v>
                </c:pt>
                <c:pt idx="945">
                  <c:v>0.0246546595300288</c:v>
                </c:pt>
                <c:pt idx="946">
                  <c:v>0.0245974854769884</c:v>
                </c:pt>
                <c:pt idx="947">
                  <c:v>0.0245401476514644</c:v>
                </c:pt>
                <c:pt idx="948">
                  <c:v>0.0244766207628118</c:v>
                </c:pt>
                <c:pt idx="949">
                  <c:v>0.0244249757897705</c:v>
                </c:pt>
                <c:pt idx="950">
                  <c:v>0.0243611114476607</c:v>
                </c:pt>
                <c:pt idx="951">
                  <c:v>0.0243031089033821</c:v>
                </c:pt>
                <c:pt idx="952">
                  <c:v>0.0242449428775444</c:v>
                </c:pt>
                <c:pt idx="953">
                  <c:v>0.0241866134322208</c:v>
                </c:pt>
                <c:pt idx="954">
                  <c:v>0.0241341763741048</c:v>
                </c:pt>
                <c:pt idx="955">
                  <c:v>0.024069469585811</c:v>
                </c:pt>
                <c:pt idx="956">
                  <c:v>0.0240167160886813</c:v>
                </c:pt>
                <c:pt idx="957">
                  <c:v>0.0239577436835816</c:v>
                </c:pt>
                <c:pt idx="958">
                  <c:v>0.0239046840421224</c:v>
                </c:pt>
                <c:pt idx="959">
                  <c:v>0.0238393146911449</c:v>
                </c:pt>
                <c:pt idx="960">
                  <c:v>0.0237920249717263</c:v>
                </c:pt>
                <c:pt idx="961">
                  <c:v>0.0237324206540279</c:v>
                </c:pt>
                <c:pt idx="962">
                  <c:v>0.0236726535304115</c:v>
                </c:pt>
                <c:pt idx="963">
                  <c:v>0.0236188245083895</c:v>
                </c:pt>
                <c:pt idx="964">
                  <c:v>0.0235648477708992</c:v>
                </c:pt>
                <c:pt idx="965">
                  <c:v>0.0235107233663712</c:v>
                </c:pt>
                <c:pt idx="966">
                  <c:v>0.0234564513457372</c:v>
                </c:pt>
                <c:pt idx="967">
                  <c:v>0.0233959111100148</c:v>
                </c:pt>
                <c:pt idx="968">
                  <c:v>0.0233413341402411</c:v>
                </c:pt>
                <c:pt idx="969">
                  <c:v>0.0232927402663563</c:v>
                </c:pt>
                <c:pt idx="970">
                  <c:v>0.0232317429059776</c:v>
                </c:pt>
                <c:pt idx="971">
                  <c:v>0.0231828641972243</c:v>
                </c:pt>
                <c:pt idx="972">
                  <c:v>0.0231277077061804</c:v>
                </c:pt>
                <c:pt idx="973">
                  <c:v>0.0230724040233099</c:v>
                </c:pt>
                <c:pt idx="974">
                  <c:v>0.0230169532186437</c:v>
                </c:pt>
                <c:pt idx="975">
                  <c:v>0.0229675153194648</c:v>
                </c:pt>
                <c:pt idx="976">
                  <c:v>0.0229117802492738</c:v>
                </c:pt>
                <c:pt idx="977">
                  <c:v>0.0228620679649794</c:v>
                </c:pt>
                <c:pt idx="978">
                  <c:v>0.0228060488625488</c:v>
                </c:pt>
                <c:pt idx="979">
                  <c:v>0.0227498829784736</c:v>
                </c:pt>
                <c:pt idx="980">
                  <c:v>0.022705938949116</c:v>
                </c:pt>
                <c:pt idx="981">
                  <c:v>0.0226494991227355</c:v>
                </c:pt>
                <c:pt idx="982">
                  <c:v>0.0225991066812412</c:v>
                </c:pt>
                <c:pt idx="983">
                  <c:v>0.0225423834610865</c:v>
                </c:pt>
                <c:pt idx="984">
                  <c:v>0.0224917174335815</c:v>
                </c:pt>
                <c:pt idx="985">
                  <c:v>0.0224409195290036</c:v>
                </c:pt>
                <c:pt idx="986">
                  <c:v>0.0223962030191842</c:v>
                </c:pt>
                <c:pt idx="987">
                  <c:v>0.022332715080438</c:v>
                </c:pt>
                <c:pt idx="988">
                  <c:v>0.0222939578943624</c:v>
                </c:pt>
                <c:pt idx="989">
                  <c:v>0.0222364149998384</c:v>
                </c:pt>
                <c:pt idx="990">
                  <c:v>0.0221849585274185</c:v>
                </c:pt>
                <c:pt idx="991">
                  <c:v>0.022139607660165</c:v>
                </c:pt>
                <c:pt idx="992">
                  <c:v>0.0220816558097567</c:v>
                </c:pt>
                <c:pt idx="993">
                  <c:v>0.0220360515806988</c:v>
                </c:pt>
                <c:pt idx="994">
                  <c:v>0.0219903302607918</c:v>
                </c:pt>
                <c:pt idx="995">
                  <c:v>0.0219382357333871</c:v>
                </c:pt>
                <c:pt idx="996">
                  <c:v>0.0218860099707854</c:v>
                </c:pt>
                <c:pt idx="997">
                  <c:v>0.0218336530465422</c:v>
                </c:pt>
                <c:pt idx="998">
                  <c:v>0.0217874353596699</c:v>
                </c:pt>
                <c:pt idx="999">
                  <c:v>0.0217411008004547</c:v>
                </c:pt>
              </c:numCache>
            </c:numRef>
          </c:yVal>
          <c:smooth val="0"/>
        </c:ser>
        <c:ser>
          <c:idx val="1"/>
          <c:order val="1"/>
          <c:tx>
            <c:strRef>
              <c:f>"Floored Kp(pH)"</c:f>
              <c:strCache>
                <c:ptCount val="1"/>
                <c:pt idx="0">
                  <c:v>Floored Kp(pH)</c:v>
                </c:pt>
              </c:strCache>
            </c:strRef>
          </c:tx>
          <c:spPr>
            <a:solidFill>
              <a:srgbClr val="1f77b4"/>
            </a:solidFill>
            <a:ln w="2016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04_Titration!$B$5:$B$1004</c:f>
              <c:numCache>
                <c:formatCode>0.0000</c:formatCode>
                <c:ptCount val="1000"/>
                <c:pt idx="0">
                  <c:v>1.99999999995657</c:v>
                </c:pt>
                <c:pt idx="1">
                  <c:v>2.00260707821176</c:v>
                </c:pt>
                <c:pt idx="2">
                  <c:v>2.00521420344244</c:v>
                </c:pt>
                <c:pt idx="3">
                  <c:v>2.0078214226292</c:v>
                </c:pt>
                <c:pt idx="4">
                  <c:v>2.01042878276276</c:v>
                </c:pt>
                <c:pt idx="5">
                  <c:v>2.01303633084911</c:v>
                </c:pt>
                <c:pt idx="6">
                  <c:v>2.01564411391456</c:v>
                </c:pt>
                <c:pt idx="7">
                  <c:v>2.01825217901083</c:v>
                </c:pt>
                <c:pt idx="8">
                  <c:v>2.02086057322018</c:v>
                </c:pt>
                <c:pt idx="9">
                  <c:v>2.02346934366048</c:v>
                </c:pt>
                <c:pt idx="10">
                  <c:v>2.02607853749035</c:v>
                </c:pt>
                <c:pt idx="11">
                  <c:v>2.0286882019143</c:v>
                </c:pt>
                <c:pt idx="12">
                  <c:v>2.03129838418784</c:v>
                </c:pt>
                <c:pt idx="13">
                  <c:v>2.03390913162264</c:v>
                </c:pt>
                <c:pt idx="14">
                  <c:v>2.03652049159172</c:v>
                </c:pt>
                <c:pt idx="15">
                  <c:v>2.03913251153464</c:v>
                </c:pt>
                <c:pt idx="16">
                  <c:v>2.04174523896266</c:v>
                </c:pt>
                <c:pt idx="17">
                  <c:v>2.04435872146402</c:v>
                </c:pt>
                <c:pt idx="18">
                  <c:v>2.04697300670914</c:v>
                </c:pt>
                <c:pt idx="19">
                  <c:v>2.04958814245593</c:v>
                </c:pt>
                <c:pt idx="20">
                  <c:v>2.05220417655504</c:v>
                </c:pt>
                <c:pt idx="21">
                  <c:v>2.05482115695519</c:v>
                </c:pt>
                <c:pt idx="22">
                  <c:v>2.05743913170854</c:v>
                </c:pt>
                <c:pt idx="23">
                  <c:v>2.06005814897604</c:v>
                </c:pt>
                <c:pt idx="24">
                  <c:v>2.0626782570328</c:v>
                </c:pt>
                <c:pt idx="25">
                  <c:v>2.06529950427361</c:v>
                </c:pt>
                <c:pt idx="26">
                  <c:v>2.0679219392183</c:v>
                </c:pt>
                <c:pt idx="27">
                  <c:v>2.07054561051733</c:v>
                </c:pt>
                <c:pt idx="28">
                  <c:v>2.07317056695729</c:v>
                </c:pt>
                <c:pt idx="29">
                  <c:v>2.07579685746646</c:v>
                </c:pt>
                <c:pt idx="30">
                  <c:v>2.07842453112045</c:v>
                </c:pt>
                <c:pt idx="31">
                  <c:v>2.08105363714785</c:v>
                </c:pt>
                <c:pt idx="32">
                  <c:v>2.08368422493593</c:v>
                </c:pt>
                <c:pt idx="33">
                  <c:v>2.08631634403635</c:v>
                </c:pt>
                <c:pt idx="34">
                  <c:v>2.08895004417101</c:v>
                </c:pt>
                <c:pt idx="35">
                  <c:v>2.09158537523785</c:v>
                </c:pt>
                <c:pt idx="36">
                  <c:v>2.09422238731671</c:v>
                </c:pt>
                <c:pt idx="37">
                  <c:v>2.09686113067533</c:v>
                </c:pt>
                <c:pt idx="38">
                  <c:v>2.09950165577529</c:v>
                </c:pt>
                <c:pt idx="39">
                  <c:v>2.10214401327808</c:v>
                </c:pt>
                <c:pt idx="40">
                  <c:v>2.1047882540512</c:v>
                </c:pt>
                <c:pt idx="41">
                  <c:v>2.10743442917432</c:v>
                </c:pt>
                <c:pt idx="42">
                  <c:v>2.11008258994549</c:v>
                </c:pt>
                <c:pt idx="43">
                  <c:v>2.11273278788744</c:v>
                </c:pt>
                <c:pt idx="44">
                  <c:v>2.11538507475395</c:v>
                </c:pt>
                <c:pt idx="45">
                  <c:v>2.11803950253622</c:v>
                </c:pt>
                <c:pt idx="46">
                  <c:v>2.12069612346939</c:v>
                </c:pt>
                <c:pt idx="47">
                  <c:v>2.12335499003909</c:v>
                </c:pt>
                <c:pt idx="48">
                  <c:v>2.12601615498806</c:v>
                </c:pt>
                <c:pt idx="49">
                  <c:v>2.12867967132287</c:v>
                </c:pt>
                <c:pt idx="50">
                  <c:v>2.13134559232071</c:v>
                </c:pt>
                <c:pt idx="51">
                  <c:v>2.13401397153623</c:v>
                </c:pt>
                <c:pt idx="52">
                  <c:v>2.13668486280849</c:v>
                </c:pt>
                <c:pt idx="53">
                  <c:v>2.139358320268</c:v>
                </c:pt>
                <c:pt idx="54">
                  <c:v>2.14203439834384</c:v>
                </c:pt>
                <c:pt idx="55">
                  <c:v>2.14471315177087</c:v>
                </c:pt>
                <c:pt idx="56">
                  <c:v>2.14739463559699</c:v>
                </c:pt>
                <c:pt idx="57">
                  <c:v>2.1500789051906</c:v>
                </c:pt>
                <c:pt idx="58">
                  <c:v>2.15276601624804</c:v>
                </c:pt>
                <c:pt idx="59">
                  <c:v>2.15545602480117</c:v>
                </c:pt>
                <c:pt idx="60">
                  <c:v>2.15814898722513</c:v>
                </c:pt>
                <c:pt idx="61">
                  <c:v>2.16084496024607</c:v>
                </c:pt>
                <c:pt idx="62">
                  <c:v>2.1635440009491</c:v>
                </c:pt>
                <c:pt idx="63">
                  <c:v>2.16624616678628</c:v>
                </c:pt>
                <c:pt idx="64">
                  <c:v>2.16895151558478</c:v>
                </c:pt>
                <c:pt idx="65">
                  <c:v>2.17166010555511</c:v>
                </c:pt>
                <c:pt idx="66">
                  <c:v>2.17437199529949</c:v>
                </c:pt>
                <c:pt idx="67">
                  <c:v>2.17708724382038</c:v>
                </c:pt>
                <c:pt idx="68">
                  <c:v>2.17980591052905</c:v>
                </c:pt>
                <c:pt idx="69">
                  <c:v>2.18252805525436</c:v>
                </c:pt>
                <c:pt idx="70">
                  <c:v>2.18525373825166</c:v>
                </c:pt>
                <c:pt idx="71">
                  <c:v>2.18798302021178</c:v>
                </c:pt>
                <c:pt idx="72">
                  <c:v>2.19071596227022</c:v>
                </c:pt>
                <c:pt idx="73">
                  <c:v>2.19345262601646</c:v>
                </c:pt>
                <c:pt idx="74">
                  <c:v>2.19619307350339</c:v>
                </c:pt>
                <c:pt idx="75">
                  <c:v>2.19893736725695</c:v>
                </c:pt>
                <c:pt idx="76">
                  <c:v>2.2016855702859</c:v>
                </c:pt>
                <c:pt idx="77">
                  <c:v>2.20443774609172</c:v>
                </c:pt>
                <c:pt idx="78">
                  <c:v>2.20719395867871</c:v>
                </c:pt>
                <c:pt idx="79">
                  <c:v>2.20995427256429</c:v>
                </c:pt>
                <c:pt idx="80">
                  <c:v>2.21271875278937</c:v>
                </c:pt>
                <c:pt idx="81">
                  <c:v>2.21548746492901</c:v>
                </c:pt>
                <c:pt idx="82">
                  <c:v>2.21826047510321</c:v>
                </c:pt>
                <c:pt idx="83">
                  <c:v>2.22103784998789</c:v>
                </c:pt>
                <c:pt idx="84">
                  <c:v>2.22381965682604</c:v>
                </c:pt>
                <c:pt idx="85">
                  <c:v>2.22660596343913</c:v>
                </c:pt>
                <c:pt idx="86">
                  <c:v>2.22939683823866</c:v>
                </c:pt>
                <c:pt idx="87">
                  <c:v>2.23219235023797</c:v>
                </c:pt>
                <c:pt idx="88">
                  <c:v>2.23499256906422</c:v>
                </c:pt>
                <c:pt idx="89">
                  <c:v>2.23779756497059</c:v>
                </c:pt>
                <c:pt idx="90">
                  <c:v>2.24060740884875</c:v>
                </c:pt>
                <c:pt idx="91">
                  <c:v>2.24342217224152</c:v>
                </c:pt>
                <c:pt idx="92">
                  <c:v>2.24624192735577</c:v>
                </c:pt>
                <c:pt idx="93">
                  <c:v>2.2490667470756</c:v>
                </c:pt>
                <c:pt idx="94">
                  <c:v>2.25189670497569</c:v>
                </c:pt>
                <c:pt idx="95">
                  <c:v>2.25473187533501</c:v>
                </c:pt>
                <c:pt idx="96">
                  <c:v>2.25757233315072</c:v>
                </c:pt>
                <c:pt idx="97">
                  <c:v>2.26041815415232</c:v>
                </c:pt>
                <c:pt idx="98">
                  <c:v>2.26326941481621</c:v>
                </c:pt>
                <c:pt idx="99">
                  <c:v>2.26612619238033</c:v>
                </c:pt>
                <c:pt idx="100">
                  <c:v>2.2689885648593</c:v>
                </c:pt>
                <c:pt idx="101">
                  <c:v>2.2718566110597</c:v>
                </c:pt>
                <c:pt idx="102">
                  <c:v>2.27473041059576</c:v>
                </c:pt>
                <c:pt idx="103">
                  <c:v>2.27761004390529</c:v>
                </c:pt>
                <c:pt idx="104">
                  <c:v>2.28049559226603</c:v>
                </c:pt>
                <c:pt idx="105">
                  <c:v>2.28338713781221</c:v>
                </c:pt>
                <c:pt idx="106">
                  <c:v>2.28628476355158</c:v>
                </c:pt>
                <c:pt idx="107">
                  <c:v>2.28918855338269</c:v>
                </c:pt>
                <c:pt idx="108">
                  <c:v>2.2920985921126</c:v>
                </c:pt>
                <c:pt idx="109">
                  <c:v>2.29501496547493</c:v>
                </c:pt>
                <c:pt idx="110">
                  <c:v>2.2979377601483</c:v>
                </c:pt>
                <c:pt idx="111">
                  <c:v>2.30086706377514</c:v>
                </c:pt>
                <c:pt idx="112">
                  <c:v>2.30380296498099</c:v>
                </c:pt>
                <c:pt idx="113">
                  <c:v>2.30674555339405</c:v>
                </c:pt>
                <c:pt idx="114">
                  <c:v>2.30969491966537</c:v>
                </c:pt>
                <c:pt idx="115">
                  <c:v>2.31265115548928</c:v>
                </c:pt>
                <c:pt idx="116">
                  <c:v>2.31561435362439</c:v>
                </c:pt>
                <c:pt idx="117">
                  <c:v>2.31858460791503</c:v>
                </c:pt>
                <c:pt idx="118">
                  <c:v>2.32156201331314</c:v>
                </c:pt>
                <c:pt idx="119">
                  <c:v>2.3245466659007</c:v>
                </c:pt>
                <c:pt idx="120">
                  <c:v>2.32753866291257</c:v>
                </c:pt>
                <c:pt idx="121">
                  <c:v>2.33053810276</c:v>
                </c:pt>
                <c:pt idx="122">
                  <c:v>2.33354508505451</c:v>
                </c:pt>
                <c:pt idx="123">
                  <c:v>2.33655971063244</c:v>
                </c:pt>
                <c:pt idx="124">
                  <c:v>2.33958208158001</c:v>
                </c:pt>
                <c:pt idx="125">
                  <c:v>2.34261230125895</c:v>
                </c:pt>
                <c:pt idx="126">
                  <c:v>2.34565047433281</c:v>
                </c:pt>
                <c:pt idx="127">
                  <c:v>2.34869670679378</c:v>
                </c:pt>
                <c:pt idx="128">
                  <c:v>2.35175110599021</c:v>
                </c:pt>
                <c:pt idx="129">
                  <c:v>2.35481378065477</c:v>
                </c:pt>
                <c:pt idx="130">
                  <c:v>2.35788484093328</c:v>
                </c:pt>
                <c:pt idx="131">
                  <c:v>2.36096439841424</c:v>
                </c:pt>
                <c:pt idx="132">
                  <c:v>2.36405256615907</c:v>
                </c:pt>
                <c:pt idx="133">
                  <c:v>2.36714945873307</c:v>
                </c:pt>
                <c:pt idx="134">
                  <c:v>2.37025519223719</c:v>
                </c:pt>
                <c:pt idx="135">
                  <c:v>2.37336988434049</c:v>
                </c:pt>
                <c:pt idx="136">
                  <c:v>2.37649365431353</c:v>
                </c:pt>
                <c:pt idx="137">
                  <c:v>2.37962662306245</c:v>
                </c:pt>
                <c:pt idx="138">
                  <c:v>2.38276891316404</c:v>
                </c:pt>
                <c:pt idx="139">
                  <c:v>2.38592064890158</c:v>
                </c:pt>
                <c:pt idx="140">
                  <c:v>2.38908195630168</c:v>
                </c:pt>
                <c:pt idx="141">
                  <c:v>2.39225296317197</c:v>
                </c:pt>
                <c:pt idx="142">
                  <c:v>2.39543379913987</c:v>
                </c:pt>
                <c:pt idx="143">
                  <c:v>2.39862459569224</c:v>
                </c:pt>
                <c:pt idx="144">
                  <c:v>2.40182548621612</c:v>
                </c:pt>
                <c:pt idx="145">
                  <c:v>2.40503660604058</c:v>
                </c:pt>
                <c:pt idx="146">
                  <c:v>2.40825809247955</c:v>
                </c:pt>
                <c:pt idx="147">
                  <c:v>2.41149008487589</c:v>
                </c:pt>
                <c:pt idx="148">
                  <c:v>2.4147327246466</c:v>
                </c:pt>
                <c:pt idx="149">
                  <c:v>2.41798615532917</c:v>
                </c:pt>
                <c:pt idx="150">
                  <c:v>2.42125052262931</c:v>
                </c:pt>
                <c:pt idx="151">
                  <c:v>2.42452597446986</c:v>
                </c:pt>
                <c:pt idx="152">
                  <c:v>2.42781266104105</c:v>
                </c:pt>
                <c:pt idx="153">
                  <c:v>2.43111073485219</c:v>
                </c:pt>
                <c:pt idx="154">
                  <c:v>2.43442035078472</c:v>
                </c:pt>
                <c:pt idx="155">
                  <c:v>2.43774166614678</c:v>
                </c:pt>
                <c:pt idx="156">
                  <c:v>2.44107484072926</c:v>
                </c:pt>
                <c:pt idx="157">
                  <c:v>2.44442003686342</c:v>
                </c:pt>
                <c:pt idx="158">
                  <c:v>2.44777741948022</c:v>
                </c:pt>
                <c:pt idx="159">
                  <c:v>2.45114715617121</c:v>
                </c:pt>
                <c:pt idx="160">
                  <c:v>2.45452941725121</c:v>
                </c:pt>
                <c:pt idx="161">
                  <c:v>2.45792437582287</c:v>
                </c:pt>
                <c:pt idx="162">
                  <c:v>2.46133220784293</c:v>
                </c:pt>
                <c:pt idx="163">
                  <c:v>2.46475309219059</c:v>
                </c:pt>
                <c:pt idx="164">
                  <c:v>2.46818721073772</c:v>
                </c:pt>
                <c:pt idx="165">
                  <c:v>2.47163474842126</c:v>
                </c:pt>
                <c:pt idx="166">
                  <c:v>2.47509589331768</c:v>
                </c:pt>
                <c:pt idx="167">
                  <c:v>2.47857083671971</c:v>
                </c:pt>
                <c:pt idx="168">
                  <c:v>2.48205977321539</c:v>
                </c:pt>
                <c:pt idx="169">
                  <c:v>2.48556290076939</c:v>
                </c:pt>
                <c:pt idx="170">
                  <c:v>2.48908042080696</c:v>
                </c:pt>
                <c:pt idx="171">
                  <c:v>2.49261253830037</c:v>
                </c:pt>
                <c:pt idx="172">
                  <c:v>2.49615946185794</c:v>
                </c:pt>
                <c:pt idx="173">
                  <c:v>2.49972140381598</c:v>
                </c:pt>
                <c:pt idx="174">
                  <c:v>2.50329858033348</c:v>
                </c:pt>
                <c:pt idx="175">
                  <c:v>2.50689121148979</c:v>
                </c:pt>
                <c:pt idx="176">
                  <c:v>2.51049952138544</c:v>
                </c:pt>
                <c:pt idx="177">
                  <c:v>2.51412373824608</c:v>
                </c:pt>
                <c:pt idx="178">
                  <c:v>2.51776409452983</c:v>
                </c:pt>
                <c:pt idx="179">
                  <c:v>2.52142082703803</c:v>
                </c:pt>
                <c:pt idx="180">
                  <c:v>2.52509417702959</c:v>
                </c:pt>
                <c:pt idx="181">
                  <c:v>2.52878439033911</c:v>
                </c:pt>
                <c:pt idx="182">
                  <c:v>2.53249171749882</c:v>
                </c:pt>
                <c:pt idx="183">
                  <c:v>2.53621641386461</c:v>
                </c:pt>
                <c:pt idx="184">
                  <c:v>2.53995873974622</c:v>
                </c:pt>
                <c:pt idx="185">
                  <c:v>2.54371896054182</c:v>
                </c:pt>
                <c:pt idx="186">
                  <c:v>2.54749734687714</c:v>
                </c:pt>
                <c:pt idx="187">
                  <c:v>2.55129417474928</c:v>
                </c:pt>
                <c:pt idx="188">
                  <c:v>2.55510972567551</c:v>
                </c:pt>
                <c:pt idx="189">
                  <c:v>2.55894428684716</c:v>
                </c:pt>
                <c:pt idx="190">
                  <c:v>2.56279815128886</c:v>
                </c:pt>
                <c:pt idx="191">
                  <c:v>2.56667161802339</c:v>
                </c:pt>
                <c:pt idx="192">
                  <c:v>2.57056499224224</c:v>
                </c:pt>
                <c:pt idx="193">
                  <c:v>2.57447858548232</c:v>
                </c:pt>
                <c:pt idx="194">
                  <c:v>2.57841271580895</c:v>
                </c:pt>
                <c:pt idx="195">
                  <c:v>2.5823677080054</c:v>
                </c:pt>
                <c:pt idx="196">
                  <c:v>2.58634389376937</c:v>
                </c:pt>
                <c:pt idx="197">
                  <c:v>2.59034161191658</c:v>
                </c:pt>
                <c:pt idx="198">
                  <c:v>2.59436120859191</c:v>
                </c:pt>
                <c:pt idx="199">
                  <c:v>2.59840303748831</c:v>
                </c:pt>
                <c:pt idx="200">
                  <c:v>2.60246746007394</c:v>
                </c:pt>
                <c:pt idx="201">
                  <c:v>2.60655484582783</c:v>
                </c:pt>
                <c:pt idx="202">
                  <c:v>2.61066557248448</c:v>
                </c:pt>
                <c:pt idx="203">
                  <c:v>2.61480002628781</c:v>
                </c:pt>
                <c:pt idx="204">
                  <c:v>2.61895860225492</c:v>
                </c:pt>
                <c:pt idx="205">
                  <c:v>2.62314170445001</c:v>
                </c:pt>
                <c:pt idx="206">
                  <c:v>2.62734974626914</c:v>
                </c:pt>
                <c:pt idx="207">
                  <c:v>2.63158315073607</c:v>
                </c:pt>
                <c:pt idx="208">
                  <c:v>2.63584235081</c:v>
                </c:pt>
                <c:pt idx="209">
                  <c:v>2.64012778970554</c:v>
                </c:pt>
                <c:pt idx="210">
                  <c:v>2.64443992122569</c:v>
                </c:pt>
                <c:pt idx="211">
                  <c:v>2.64877921010829</c:v>
                </c:pt>
                <c:pt idx="212">
                  <c:v>2.65314613238677</c:v>
                </c:pt>
                <c:pt idx="213">
                  <c:v>2.65754117576579</c:v>
                </c:pt>
                <c:pt idx="214">
                  <c:v>2.66196484001264</c:v>
                </c:pt>
                <c:pt idx="215">
                  <c:v>2.666417637365</c:v>
                </c:pt>
                <c:pt idx="216">
                  <c:v>2.67090009295613</c:v>
                </c:pt>
                <c:pt idx="217">
                  <c:v>2.67541274525819</c:v>
                </c:pt>
                <c:pt idx="218">
                  <c:v>2.67995614654479</c:v>
                </c:pt>
                <c:pt idx="219">
                  <c:v>2.68453086337365</c:v>
                </c:pt>
                <c:pt idx="220">
                  <c:v>2.68913747709043</c:v>
                </c:pt>
                <c:pt idx="221">
                  <c:v>2.69377658435507</c:v>
                </c:pt>
                <c:pt idx="222">
                  <c:v>2.6984487976915</c:v>
                </c:pt>
                <c:pt idx="223">
                  <c:v>2.70315474606229</c:v>
                </c:pt>
                <c:pt idx="224">
                  <c:v>2.70789507546949</c:v>
                </c:pt>
                <c:pt idx="225">
                  <c:v>2.71267044958305</c:v>
                </c:pt>
                <c:pt idx="226">
                  <c:v>2.71748155039844</c:v>
                </c:pt>
                <c:pt idx="227">
                  <c:v>2.72232907892508</c:v>
                </c:pt>
                <c:pt idx="228">
                  <c:v>2.7272137559074</c:v>
                </c:pt>
                <c:pt idx="229">
                  <c:v>2.73213632258022</c:v>
                </c:pt>
                <c:pt idx="230">
                  <c:v>2.73709754146064</c:v>
                </c:pt>
                <c:pt idx="231">
                  <c:v>2.74209819717847</c:v>
                </c:pt>
                <c:pt idx="232">
                  <c:v>2.74713909734744</c:v>
                </c:pt>
                <c:pt idx="233">
                  <c:v>2.75222107347981</c:v>
                </c:pt>
                <c:pt idx="234">
                  <c:v>2.75734498194665</c:v>
                </c:pt>
                <c:pt idx="235">
                  <c:v>2.76251170498698</c:v>
                </c:pt>
                <c:pt idx="236">
                  <c:v>2.76772215176839</c:v>
                </c:pt>
                <c:pt idx="237">
                  <c:v>2.77297725950268</c:v>
                </c:pt>
                <c:pt idx="238">
                  <c:v>2.77827799461965</c:v>
                </c:pt>
                <c:pt idx="239">
                  <c:v>2.78362535400294</c:v>
                </c:pt>
                <c:pt idx="240">
                  <c:v>2.78902036629188</c:v>
                </c:pt>
                <c:pt idx="241">
                  <c:v>2.79446409325351</c:v>
                </c:pt>
                <c:pt idx="242">
                  <c:v>2.79995763122944</c:v>
                </c:pt>
                <c:pt idx="243">
                  <c:v>2.80550211266251</c:v>
                </c:pt>
                <c:pt idx="244">
                  <c:v>2.81109870770861</c:v>
                </c:pt>
                <c:pt idx="245">
                  <c:v>2.81674862593928</c:v>
                </c:pt>
                <c:pt idx="246">
                  <c:v>2.82245311814156</c:v>
                </c:pt>
                <c:pt idx="247">
                  <c:v>2.8282134782215</c:v>
                </c:pt>
                <c:pt idx="248">
                  <c:v>2.83403104521896</c:v>
                </c:pt>
                <c:pt idx="249">
                  <c:v>2.83990720544121</c:v>
                </c:pt>
                <c:pt idx="250">
                  <c:v>2.84584339472416</c:v>
                </c:pt>
                <c:pt idx="251">
                  <c:v>2.85184110083029</c:v>
                </c:pt>
                <c:pt idx="252">
                  <c:v>2.85790186599342</c:v>
                </c:pt>
                <c:pt idx="253">
                  <c:v>2.86402728962124</c:v>
                </c:pt>
                <c:pt idx="254">
                  <c:v>2.87021903116734</c:v>
                </c:pt>
                <c:pt idx="255">
                  <c:v>2.87647881318598</c:v>
                </c:pt>
                <c:pt idx="256">
                  <c:v>2.88280842458333</c:v>
                </c:pt>
                <c:pt idx="257">
                  <c:v>2.88920972408088</c:v>
                </c:pt>
                <c:pt idx="258">
                  <c:v>2.89568464390769</c:v>
                </c:pt>
                <c:pt idx="259">
                  <c:v>2.90223519373983</c:v>
                </c:pt>
                <c:pt idx="260">
                  <c:v>2.90886346490735</c:v>
                </c:pt>
                <c:pt idx="261">
                  <c:v>2.91557163489059</c:v>
                </c:pt>
                <c:pt idx="262">
                  <c:v>2.92236197213031</c:v>
                </c:pt>
                <c:pt idx="263">
                  <c:v>2.92923684117815</c:v>
                </c:pt>
                <c:pt idx="264">
                  <c:v>2.93619870821673</c:v>
                </c:pt>
                <c:pt idx="265">
                  <c:v>2.94325014698176</c:v>
                </c:pt>
                <c:pt idx="266">
                  <c:v>2.95039384512181</c:v>
                </c:pt>
                <c:pt idx="267">
                  <c:v>2.95763261103503</c:v>
                </c:pt>
                <c:pt idx="268">
                  <c:v>2.96496938122657</c:v>
                </c:pt>
                <c:pt idx="269">
                  <c:v>2.97240722823481</c:v>
                </c:pt>
                <c:pt idx="270">
                  <c:v>2.97994936918024</c:v>
                </c:pt>
                <c:pt idx="271">
                  <c:v>2.98759917499645</c:v>
                </c:pt>
                <c:pt idx="272">
                  <c:v>2.99536018040967</c:v>
                </c:pt>
                <c:pt idx="273">
                  <c:v>3.0032360947409</c:v>
                </c:pt>
                <c:pt idx="274">
                  <c:v>3.01123081361335</c:v>
                </c:pt>
                <c:pt idx="275">
                  <c:v>3.01934843165779</c:v>
                </c:pt>
                <c:pt idx="276">
                  <c:v>3.0275932563197</c:v>
                </c:pt>
                <c:pt idx="277">
                  <c:v>3.03596982288484</c:v>
                </c:pt>
                <c:pt idx="278">
                  <c:v>3.0444829108546</c:v>
                </c:pt>
                <c:pt idx="279">
                  <c:v>3.0531375618194</c:v>
                </c:pt>
                <c:pt idx="280">
                  <c:v>3.06193909899748</c:v>
                </c:pt>
                <c:pt idx="281">
                  <c:v>3.07089314862898</c:v>
                </c:pt>
                <c:pt idx="282">
                  <c:v>3.08000566344084</c:v>
                </c:pt>
                <c:pt idx="283">
                  <c:v>3.08928294842762</c:v>
                </c:pt>
                <c:pt idx="284">
                  <c:v>3.09873168922826</c:v>
                </c:pt>
                <c:pt idx="285">
                  <c:v>3.10835898341883</c:v>
                </c:pt>
                <c:pt idx="286">
                  <c:v>3.11817237508839</c:v>
                </c:pt>
                <c:pt idx="287">
                  <c:v>3.12817989312019</c:v>
                </c:pt>
                <c:pt idx="288">
                  <c:v>3.13839009366525</c:v>
                </c:pt>
                <c:pt idx="289">
                  <c:v>3.14881210737146</c:v>
                </c:pt>
                <c:pt idx="290">
                  <c:v>3.15945569202199</c:v>
                </c:pt>
                <c:pt idx="291">
                  <c:v>3.17033129134383</c:v>
                </c:pt>
                <c:pt idx="292">
                  <c:v>3.18145010087528</c:v>
                </c:pt>
                <c:pt idx="293">
                  <c:v>3.19282414193414</c:v>
                </c:pt>
                <c:pt idx="294">
                  <c:v>3.20446634491244</c:v>
                </c:pt>
                <c:pt idx="295">
                  <c:v>3.21639064334543</c:v>
                </c:pt>
                <c:pt idx="296">
                  <c:v>3.22861208047166</c:v>
                </c:pt>
                <c:pt idx="297">
                  <c:v>3.24114693032907</c:v>
                </c:pt>
                <c:pt idx="298">
                  <c:v>3.25401283583338</c:v>
                </c:pt>
                <c:pt idx="299">
                  <c:v>3.26722896677939</c:v>
                </c:pt>
                <c:pt idx="300">
                  <c:v>3.28081620131735</c:v>
                </c:pt>
                <c:pt idx="301">
                  <c:v>3.29479733521856</c:v>
                </c:pt>
                <c:pt idx="302">
                  <c:v>3.30919732419806</c:v>
                </c:pt>
                <c:pt idx="303">
                  <c:v>3.32404356576595</c:v>
                </c:pt>
                <c:pt idx="304">
                  <c:v>3.33936622860667</c:v>
                </c:pt>
                <c:pt idx="305">
                  <c:v>3.35519863944034</c:v>
                </c:pt>
                <c:pt idx="306">
                  <c:v>3.37157773984075</c:v>
                </c:pt>
                <c:pt idx="307">
                  <c:v>3.38854462876192</c:v>
                </c:pt>
                <c:pt idx="308">
                  <c:v>3.40614521082497</c:v>
                </c:pt>
                <c:pt idx="309">
                  <c:v>3.42443097611279</c:v>
                </c:pt>
                <c:pt idx="310">
                  <c:v>3.44345994484356</c:v>
                </c:pt>
                <c:pt idx="311">
                  <c:v>3.46329782061143</c:v>
                </c:pt>
                <c:pt idx="312">
                  <c:v>3.48401941001489</c:v>
                </c:pt>
                <c:pt idx="313">
                  <c:v>3.50571038610408</c:v>
                </c:pt>
                <c:pt idx="314">
                  <c:v>3.52846950067897</c:v>
                </c:pt>
                <c:pt idx="315">
                  <c:v>3.55241138992186</c:v>
                </c:pt>
                <c:pt idx="316">
                  <c:v>3.57767017519868</c:v>
                </c:pt>
                <c:pt idx="317">
                  <c:v>3.60440414580423</c:v>
                </c:pt>
                <c:pt idx="318">
                  <c:v>3.63280193884873</c:v>
                </c:pt>
                <c:pt idx="319">
                  <c:v>3.66309083014863</c:v>
                </c:pt>
                <c:pt idx="320">
                  <c:v>3.69554806531159</c:v>
                </c:pt>
                <c:pt idx="321">
                  <c:v>3.73051667541052</c:v>
                </c:pt>
                <c:pt idx="322">
                  <c:v>3.76842809161948</c:v>
                </c:pt>
                <c:pt idx="323">
                  <c:v>3.80983539887254</c:v>
                </c:pt>
                <c:pt idx="324">
                  <c:v>3.85546386436975</c:v>
                </c:pt>
                <c:pt idx="325">
                  <c:v>3.90629077163212</c:v>
                </c:pt>
                <c:pt idx="326">
                  <c:v>3.96367766485354</c:v>
                </c:pt>
                <c:pt idx="327">
                  <c:v>4.0296026206119</c:v>
                </c:pt>
                <c:pt idx="328">
                  <c:v>4.10709979545214</c:v>
                </c:pt>
                <c:pt idx="329">
                  <c:v>4.20117745955217</c:v>
                </c:pt>
                <c:pt idx="330">
                  <c:v>4.32101843351308</c:v>
                </c:pt>
                <c:pt idx="331">
                  <c:v>4.48648089259874</c:v>
                </c:pt>
                <c:pt idx="332">
                  <c:v>4.75596957115667</c:v>
                </c:pt>
                <c:pt idx="333">
                  <c:v>5.60104197582013</c:v>
                </c:pt>
                <c:pt idx="334">
                  <c:v>9.09661224810978</c:v>
                </c:pt>
                <c:pt idx="335">
                  <c:v>9.4383623974003</c:v>
                </c:pt>
                <c:pt idx="336">
                  <c:v>9.62676579420998</c:v>
                </c:pt>
                <c:pt idx="337">
                  <c:v>9.75739509029475</c:v>
                </c:pt>
                <c:pt idx="338">
                  <c:v>9.85741720571016</c:v>
                </c:pt>
                <c:pt idx="339">
                  <c:v>9.9384403990015</c:v>
                </c:pt>
                <c:pt idx="340">
                  <c:v>10.0065104250167</c:v>
                </c:pt>
                <c:pt idx="341">
                  <c:v>10.0651796536777</c:v>
                </c:pt>
                <c:pt idx="342">
                  <c:v>10.1167138801257</c:v>
                </c:pt>
                <c:pt idx="343">
                  <c:v>10.1626472093081</c:v>
                </c:pt>
                <c:pt idx="344">
                  <c:v>10.2040667040467</c:v>
                </c:pt>
                <c:pt idx="345">
                  <c:v>10.24177080151</c:v>
                </c:pt>
                <c:pt idx="346">
                  <c:v>10.2763632337792</c:v>
                </c:pt>
                <c:pt idx="347">
                  <c:v>10.3083116026387</c:v>
                </c:pt>
                <c:pt idx="348">
                  <c:v>10.3379854605137</c:v>
                </c:pt>
                <c:pt idx="349">
                  <c:v>10.3656819412151</c:v>
                </c:pt>
                <c:pt idx="350">
                  <c:v>10.3916435269608</c:v>
                </c:pt>
                <c:pt idx="351">
                  <c:v>10.4160706800003</c:v>
                </c:pt>
                <c:pt idx="352">
                  <c:v>10.4391310243842</c:v>
                </c:pt>
                <c:pt idx="353">
                  <c:v>10.4609661465134</c:v>
                </c:pt>
                <c:pt idx="354">
                  <c:v>10.4816967253353</c:v>
                </c:pt>
                <c:pt idx="355">
                  <c:v>10.5014264560462</c:v>
                </c:pt>
                <c:pt idx="356">
                  <c:v>10.5202450929598</c:v>
                </c:pt>
                <c:pt idx="357">
                  <c:v>10.5382308434471</c:v>
                </c:pt>
                <c:pt idx="358">
                  <c:v>10.5554522662719</c:v>
                </c:pt>
                <c:pt idx="359">
                  <c:v>10.5719697981864</c:v>
                </c:pt>
                <c:pt idx="360">
                  <c:v>10.5878369844325</c:v>
                </c:pt>
                <c:pt idx="361">
                  <c:v>10.6031014922038</c:v>
                </c:pt>
                <c:pt idx="362">
                  <c:v>10.6178059384373</c:v>
                </c:pt>
                <c:pt idx="363">
                  <c:v>10.6319885792883</c:v>
                </c:pt>
                <c:pt idx="364">
                  <c:v>10.6456838860278</c:v>
                </c:pt>
                <c:pt idx="365">
                  <c:v>10.6589230273541</c:v>
                </c:pt>
                <c:pt idx="366">
                  <c:v>10.6717342805061</c:v>
                </c:pt>
                <c:pt idx="367">
                  <c:v>10.6841433746905</c:v>
                </c:pt>
                <c:pt idx="368">
                  <c:v>10.6961737924277</c:v>
                </c:pt>
                <c:pt idx="369">
                  <c:v>10.7078470176514</c:v>
                </c:pt>
                <c:pt idx="370">
                  <c:v>10.7191827643408</c:v>
                </c:pt>
                <c:pt idx="371">
                  <c:v>10.7301991587099</c:v>
                </c:pt>
                <c:pt idx="372">
                  <c:v>10.7409129107569</c:v>
                </c:pt>
                <c:pt idx="373">
                  <c:v>10.7513394507625</c:v>
                </c:pt>
                <c:pt idx="374">
                  <c:v>10.7614930651366</c:v>
                </c:pt>
                <c:pt idx="375">
                  <c:v>10.7713870031532</c:v>
                </c:pt>
                <c:pt idx="376">
                  <c:v>10.7810335714576</c:v>
                </c:pt>
                <c:pt idx="377">
                  <c:v>10.7904442257381</c:v>
                </c:pt>
                <c:pt idx="378">
                  <c:v>10.7996296485396</c:v>
                </c:pt>
                <c:pt idx="379">
                  <c:v>10.8085998121811</c:v>
                </c:pt>
                <c:pt idx="380">
                  <c:v>10.8173640438937</c:v>
                </c:pt>
                <c:pt idx="381">
                  <c:v>10.8259310794846</c:v>
                </c:pt>
                <c:pt idx="382">
                  <c:v>10.8343091160007</c:v>
                </c:pt>
                <c:pt idx="383">
                  <c:v>10.8425058435095</c:v>
                </c:pt>
                <c:pt idx="384">
                  <c:v>10.8505285020412</c:v>
                </c:pt>
                <c:pt idx="385">
                  <c:v>10.8583839034324</c:v>
                </c:pt>
                <c:pt idx="386">
                  <c:v>10.8660784700618</c:v>
                </c:pt>
                <c:pt idx="387">
                  <c:v>10.8736182627352</c:v>
                </c:pt>
                <c:pt idx="388">
                  <c:v>10.8810090090244</c:v>
                </c:pt>
                <c:pt idx="389">
                  <c:v>10.8882561252637</c:v>
                </c:pt>
                <c:pt idx="390">
                  <c:v>10.8953647357696</c:v>
                </c:pt>
                <c:pt idx="391">
                  <c:v>10.9023396992039</c:v>
                </c:pt>
                <c:pt idx="392">
                  <c:v>10.9091856285921</c:v>
                </c:pt>
                <c:pt idx="393">
                  <c:v>10.9159068937011</c:v>
                </c:pt>
                <c:pt idx="394">
                  <c:v>10.9225076563186</c:v>
                </c:pt>
                <c:pt idx="395">
                  <c:v>10.9289918714368</c:v>
                </c:pt>
                <c:pt idx="396">
                  <c:v>10.935363298721</c:v>
                </c:pt>
                <c:pt idx="397">
                  <c:v>10.9416255249387</c:v>
                </c:pt>
                <c:pt idx="398">
                  <c:v>10.9477819729547</c:v>
                </c:pt>
                <c:pt idx="399">
                  <c:v>10.9538358975907</c:v>
                </c:pt>
                <c:pt idx="400">
                  <c:v>10.9597904161036</c:v>
                </c:pt>
                <c:pt idx="401">
                  <c:v>10.9656485002488</c:v>
                </c:pt>
                <c:pt idx="402">
                  <c:v>10.9714129986076</c:v>
                </c:pt>
                <c:pt idx="403">
                  <c:v>10.9770866293183</c:v>
                </c:pt>
                <c:pt idx="404">
                  <c:v>10.982671994476</c:v>
                </c:pt>
                <c:pt idx="405">
                  <c:v>10.9881715951356</c:v>
                </c:pt>
                <c:pt idx="406">
                  <c:v>10.9935878165659</c:v>
                </c:pt>
                <c:pt idx="407">
                  <c:v>10.9989229584533</c:v>
                </c:pt>
                <c:pt idx="408">
                  <c:v>11.0041792164239</c:v>
                </c:pt>
                <c:pt idx="409">
                  <c:v>11.0093587067084</c:v>
                </c:pt>
                <c:pt idx="410">
                  <c:v>11.0144634572358</c:v>
                </c:pt>
                <c:pt idx="411">
                  <c:v>11.0194954212704</c:v>
                </c:pt>
                <c:pt idx="412">
                  <c:v>11.0244564730475</c:v>
                </c:pt>
                <c:pt idx="413">
                  <c:v>11.029348424132</c:v>
                </c:pt>
                <c:pt idx="414">
                  <c:v>11.0341730060513</c:v>
                </c:pt>
                <c:pt idx="415">
                  <c:v>11.0389318937013</c:v>
                </c:pt>
                <c:pt idx="416">
                  <c:v>11.043626694588</c:v>
                </c:pt>
                <c:pt idx="417">
                  <c:v>11.0482589748257</c:v>
                </c:pt>
                <c:pt idx="418">
                  <c:v>11.052830228916</c:v>
                </c:pt>
                <c:pt idx="419">
                  <c:v>11.0573418964843</c:v>
                </c:pt>
                <c:pt idx="420">
                  <c:v>11.0617953860585</c:v>
                </c:pt>
                <c:pt idx="421">
                  <c:v>11.066192034978</c:v>
                </c:pt>
                <c:pt idx="422">
                  <c:v>11.0705331503494</c:v>
                </c:pt>
                <c:pt idx="423">
                  <c:v>11.0748199914026</c:v>
                </c:pt>
                <c:pt idx="424">
                  <c:v>11.0790537680887</c:v>
                </c:pt>
                <c:pt idx="425">
                  <c:v>11.0832356684876</c:v>
                </c:pt>
                <c:pt idx="426">
                  <c:v>11.0873668190527</c:v>
                </c:pt>
                <c:pt idx="427">
                  <c:v>11.0914483242322</c:v>
                </c:pt>
                <c:pt idx="428">
                  <c:v>11.0954812558739</c:v>
                </c:pt>
                <c:pt idx="429">
                  <c:v>11.0994666481951</c:v>
                </c:pt>
                <c:pt idx="430">
                  <c:v>11.1034054927266</c:v>
                </c:pt>
                <c:pt idx="431">
                  <c:v>11.1072987633774</c:v>
                </c:pt>
                <c:pt idx="432">
                  <c:v>11.1111474005183</c:v>
                </c:pt>
                <c:pt idx="433">
                  <c:v>11.1149523250758</c:v>
                </c:pt>
                <c:pt idx="434">
                  <c:v>11.1187144040615</c:v>
                </c:pt>
                <c:pt idx="435">
                  <c:v>11.1224345081135</c:v>
                </c:pt>
                <c:pt idx="436">
                  <c:v>11.126113465202</c:v>
                </c:pt>
                <c:pt idx="437">
                  <c:v>11.1297520819138</c:v>
                </c:pt>
                <c:pt idx="438">
                  <c:v>11.1333511467954</c:v>
                </c:pt>
                <c:pt idx="439">
                  <c:v>11.1369114275458</c:v>
                </c:pt>
                <c:pt idx="440">
                  <c:v>11.1404336551829</c:v>
                </c:pt>
                <c:pt idx="441">
                  <c:v>11.1439185600399</c:v>
                </c:pt>
                <c:pt idx="442">
                  <c:v>11.1473668435293</c:v>
                </c:pt>
                <c:pt idx="443">
                  <c:v>11.1507791752926</c:v>
                </c:pt>
                <c:pt idx="444">
                  <c:v>11.1541562306348</c:v>
                </c:pt>
                <c:pt idx="445">
                  <c:v>11.157498648619</c:v>
                </c:pt>
                <c:pt idx="446">
                  <c:v>11.160807056471</c:v>
                </c:pt>
                <c:pt idx="447">
                  <c:v>11.1640820677397</c:v>
                </c:pt>
                <c:pt idx="448">
                  <c:v>11.1673242666066</c:v>
                </c:pt>
                <c:pt idx="449">
                  <c:v>11.1705342543303</c:v>
                </c:pt>
                <c:pt idx="450">
                  <c:v>11.1737125714024</c:v>
                </c:pt>
                <c:pt idx="451">
                  <c:v>11.1768597861277</c:v>
                </c:pt>
                <c:pt idx="452">
                  <c:v>11.179976423281</c:v>
                </c:pt>
                <c:pt idx="453">
                  <c:v>11.1830630188872</c:v>
                </c:pt>
                <c:pt idx="454">
                  <c:v>11.1861200617925</c:v>
                </c:pt>
                <c:pt idx="455">
                  <c:v>11.1891480638115</c:v>
                </c:pt>
                <c:pt idx="456">
                  <c:v>11.1921475083136</c:v>
                </c:pt>
                <c:pt idx="457">
                  <c:v>11.1951188557176</c:v>
                </c:pt>
                <c:pt idx="458">
                  <c:v>11.1980625864369</c:v>
                </c:pt>
                <c:pt idx="459">
                  <c:v>11.2009791409124</c:v>
                </c:pt>
                <c:pt idx="460">
                  <c:v>11.203868955122</c:v>
                </c:pt>
                <c:pt idx="461">
                  <c:v>11.2067324596922</c:v>
                </c:pt>
                <c:pt idx="462">
                  <c:v>11.2095700790059</c:v>
                </c:pt>
                <c:pt idx="463">
                  <c:v>11.2123822149507</c:v>
                </c:pt>
                <c:pt idx="464">
                  <c:v>11.2151692764372</c:v>
                </c:pt>
                <c:pt idx="465">
                  <c:v>11.2179316478856</c:v>
                </c:pt>
                <c:pt idx="466">
                  <c:v>11.2206697113106</c:v>
                </c:pt>
                <c:pt idx="467">
                  <c:v>11.2233838377888</c:v>
                </c:pt>
                <c:pt idx="468">
                  <c:v>11.2260744024042</c:v>
                </c:pt>
                <c:pt idx="469">
                  <c:v>11.2287417519384</c:v>
                </c:pt>
                <c:pt idx="470">
                  <c:v>11.2313862275411</c:v>
                </c:pt>
                <c:pt idx="471">
                  <c:v>11.2340081963503</c:v>
                </c:pt>
                <c:pt idx="472">
                  <c:v>11.236607962488</c:v>
                </c:pt>
                <c:pt idx="473">
                  <c:v>11.2391858708729</c:v>
                </c:pt>
                <c:pt idx="474">
                  <c:v>11.2417422422802</c:v>
                </c:pt>
                <c:pt idx="475">
                  <c:v>11.2442773804525</c:v>
                </c:pt>
                <c:pt idx="476">
                  <c:v>11.2467915878143</c:v>
                </c:pt>
                <c:pt idx="477">
                  <c:v>11.2492851734023</c:v>
                </c:pt>
                <c:pt idx="478">
                  <c:v>11.2517584274515</c:v>
                </c:pt>
                <c:pt idx="479">
                  <c:v>11.25421164585</c:v>
                </c:pt>
                <c:pt idx="480">
                  <c:v>11.2566450874317</c:v>
                </c:pt>
                <c:pt idx="481">
                  <c:v>11.259059049541</c:v>
                </c:pt>
                <c:pt idx="482">
                  <c:v>11.2614538000072</c:v>
                </c:pt>
                <c:pt idx="483">
                  <c:v>11.2638295846427</c:v>
                </c:pt>
                <c:pt idx="484">
                  <c:v>11.2661866871758</c:v>
                </c:pt>
                <c:pt idx="485">
                  <c:v>11.2685253426087</c:v>
                </c:pt>
                <c:pt idx="486">
                  <c:v>11.270845814672</c:v>
                </c:pt>
                <c:pt idx="487">
                  <c:v>11.2731483345026</c:v>
                </c:pt>
                <c:pt idx="488">
                  <c:v>11.2754331527756</c:v>
                </c:pt>
                <c:pt idx="489">
                  <c:v>11.2777004953417</c:v>
                </c:pt>
                <c:pt idx="490">
                  <c:v>11.2799505982098</c:v>
                </c:pt>
                <c:pt idx="491">
                  <c:v>11.2821836805205</c:v>
                </c:pt>
                <c:pt idx="492">
                  <c:v>11.2843999710682</c:v>
                </c:pt>
                <c:pt idx="493">
                  <c:v>11.2865996901054</c:v>
                </c:pt>
                <c:pt idx="494">
                  <c:v>11.288783039749</c:v>
                </c:pt>
                <c:pt idx="495">
                  <c:v>11.2909502309179</c:v>
                </c:pt>
                <c:pt idx="496">
                  <c:v>11.2931014741068</c:v>
                </c:pt>
                <c:pt idx="497">
                  <c:v>11.2952369791775</c:v>
                </c:pt>
                <c:pt idx="498">
                  <c:v>11.2973569271347</c:v>
                </c:pt>
                <c:pt idx="499">
                  <c:v>11.2994615067692</c:v>
                </c:pt>
                <c:pt idx="500">
                  <c:v>11.3015509335327</c:v>
                </c:pt>
                <c:pt idx="501">
                  <c:v>11.3036253931643</c:v>
                </c:pt>
                <c:pt idx="502">
                  <c:v>11.3056850408013</c:v>
                </c:pt>
                <c:pt idx="503">
                  <c:v>11.3077300766051</c:v>
                </c:pt>
                <c:pt idx="504">
                  <c:v>11.3097606890238</c:v>
                </c:pt>
                <c:pt idx="505">
                  <c:v>11.3117770350495</c:v>
                </c:pt>
                <c:pt idx="506">
                  <c:v>11.3137792781287</c:v>
                </c:pt>
                <c:pt idx="507">
                  <c:v>11.3157676076611</c:v>
                </c:pt>
                <c:pt idx="508">
                  <c:v>11.3177421807357</c:v>
                </c:pt>
                <c:pt idx="509">
                  <c:v>11.3197031605776</c:v>
                </c:pt>
                <c:pt idx="510">
                  <c:v>11.321650696809</c:v>
                </c:pt>
                <c:pt idx="511">
                  <c:v>11.3235849646957</c:v>
                </c:pt>
                <c:pt idx="512">
                  <c:v>11.325506105818</c:v>
                </c:pt>
                <c:pt idx="513">
                  <c:v>11.3274142872428</c:v>
                </c:pt>
                <c:pt idx="514">
                  <c:v>11.3293096215651</c:v>
                </c:pt>
                <c:pt idx="515">
                  <c:v>11.3311922867388</c:v>
                </c:pt>
                <c:pt idx="516">
                  <c:v>11.3330624462908</c:v>
                </c:pt>
                <c:pt idx="517">
                  <c:v>11.3349201878013</c:v>
                </c:pt>
                <c:pt idx="518">
                  <c:v>11.3367656847736</c:v>
                </c:pt>
                <c:pt idx="519">
                  <c:v>11.338599075159</c:v>
                </c:pt>
                <c:pt idx="520">
                  <c:v>11.3404204811191</c:v>
                </c:pt>
                <c:pt idx="521">
                  <c:v>11.3422300500198</c:v>
                </c:pt>
                <c:pt idx="522">
                  <c:v>11.3440278924834</c:v>
                </c:pt>
                <c:pt idx="523">
                  <c:v>11.3458141650582</c:v>
                </c:pt>
                <c:pt idx="524">
                  <c:v>11.3475889662509</c:v>
                </c:pt>
                <c:pt idx="525">
                  <c:v>11.3493524405062</c:v>
                </c:pt>
                <c:pt idx="526">
                  <c:v>11.3511046945203</c:v>
                </c:pt>
                <c:pt idx="527">
                  <c:v>11.3528458600579</c:v>
                </c:pt>
                <c:pt idx="528">
                  <c:v>11.3545760517707</c:v>
                </c:pt>
                <c:pt idx="529">
                  <c:v>11.3562953881682</c:v>
                </c:pt>
                <c:pt idx="530">
                  <c:v>11.3580039916222</c:v>
                </c:pt>
                <c:pt idx="531">
                  <c:v>11.3597019452533</c:v>
                </c:pt>
                <c:pt idx="532">
                  <c:v>11.3613894003083</c:v>
                </c:pt>
                <c:pt idx="533">
                  <c:v>11.3630664687905</c:v>
                </c:pt>
                <c:pt idx="534">
                  <c:v>11.3647332226235</c:v>
                </c:pt>
                <c:pt idx="535">
                  <c:v>11.366389780395</c:v>
                </c:pt>
                <c:pt idx="536">
                  <c:v>11.3680362642414</c:v>
                </c:pt>
                <c:pt idx="537">
                  <c:v>11.3696727557306</c:v>
                </c:pt>
                <c:pt idx="538">
                  <c:v>11.3712993836052</c:v>
                </c:pt>
                <c:pt idx="539">
                  <c:v>11.3729162134879</c:v>
                </c:pt>
                <c:pt idx="540">
                  <c:v>11.37452338049</c:v>
                </c:pt>
                <c:pt idx="541">
                  <c:v>11.3761209561129</c:v>
                </c:pt>
                <c:pt idx="542">
                  <c:v>11.3777090593744</c:v>
                </c:pt>
                <c:pt idx="543">
                  <c:v>11.3792877448648</c:v>
                </c:pt>
                <c:pt idx="544">
                  <c:v>11.3808571599676</c:v>
                </c:pt>
                <c:pt idx="545">
                  <c:v>11.3824173647621</c:v>
                </c:pt>
                <c:pt idx="546">
                  <c:v>11.383968421586</c:v>
                </c:pt>
                <c:pt idx="547">
                  <c:v>11.385510486556</c:v>
                </c:pt>
                <c:pt idx="548">
                  <c:v>11.3870436045512</c:v>
                </c:pt>
                <c:pt idx="549">
                  <c:v>11.3885678684753</c:v>
                </c:pt>
                <c:pt idx="550">
                  <c:v>11.3900833738243</c:v>
                </c:pt>
                <c:pt idx="551">
                  <c:v>11.3915901954868</c:v>
                </c:pt>
                <c:pt idx="552">
                  <c:v>11.3930884106246</c:v>
                </c:pt>
                <c:pt idx="553">
                  <c:v>11.3945781453983</c:v>
                </c:pt>
                <c:pt idx="554">
                  <c:v>11.3960594116771</c:v>
                </c:pt>
                <c:pt idx="555">
                  <c:v>11.3975323402561</c:v>
                </c:pt>
                <c:pt idx="556">
                  <c:v>11.3989969940451</c:v>
                </c:pt>
                <c:pt idx="557">
                  <c:v>11.400453437916</c:v>
                </c:pt>
                <c:pt idx="558">
                  <c:v>11.4019017624636</c:v>
                </c:pt>
                <c:pt idx="559">
                  <c:v>11.4033420605642</c:v>
                </c:pt>
                <c:pt idx="560">
                  <c:v>11.404774355626</c:v>
                </c:pt>
                <c:pt idx="561">
                  <c:v>11.4061987923709</c:v>
                </c:pt>
                <c:pt idx="562">
                  <c:v>11.4076153980635</c:v>
                </c:pt>
                <c:pt idx="563">
                  <c:v>11.4090242254618</c:v>
                </c:pt>
                <c:pt idx="564">
                  <c:v>11.4104254016706</c:v>
                </c:pt>
                <c:pt idx="565">
                  <c:v>11.4118189348504</c:v>
                </c:pt>
                <c:pt idx="566">
                  <c:v>11.413204956125</c:v>
                </c:pt>
                <c:pt idx="567">
                  <c:v>11.4145835013585</c:v>
                </c:pt>
                <c:pt idx="568">
                  <c:v>11.4159546323055</c:v>
                </c:pt>
                <c:pt idx="569">
                  <c:v>11.4173184123821</c:v>
                </c:pt>
                <c:pt idx="570">
                  <c:v>11.4186749313614</c:v>
                </c:pt>
                <c:pt idx="571">
                  <c:v>11.4200242314441</c:v>
                </c:pt>
                <c:pt idx="572">
                  <c:v>11.4213663810343</c:v>
                </c:pt>
                <c:pt idx="573">
                  <c:v>11.4227014501994</c:v>
                </c:pt>
                <c:pt idx="574">
                  <c:v>11.4240295106699</c:v>
                </c:pt>
                <c:pt idx="575">
                  <c:v>11.4253506107624</c:v>
                </c:pt>
                <c:pt idx="576">
                  <c:v>11.426664800152</c:v>
                </c:pt>
                <c:pt idx="577">
                  <c:v>11.4279721551017</c:v>
                </c:pt>
                <c:pt idx="578">
                  <c:v>11.4292727282333</c:v>
                </c:pt>
                <c:pt idx="579">
                  <c:v>11.4305665735285</c:v>
                </c:pt>
                <c:pt idx="580">
                  <c:v>11.4318537463293</c:v>
                </c:pt>
                <c:pt idx="581">
                  <c:v>11.4331343288692</c:v>
                </c:pt>
                <c:pt idx="582">
                  <c:v>11.4344083538315</c:v>
                </c:pt>
                <c:pt idx="583">
                  <c:v>11.4356759063208</c:v>
                </c:pt>
                <c:pt idx="584">
                  <c:v>11.4369369958362</c:v>
                </c:pt>
                <c:pt idx="585">
                  <c:v>11.4381916842992</c:v>
                </c:pt>
                <c:pt idx="586">
                  <c:v>11.4394400608964</c:v>
                </c:pt>
                <c:pt idx="587">
                  <c:v>11.4406821645153</c:v>
                </c:pt>
                <c:pt idx="588">
                  <c:v>11.4419180351064</c:v>
                </c:pt>
                <c:pt idx="589">
                  <c:v>11.4431477136832</c:v>
                </c:pt>
                <c:pt idx="590">
                  <c:v>11.4443712685234</c:v>
                </c:pt>
                <c:pt idx="591">
                  <c:v>11.4455887692633</c:v>
                </c:pt>
                <c:pt idx="592">
                  <c:v>11.4468002342037</c:v>
                </c:pt>
                <c:pt idx="593">
                  <c:v>11.4480057352552</c:v>
                </c:pt>
                <c:pt idx="594">
                  <c:v>11.4492052926998</c:v>
                </c:pt>
                <c:pt idx="595">
                  <c:v>11.4503989807227</c:v>
                </c:pt>
                <c:pt idx="596">
                  <c:v>11.4515868215873</c:v>
                </c:pt>
                <c:pt idx="597">
                  <c:v>11.4527688917525</c:v>
                </c:pt>
                <c:pt idx="598">
                  <c:v>11.4539452154634</c:v>
                </c:pt>
                <c:pt idx="599">
                  <c:v>11.4551158714504</c:v>
                </c:pt>
                <c:pt idx="600">
                  <c:v>11.4562808590114</c:v>
                </c:pt>
                <c:pt idx="601">
                  <c:v>11.4574402859299</c:v>
                </c:pt>
                <c:pt idx="602">
                  <c:v>11.4585941262676</c:v>
                </c:pt>
                <c:pt idx="603">
                  <c:v>11.4597424357163</c:v>
                </c:pt>
                <c:pt idx="604">
                  <c:v>11.4608852982454</c:v>
                </c:pt>
                <c:pt idx="605">
                  <c:v>11.4620227173108</c:v>
                </c:pt>
                <c:pt idx="606">
                  <c:v>11.4631547515735</c:v>
                </c:pt>
                <c:pt idx="607">
                  <c:v>11.4642814607539</c:v>
                </c:pt>
                <c:pt idx="608">
                  <c:v>11.4654028781314</c:v>
                </c:pt>
                <c:pt idx="609">
                  <c:v>11.4665190101889</c:v>
                </c:pt>
                <c:pt idx="610">
                  <c:v>11.4676299468247</c:v>
                </c:pt>
                <c:pt idx="611">
                  <c:v>11.4687356961412</c:v>
                </c:pt>
                <c:pt idx="612">
                  <c:v>11.469836294515</c:v>
                </c:pt>
                <c:pt idx="613">
                  <c:v>11.4709318069491</c:v>
                </c:pt>
                <c:pt idx="614">
                  <c:v>11.4720222436565</c:v>
                </c:pt>
                <c:pt idx="615">
                  <c:v>11.4731076993195</c:v>
                </c:pt>
                <c:pt idx="616">
                  <c:v>11.4741881296439</c:v>
                </c:pt>
                <c:pt idx="617">
                  <c:v>11.4752636027967</c:v>
                </c:pt>
                <c:pt idx="618">
                  <c:v>11.4763341879963</c:v>
                </c:pt>
                <c:pt idx="619">
                  <c:v>11.4773998989711</c:v>
                </c:pt>
                <c:pt idx="620">
                  <c:v>11.4784607782826</c:v>
                </c:pt>
                <c:pt idx="621">
                  <c:v>11.4795168692638</c:v>
                </c:pt>
                <c:pt idx="622">
                  <c:v>11.4805681590643</c:v>
                </c:pt>
                <c:pt idx="623">
                  <c:v>11.4816147492364</c:v>
                </c:pt>
                <c:pt idx="624">
                  <c:v>11.4826566281951</c:v>
                </c:pt>
                <c:pt idx="625">
                  <c:v>11.4836938419412</c:v>
                </c:pt>
                <c:pt idx="626">
                  <c:v>11.4847264372448</c:v>
                </c:pt>
                <c:pt idx="627">
                  <c:v>11.4857544616443</c:v>
                </c:pt>
                <c:pt idx="628">
                  <c:v>11.486777876784</c:v>
                </c:pt>
                <c:pt idx="629">
                  <c:v>11.4877968179894</c:v>
                </c:pt>
                <c:pt idx="630">
                  <c:v>11.4888112190081</c:v>
                </c:pt>
                <c:pt idx="631">
                  <c:v>11.4898212169016</c:v>
                </c:pt>
                <c:pt idx="632">
                  <c:v>11.4908267462037</c:v>
                </c:pt>
                <c:pt idx="633">
                  <c:v>11.4918278580334</c:v>
                </c:pt>
                <c:pt idx="634">
                  <c:v>11.4928246335664</c:v>
                </c:pt>
                <c:pt idx="635">
                  <c:v>11.4938170669325</c:v>
                </c:pt>
                <c:pt idx="636">
                  <c:v>11.4948052113393</c:v>
                </c:pt>
                <c:pt idx="637">
                  <c:v>11.4957890617707</c:v>
                </c:pt>
                <c:pt idx="638">
                  <c:v>11.4967687021154</c:v>
                </c:pt>
                <c:pt idx="639">
                  <c:v>11.4977440987853</c:v>
                </c:pt>
                <c:pt idx="640">
                  <c:v>11.4987153072304</c:v>
                </c:pt>
                <c:pt idx="641">
                  <c:v>11.4996823836595</c:v>
                </c:pt>
                <c:pt idx="642">
                  <c:v>11.50064532539</c:v>
                </c:pt>
                <c:pt idx="643">
                  <c:v>11.501604159858</c:v>
                </c:pt>
                <c:pt idx="644">
                  <c:v>11.5025589449481</c:v>
                </c:pt>
                <c:pt idx="645">
                  <c:v>11.5035096792565</c:v>
                </c:pt>
                <c:pt idx="646">
                  <c:v>11.5044563916955</c:v>
                </c:pt>
                <c:pt idx="647">
                  <c:v>11.5053991418216</c:v>
                </c:pt>
                <c:pt idx="648">
                  <c:v>11.5063379295079</c:v>
                </c:pt>
                <c:pt idx="649">
                  <c:v>11.5072727851398</c:v>
                </c:pt>
                <c:pt idx="650">
                  <c:v>11.5082037395931</c:v>
                </c:pt>
                <c:pt idx="651">
                  <c:v>11.5091307938206</c:v>
                </c:pt>
                <c:pt idx="652">
                  <c:v>11.5100540099603</c:v>
                </c:pt>
                <c:pt idx="653">
                  <c:v>11.510973420356</c:v>
                </c:pt>
                <c:pt idx="654">
                  <c:v>11.5118889966268</c:v>
                </c:pt>
                <c:pt idx="655">
                  <c:v>11.512800833048</c:v>
                </c:pt>
                <c:pt idx="656">
                  <c:v>11.5137089019565</c:v>
                </c:pt>
                <c:pt idx="657">
                  <c:v>11.5146132680606</c:v>
                </c:pt>
                <c:pt idx="658">
                  <c:v>11.5155139042223</c:v>
                </c:pt>
                <c:pt idx="659">
                  <c:v>11.516410876059</c:v>
                </c:pt>
                <c:pt idx="660">
                  <c:v>11.5173042189389</c:v>
                </c:pt>
                <c:pt idx="661">
                  <c:v>11.5181939066071</c:v>
                </c:pt>
                <c:pt idx="662">
                  <c:v>11.5190800372552</c:v>
                </c:pt>
                <c:pt idx="663">
                  <c:v>11.5199625541623</c:v>
                </c:pt>
                <c:pt idx="664">
                  <c:v>11.5208415253075</c:v>
                </c:pt>
                <c:pt idx="665">
                  <c:v>11.5217169567923</c:v>
                </c:pt>
                <c:pt idx="666">
                  <c:v>11.5225888863186</c:v>
                </c:pt>
                <c:pt idx="667">
                  <c:v>11.5234573206378</c:v>
                </c:pt>
                <c:pt idx="668">
                  <c:v>11.5243222982274</c:v>
                </c:pt>
                <c:pt idx="669">
                  <c:v>11.5251838580458</c:v>
                </c:pt>
                <c:pt idx="670">
                  <c:v>11.5260419762911</c:v>
                </c:pt>
                <c:pt idx="671">
                  <c:v>11.5268966925073</c:v>
                </c:pt>
                <c:pt idx="672">
                  <c:v>11.5277480467183</c:v>
                </c:pt>
                <c:pt idx="673">
                  <c:v>11.5285960476198</c:v>
                </c:pt>
                <c:pt idx="674">
                  <c:v>11.5294407360062</c:v>
                </c:pt>
                <c:pt idx="675">
                  <c:v>11.5302820892882</c:v>
                </c:pt>
                <c:pt idx="676">
                  <c:v>11.5311201488438</c:v>
                </c:pt>
                <c:pt idx="677">
                  <c:v>11.5319549565281</c:v>
                </c:pt>
                <c:pt idx="678">
                  <c:v>11.5327864904411</c:v>
                </c:pt>
                <c:pt idx="679">
                  <c:v>11.5336148251965</c:v>
                </c:pt>
                <c:pt idx="680">
                  <c:v>11.5344399394146</c:v>
                </c:pt>
                <c:pt idx="681">
                  <c:v>11.5352618762978</c:v>
                </c:pt>
                <c:pt idx="682">
                  <c:v>11.5360806471622</c:v>
                </c:pt>
                <c:pt idx="683">
                  <c:v>11.5368962635527</c:v>
                </c:pt>
                <c:pt idx="684">
                  <c:v>11.5377087372431</c:v>
                </c:pt>
                <c:pt idx="685">
                  <c:v>11.5385181127783</c:v>
                </c:pt>
                <c:pt idx="686">
                  <c:v>11.5393244025713</c:v>
                </c:pt>
                <c:pt idx="687">
                  <c:v>11.5401276192638</c:v>
                </c:pt>
                <c:pt idx="688">
                  <c:v>11.5409277757254</c:v>
                </c:pt>
                <c:pt idx="689">
                  <c:v>11.5417249178369</c:v>
                </c:pt>
                <c:pt idx="690">
                  <c:v>11.5425190591044</c:v>
                </c:pt>
                <c:pt idx="691">
                  <c:v>11.5433101474553</c:v>
                </c:pt>
                <c:pt idx="692">
                  <c:v>11.5440983283424</c:v>
                </c:pt>
                <c:pt idx="693">
                  <c:v>11.5448835172447</c:v>
                </c:pt>
                <c:pt idx="694">
                  <c:v>11.5456657283986</c:v>
                </c:pt>
                <c:pt idx="695">
                  <c:v>11.5464450756916</c:v>
                </c:pt>
                <c:pt idx="696">
                  <c:v>11.5472214747467</c:v>
                </c:pt>
                <c:pt idx="697">
                  <c:v>11.5479950070012</c:v>
                </c:pt>
                <c:pt idx="698">
                  <c:v>11.5487656546351</c:v>
                </c:pt>
                <c:pt idx="699">
                  <c:v>11.5495334331961</c:v>
                </c:pt>
                <c:pt idx="700">
                  <c:v>11.5502984253315</c:v>
                </c:pt>
                <c:pt idx="701">
                  <c:v>11.5510605469071</c:v>
                </c:pt>
                <c:pt idx="702">
                  <c:v>11.55181988108</c:v>
                </c:pt>
                <c:pt idx="703">
                  <c:v>11.552576444476</c:v>
                </c:pt>
                <c:pt idx="704">
                  <c:v>11.5533302202748</c:v>
                </c:pt>
                <c:pt idx="705">
                  <c:v>11.5540812591057</c:v>
                </c:pt>
                <c:pt idx="706">
                  <c:v>11.5548295444806</c:v>
                </c:pt>
                <c:pt idx="707">
                  <c:v>11.5555750937484</c:v>
                </c:pt>
                <c:pt idx="708">
                  <c:v>11.5563179583855</c:v>
                </c:pt>
                <c:pt idx="709">
                  <c:v>11.5570581224012</c:v>
                </c:pt>
                <c:pt idx="710">
                  <c:v>11.5577956038158</c:v>
                </c:pt>
                <c:pt idx="711">
                  <c:v>11.5585304549494</c:v>
                </c:pt>
                <c:pt idx="712">
                  <c:v>11.559262626173</c:v>
                </c:pt>
                <c:pt idx="713">
                  <c:v>11.5599922043862</c:v>
                </c:pt>
                <c:pt idx="714">
                  <c:v>11.5607191744238</c:v>
                </c:pt>
                <c:pt idx="715">
                  <c:v>11.5614434868074</c:v>
                </c:pt>
                <c:pt idx="716">
                  <c:v>11.5621652636384</c:v>
                </c:pt>
                <c:pt idx="717">
                  <c:v>11.562884455825</c:v>
                </c:pt>
                <c:pt idx="718">
                  <c:v>11.5636011174708</c:v>
                </c:pt>
                <c:pt idx="719">
                  <c:v>11.5643151995277</c:v>
                </c:pt>
                <c:pt idx="720">
                  <c:v>11.5650267910747</c:v>
                </c:pt>
                <c:pt idx="721">
                  <c:v>11.565735843278</c:v>
                </c:pt>
                <c:pt idx="722">
                  <c:v>11.5664424458838</c:v>
                </c:pt>
                <c:pt idx="723">
                  <c:v>11.5671465155128</c:v>
                </c:pt>
                <c:pt idx="724">
                  <c:v>11.5678481424072</c:v>
                </c:pt>
                <c:pt idx="725">
                  <c:v>11.5685473128635</c:v>
                </c:pt>
                <c:pt idx="726">
                  <c:v>11.5692440481004</c:v>
                </c:pt>
                <c:pt idx="727">
                  <c:v>11.5699383345717</c:v>
                </c:pt>
                <c:pt idx="728">
                  <c:v>11.5706302288049</c:v>
                </c:pt>
                <c:pt idx="729">
                  <c:v>11.5713197175788</c:v>
                </c:pt>
                <c:pt idx="730">
                  <c:v>11.5720067876674</c:v>
                </c:pt>
                <c:pt idx="731">
                  <c:v>11.5726915314581</c:v>
                </c:pt>
                <c:pt idx="732">
                  <c:v>11.573373900954</c:v>
                </c:pt>
                <c:pt idx="733">
                  <c:v>11.5740538832485</c:v>
                </c:pt>
                <c:pt idx="734">
                  <c:v>11.5747315715465</c:v>
                </c:pt>
                <c:pt idx="735">
                  <c:v>11.5754069534299</c:v>
                </c:pt>
                <c:pt idx="736">
                  <c:v>11.5760799809945</c:v>
                </c:pt>
                <c:pt idx="737">
                  <c:v>11.576750748259</c:v>
                </c:pt>
                <c:pt idx="738">
                  <c:v>11.5774192431221</c:v>
                </c:pt>
                <c:pt idx="739">
                  <c:v>11.5780854178326</c:v>
                </c:pt>
                <c:pt idx="740">
                  <c:v>11.5787493672196</c:v>
                </c:pt>
                <c:pt idx="741">
                  <c:v>11.579411043743</c:v>
                </c:pt>
                <c:pt idx="742">
                  <c:v>11.5800705070696</c:v>
                </c:pt>
                <c:pt idx="743">
                  <c:v>11.5807277455704</c:v>
                </c:pt>
                <c:pt idx="744">
                  <c:v>11.5813827835307</c:v>
                </c:pt>
                <c:pt idx="745">
                  <c:v>11.5820356094772</c:v>
                </c:pt>
                <c:pt idx="746">
                  <c:v>11.5826862479594</c:v>
                </c:pt>
                <c:pt idx="747">
                  <c:v>11.5833346876602</c:v>
                </c:pt>
                <c:pt idx="748">
                  <c:v>11.583981025659</c:v>
                </c:pt>
                <c:pt idx="749">
                  <c:v>11.5846251425564</c:v>
                </c:pt>
                <c:pt idx="750">
                  <c:v>11.5852671719889</c:v>
                </c:pt>
                <c:pt idx="751">
                  <c:v>11.5859070306845</c:v>
                </c:pt>
                <c:pt idx="752">
                  <c:v>11.5865448166765</c:v>
                </c:pt>
                <c:pt idx="753">
                  <c:v>11.5871804466339</c:v>
                </c:pt>
                <c:pt idx="754">
                  <c:v>11.5878140190651</c:v>
                </c:pt>
                <c:pt idx="755">
                  <c:v>11.5884454870876</c:v>
                </c:pt>
                <c:pt idx="756">
                  <c:v>11.5890748767235</c:v>
                </c:pt>
                <c:pt idx="757">
                  <c:v>11.5897022142044</c:v>
                </c:pt>
                <c:pt idx="758">
                  <c:v>11.5903274893064</c:v>
                </c:pt>
                <c:pt idx="759">
                  <c:v>11.5909507285208</c:v>
                </c:pt>
                <c:pt idx="760">
                  <c:v>11.5915719585482</c:v>
                </c:pt>
                <c:pt idx="761">
                  <c:v>11.5921911694739</c:v>
                </c:pt>
                <c:pt idx="762">
                  <c:v>11.5928083145066</c:v>
                </c:pt>
                <c:pt idx="763">
                  <c:v>11.593423531281</c:v>
                </c:pt>
                <c:pt idx="764">
                  <c:v>11.5940366624296</c:v>
                </c:pt>
                <c:pt idx="765">
                  <c:v>11.5946479200654</c:v>
                </c:pt>
                <c:pt idx="766">
                  <c:v>11.595257146713</c:v>
                </c:pt>
                <c:pt idx="767">
                  <c:v>11.5958644068767</c:v>
                </c:pt>
                <c:pt idx="768">
                  <c:v>11.5964697654752</c:v>
                </c:pt>
                <c:pt idx="769">
                  <c:v>11.5970732133613</c:v>
                </c:pt>
                <c:pt idx="770">
                  <c:v>11.5976746668051</c:v>
                </c:pt>
                <c:pt idx="771">
                  <c:v>11.5982741910313</c:v>
                </c:pt>
                <c:pt idx="772">
                  <c:v>11.5988718516759</c:v>
                </c:pt>
                <c:pt idx="773">
                  <c:v>11.5994675650054</c:v>
                </c:pt>
                <c:pt idx="774">
                  <c:v>11.6000613968589</c:v>
                </c:pt>
                <c:pt idx="775">
                  <c:v>11.6006534134848</c:v>
                </c:pt>
                <c:pt idx="776">
                  <c:v>11.6012435311456</c:v>
                </c:pt>
                <c:pt idx="777">
                  <c:v>11.6018317409926</c:v>
                </c:pt>
                <c:pt idx="778">
                  <c:v>11.6024181095774</c:v>
                </c:pt>
                <c:pt idx="779">
                  <c:v>11.6030027038576</c:v>
                </c:pt>
                <c:pt idx="780">
                  <c:v>11.6035853643858</c:v>
                </c:pt>
                <c:pt idx="781">
                  <c:v>11.6041663094255</c:v>
                </c:pt>
                <c:pt idx="782">
                  <c:v>11.6047453036208</c:v>
                </c:pt>
                <c:pt idx="783">
                  <c:v>11.605322565841</c:v>
                </c:pt>
                <c:pt idx="784">
                  <c:v>11.6058980881439</c:v>
                </c:pt>
                <c:pt idx="785">
                  <c:v>11.6064717103713</c:v>
                </c:pt>
                <c:pt idx="786">
                  <c:v>11.6070436525994</c:v>
                </c:pt>
                <c:pt idx="787">
                  <c:v>11.6076137545683</c:v>
                </c:pt>
                <c:pt idx="788">
                  <c:v>11.6081820844399</c:v>
                </c:pt>
                <c:pt idx="789">
                  <c:v>11.6087487107757</c:v>
                </c:pt>
                <c:pt idx="790">
                  <c:v>11.6093136259283</c:v>
                </c:pt>
                <c:pt idx="791">
                  <c:v>11.6098767455431</c:v>
                </c:pt>
                <c:pt idx="792">
                  <c:v>11.610438138479</c:v>
                </c:pt>
                <c:pt idx="793">
                  <c:v>11.6109977970872</c:v>
                </c:pt>
                <c:pt idx="794">
                  <c:v>11.6115557907222</c:v>
                </c:pt>
                <c:pt idx="795">
                  <c:v>11.6121120349288</c:v>
                </c:pt>
                <c:pt idx="796">
                  <c:v>11.6126665992586</c:v>
                </c:pt>
                <c:pt idx="797">
                  <c:v>11.613219476358</c:v>
                </c:pt>
                <c:pt idx="798">
                  <c:v>11.6137706588732</c:v>
                </c:pt>
                <c:pt idx="799">
                  <c:v>11.6143202169456</c:v>
                </c:pt>
                <c:pt idx="800">
                  <c:v>11.6148680659221</c:v>
                </c:pt>
                <c:pt idx="801">
                  <c:v>11.6154142761397</c:v>
                </c:pt>
                <c:pt idx="802">
                  <c:v>11.615958840538</c:v>
                </c:pt>
                <c:pt idx="803">
                  <c:v>11.6165018299419</c:v>
                </c:pt>
                <c:pt idx="804">
                  <c:v>11.6170430816172</c:v>
                </c:pt>
                <c:pt idx="805">
                  <c:v>11.6175827443713</c:v>
                </c:pt>
                <c:pt idx="806">
                  <c:v>11.6181208114353</c:v>
                </c:pt>
                <c:pt idx="807">
                  <c:v>11.6186572760396</c:v>
                </c:pt>
                <c:pt idx="808">
                  <c:v>11.6191921314148</c:v>
                </c:pt>
                <c:pt idx="809">
                  <c:v>11.6197253707918</c:v>
                </c:pt>
                <c:pt idx="810">
                  <c:v>11.6202570659635</c:v>
                </c:pt>
                <c:pt idx="811">
                  <c:v>11.6207871317916</c:v>
                </c:pt>
                <c:pt idx="812">
                  <c:v>11.6213157190155</c:v>
                </c:pt>
                <c:pt idx="813">
                  <c:v>11.6218426637434</c:v>
                </c:pt>
                <c:pt idx="814">
                  <c:v>11.6223680381532</c:v>
                </c:pt>
                <c:pt idx="815">
                  <c:v>11.6228919148054</c:v>
                </c:pt>
                <c:pt idx="816">
                  <c:v>11.6234142083712</c:v>
                </c:pt>
                <c:pt idx="817">
                  <c:v>11.6239349916022</c:v>
                </c:pt>
                <c:pt idx="818">
                  <c:v>11.6244542583048</c:v>
                </c:pt>
                <c:pt idx="819">
                  <c:v>11.624972002286</c:v>
                </c:pt>
                <c:pt idx="820">
                  <c:v>11.6254882173529</c:v>
                </c:pt>
                <c:pt idx="821">
                  <c:v>11.6260029769215</c:v>
                </c:pt>
                <c:pt idx="822">
                  <c:v>11.6265161953801</c:v>
                </c:pt>
                <c:pt idx="823">
                  <c:v>11.6270278665377</c:v>
                </c:pt>
                <c:pt idx="824">
                  <c:v>11.6275381439843</c:v>
                </c:pt>
                <c:pt idx="825">
                  <c:v>11.628046942109</c:v>
                </c:pt>
                <c:pt idx="826">
                  <c:v>11.6285541749268</c:v>
                </c:pt>
                <c:pt idx="827">
                  <c:v>11.6290599965913</c:v>
                </c:pt>
                <c:pt idx="828">
                  <c:v>11.6295644014757</c:v>
                </c:pt>
                <c:pt idx="829">
                  <c:v>11.6300673035968</c:v>
                </c:pt>
                <c:pt idx="830">
                  <c:v>11.630568777499</c:v>
                </c:pt>
                <c:pt idx="831">
                  <c:v>11.6310688175564</c:v>
                </c:pt>
                <c:pt idx="832">
                  <c:v>11.6315674181438</c:v>
                </c:pt>
                <c:pt idx="833">
                  <c:v>11.6320645736365</c:v>
                </c:pt>
                <c:pt idx="834">
                  <c:v>11.6325603592298</c:v>
                </c:pt>
                <c:pt idx="835">
                  <c:v>11.6330546886656</c:v>
                </c:pt>
                <c:pt idx="836">
                  <c:v>11.6335476373246</c:v>
                </c:pt>
                <c:pt idx="837">
                  <c:v>11.6340391998609</c:v>
                </c:pt>
                <c:pt idx="838">
                  <c:v>11.6345292897426</c:v>
                </c:pt>
                <c:pt idx="839">
                  <c:v>11.6350180639061</c:v>
                </c:pt>
                <c:pt idx="840">
                  <c:v>11.6355054359125</c:v>
                </c:pt>
                <c:pt idx="841">
                  <c:v>11.6359914818787</c:v>
                </c:pt>
                <c:pt idx="842">
                  <c:v>11.6364761151839</c:v>
                </c:pt>
                <c:pt idx="843">
                  <c:v>11.6369594121287</c:v>
                </c:pt>
                <c:pt idx="844">
                  <c:v>11.6374412859119</c:v>
                </c:pt>
                <c:pt idx="845">
                  <c:v>11.6379218130173</c:v>
                </c:pt>
                <c:pt idx="846">
                  <c:v>11.6384010702917</c:v>
                </c:pt>
                <c:pt idx="847">
                  <c:v>11.6388788889321</c:v>
                </c:pt>
                <c:pt idx="848">
                  <c:v>11.6393555098842</c:v>
                </c:pt>
                <c:pt idx="849">
                  <c:v>11.6398306820723</c:v>
                </c:pt>
                <c:pt idx="850">
                  <c:v>11.6403045647101</c:v>
                </c:pt>
                <c:pt idx="851">
                  <c:v>11.6407771530043</c:v>
                </c:pt>
                <c:pt idx="852">
                  <c:v>11.6412484421619</c:v>
                </c:pt>
                <c:pt idx="853">
                  <c:v>11.6417184273909</c:v>
                </c:pt>
                <c:pt idx="854">
                  <c:v>11.6421871038998</c:v>
                </c:pt>
                <c:pt idx="855">
                  <c:v>11.642654466898</c:v>
                </c:pt>
                <c:pt idx="856">
                  <c:v>11.643120511596</c:v>
                </c:pt>
                <c:pt idx="857">
                  <c:v>11.6435853989998</c:v>
                </c:pt>
                <c:pt idx="858">
                  <c:v>11.6440488758961</c:v>
                </c:pt>
                <c:pt idx="859">
                  <c:v>11.6445111864556</c:v>
                </c:pt>
                <c:pt idx="860">
                  <c:v>11.6449721600979</c:v>
                </c:pt>
                <c:pt idx="861">
                  <c:v>11.6454318752895</c:v>
                </c:pt>
                <c:pt idx="862">
                  <c:v>11.6458903275118</c:v>
                </c:pt>
                <c:pt idx="863">
                  <c:v>11.6463475956732</c:v>
                </c:pt>
                <c:pt idx="864">
                  <c:v>11.6468035920063</c:v>
                </c:pt>
                <c:pt idx="865">
                  <c:v>11.6472583119949</c:v>
                </c:pt>
                <c:pt idx="866">
                  <c:v>11.6477118348131</c:v>
                </c:pt>
                <c:pt idx="867">
                  <c:v>11.6481641562091</c:v>
                </c:pt>
                <c:pt idx="868">
                  <c:v>11.6486151880689</c:v>
                </c:pt>
                <c:pt idx="869">
                  <c:v>11.6490650937809</c:v>
                </c:pt>
                <c:pt idx="870">
                  <c:v>11.6495137012829</c:v>
                </c:pt>
                <c:pt idx="871">
                  <c:v>11.6499610901896</c:v>
                </c:pt>
                <c:pt idx="872">
                  <c:v>11.6504073404632</c:v>
                </c:pt>
                <c:pt idx="873">
                  <c:v>11.6508523638205</c:v>
                </c:pt>
                <c:pt idx="874">
                  <c:v>11.6512962403983</c:v>
                </c:pt>
                <c:pt idx="875">
                  <c:v>11.6517388817422</c:v>
                </c:pt>
                <c:pt idx="876">
                  <c:v>11.6521803681632</c:v>
                </c:pt>
                <c:pt idx="877">
                  <c:v>11.6526206110369</c:v>
                </c:pt>
                <c:pt idx="878">
                  <c:v>11.6530597755738</c:v>
                </c:pt>
                <c:pt idx="879">
                  <c:v>11.6534976884259</c:v>
                </c:pt>
                <c:pt idx="880">
                  <c:v>11.6539345151478</c:v>
                </c:pt>
                <c:pt idx="881">
                  <c:v>11.654370167033</c:v>
                </c:pt>
                <c:pt idx="882">
                  <c:v>11.6548046401017</c:v>
                </c:pt>
                <c:pt idx="883">
                  <c:v>11.6552380155268</c:v>
                </c:pt>
                <c:pt idx="884">
                  <c:v>11.6556701191123</c:v>
                </c:pt>
                <c:pt idx="885">
                  <c:v>11.656101202591</c:v>
                </c:pt>
                <c:pt idx="886">
                  <c:v>11.6565311770896</c:v>
                </c:pt>
                <c:pt idx="887">
                  <c:v>11.6569599533975</c:v>
                </c:pt>
                <c:pt idx="888">
                  <c:v>11.6573876131161</c:v>
                </c:pt>
                <c:pt idx="889">
                  <c:v>11.6578141525266</c:v>
                </c:pt>
                <c:pt idx="890">
                  <c:v>11.6582395679111</c:v>
                </c:pt>
                <c:pt idx="891">
                  <c:v>11.6586639413788</c:v>
                </c:pt>
                <c:pt idx="892">
                  <c:v>11.6590871835555</c:v>
                </c:pt>
                <c:pt idx="893">
                  <c:v>11.6595092907262</c:v>
                </c:pt>
                <c:pt idx="894">
                  <c:v>11.6599302591774</c:v>
                </c:pt>
                <c:pt idx="895">
                  <c:v>11.6603501713565</c:v>
                </c:pt>
                <c:pt idx="896">
                  <c:v>11.6607690238022</c:v>
                </c:pt>
                <c:pt idx="897">
                  <c:v>11.6611868130536</c:v>
                </c:pt>
                <c:pt idx="898">
                  <c:v>11.6616035356508</c:v>
                </c:pt>
                <c:pt idx="899">
                  <c:v>11.6620191016431</c:v>
                </c:pt>
                <c:pt idx="900">
                  <c:v>11.6624335938987</c:v>
                </c:pt>
                <c:pt idx="901">
                  <c:v>11.6628470956172</c:v>
                </c:pt>
                <c:pt idx="902">
                  <c:v>11.663259430112</c:v>
                </c:pt>
                <c:pt idx="903">
                  <c:v>11.663670854145</c:v>
                </c:pt>
                <c:pt idx="904">
                  <c:v>11.6640811040454</c:v>
                </c:pt>
                <c:pt idx="905">
                  <c:v>11.6644903500848</c:v>
                </c:pt>
                <c:pt idx="906">
                  <c:v>11.6648985890574</c:v>
                </c:pt>
                <c:pt idx="907">
                  <c:v>11.6653057306094</c:v>
                </c:pt>
                <c:pt idx="908">
                  <c:v>11.6657118585218</c:v>
                </c:pt>
                <c:pt idx="909">
                  <c:v>11.6661169695912</c:v>
                </c:pt>
                <c:pt idx="910">
                  <c:v>11.6665209732225</c:v>
                </c:pt>
                <c:pt idx="911">
                  <c:v>11.6669240409183</c:v>
                </c:pt>
                <c:pt idx="912">
                  <c:v>11.6673259946116</c:v>
                </c:pt>
                <c:pt idx="913">
                  <c:v>11.6677270061317</c:v>
                </c:pt>
                <c:pt idx="914">
                  <c:v>11.6681270725228</c:v>
                </c:pt>
                <c:pt idx="915">
                  <c:v>11.6685260152349</c:v>
                </c:pt>
                <c:pt idx="916">
                  <c:v>11.6689240065854</c:v>
                </c:pt>
                <c:pt idx="917">
                  <c:v>11.6693209556624</c:v>
                </c:pt>
                <c:pt idx="918">
                  <c:v>11.6697169473103</c:v>
                </c:pt>
                <c:pt idx="919">
                  <c:v>11.6701119785768</c:v>
                </c:pt>
                <c:pt idx="920">
                  <c:v>11.670505958312</c:v>
                </c:pt>
                <c:pt idx="921">
                  <c:v>11.6708989716039</c:v>
                </c:pt>
                <c:pt idx="922">
                  <c:v>11.6712910155028</c:v>
                </c:pt>
                <c:pt idx="923">
                  <c:v>11.67168208706</c:v>
                </c:pt>
                <c:pt idx="924">
                  <c:v>11.6720721833278</c:v>
                </c:pt>
                <c:pt idx="925">
                  <c:v>11.6724612127629</c:v>
                </c:pt>
                <c:pt idx="926">
                  <c:v>11.6728493495331</c:v>
                </c:pt>
                <c:pt idx="927">
                  <c:v>11.6732365909314</c:v>
                </c:pt>
                <c:pt idx="928">
                  <c:v>11.6736228454176</c:v>
                </c:pt>
                <c:pt idx="929">
                  <c:v>11.674008110049</c:v>
                </c:pt>
                <c:pt idx="930">
                  <c:v>11.6743924708753</c:v>
                </c:pt>
                <c:pt idx="931">
                  <c:v>11.6747758361225</c:v>
                </c:pt>
                <c:pt idx="932">
                  <c:v>11.6751582028515</c:v>
                </c:pt>
                <c:pt idx="933">
                  <c:v>11.6755397465777</c:v>
                </c:pt>
                <c:pt idx="934">
                  <c:v>11.6759202862247</c:v>
                </c:pt>
                <c:pt idx="935">
                  <c:v>11.6762999082399</c:v>
                </c:pt>
                <c:pt idx="936">
                  <c:v>11.6766786099234</c:v>
                </c:pt>
                <c:pt idx="937">
                  <c:v>11.6770563885762</c:v>
                </c:pt>
                <c:pt idx="938">
                  <c:v>11.6774332415001</c:v>
                </c:pt>
                <c:pt idx="939">
                  <c:v>11.6778091659981</c:v>
                </c:pt>
                <c:pt idx="940">
                  <c:v>11.678184159374</c:v>
                </c:pt>
                <c:pt idx="941">
                  <c:v>11.6785583087817</c:v>
                </c:pt>
                <c:pt idx="942">
                  <c:v>11.6789314319067</c:v>
                </c:pt>
                <c:pt idx="943">
                  <c:v>11.6793037958346</c:v>
                </c:pt>
                <c:pt idx="944">
                  <c:v>11.6796751280949</c:v>
                </c:pt>
                <c:pt idx="945">
                  <c:v>11.6800456962375</c:v>
                </c:pt>
                <c:pt idx="946">
                  <c:v>11.6804152273321</c:v>
                </c:pt>
                <c:pt idx="947">
                  <c:v>11.6807839893918</c:v>
                </c:pt>
                <c:pt idx="948">
                  <c:v>11.6811517994146</c:v>
                </c:pt>
                <c:pt idx="949">
                  <c:v>11.681518745178</c:v>
                </c:pt>
                <c:pt idx="950">
                  <c:v>11.6818847336864</c:v>
                </c:pt>
                <c:pt idx="951">
                  <c:v>11.6822499434883</c:v>
                </c:pt>
                <c:pt idx="952">
                  <c:v>11.682614281666</c:v>
                </c:pt>
                <c:pt idx="953">
                  <c:v>11.6829776549985</c:v>
                </c:pt>
                <c:pt idx="954">
                  <c:v>11.6833402424937</c:v>
                </c:pt>
                <c:pt idx="955">
                  <c:v>11.6837019510082</c:v>
                </c:pt>
                <c:pt idx="956">
                  <c:v>11.6840627780919</c:v>
                </c:pt>
                <c:pt idx="957">
                  <c:v>11.6844227212958</c:v>
                </c:pt>
                <c:pt idx="958">
                  <c:v>11.6847818693176</c:v>
                </c:pt>
                <c:pt idx="959">
                  <c:v>11.6851401287152</c:v>
                </c:pt>
                <c:pt idx="960">
                  <c:v>11.6854975883388</c:v>
                </c:pt>
                <c:pt idx="961">
                  <c:v>11.6858541545974</c:v>
                </c:pt>
                <c:pt idx="962">
                  <c:v>11.6862099164932</c:v>
                </c:pt>
                <c:pt idx="963">
                  <c:v>11.6865647802874</c:v>
                </c:pt>
                <c:pt idx="964">
                  <c:v>11.6869188351338</c:v>
                </c:pt>
                <c:pt idx="965">
                  <c:v>11.687272078816</c:v>
                </c:pt>
                <c:pt idx="966">
                  <c:v>11.6876245091183</c:v>
                </c:pt>
                <c:pt idx="967">
                  <c:v>11.687976032007</c:v>
                </c:pt>
                <c:pt idx="968">
                  <c:v>11.688326828831</c:v>
                </c:pt>
                <c:pt idx="969">
                  <c:v>11.6886767136659</c:v>
                </c:pt>
                <c:pt idx="970">
                  <c:v>11.6890258681591</c:v>
                </c:pt>
                <c:pt idx="971">
                  <c:v>11.6893741060917</c:v>
                </c:pt>
                <c:pt idx="972">
                  <c:v>11.6897216094086</c:v>
                </c:pt>
                <c:pt idx="973">
                  <c:v>11.6900682838598</c:v>
                </c:pt>
                <c:pt idx="974">
                  <c:v>11.6904141272365</c:v>
                </c:pt>
                <c:pt idx="975">
                  <c:v>11.6907592297405</c:v>
                </c:pt>
                <c:pt idx="976">
                  <c:v>11.6911034044208</c:v>
                </c:pt>
                <c:pt idx="977">
                  <c:v>11.6914469265186</c:v>
                </c:pt>
                <c:pt idx="978">
                  <c:v>11.6917896090114</c:v>
                </c:pt>
                <c:pt idx="979">
                  <c:v>11.6921314496956</c:v>
                </c:pt>
                <c:pt idx="980">
                  <c:v>11.6924725391434</c:v>
                </c:pt>
                <c:pt idx="981">
                  <c:v>11.692812875372</c:v>
                </c:pt>
                <c:pt idx="982">
                  <c:v>11.6931523634797</c:v>
                </c:pt>
                <c:pt idx="983">
                  <c:v>11.6934910942595</c:v>
                </c:pt>
                <c:pt idx="984">
                  <c:v>11.6938290657311</c:v>
                </c:pt>
                <c:pt idx="985">
                  <c:v>11.6941662759147</c:v>
                </c:pt>
                <c:pt idx="986">
                  <c:v>11.6945026296226</c:v>
                </c:pt>
                <c:pt idx="987">
                  <c:v>11.6948383112223</c:v>
                </c:pt>
                <c:pt idx="988">
                  <c:v>11.695173132247</c:v>
                </c:pt>
                <c:pt idx="989">
                  <c:v>11.6955072773541</c:v>
                </c:pt>
                <c:pt idx="990">
                  <c:v>11.6958406512871</c:v>
                </c:pt>
                <c:pt idx="991">
                  <c:v>11.6961732520716</c:v>
                </c:pt>
                <c:pt idx="992">
                  <c:v>11.6965050777337</c:v>
                </c:pt>
                <c:pt idx="993">
                  <c:v>11.6968361263008</c:v>
                </c:pt>
                <c:pt idx="994">
                  <c:v>11.6971664895836</c:v>
                </c:pt>
                <c:pt idx="995">
                  <c:v>11.6974960719715</c:v>
                </c:pt>
                <c:pt idx="996">
                  <c:v>11.6978249654192</c:v>
                </c:pt>
                <c:pt idx="997">
                  <c:v>11.6981529801796</c:v>
                </c:pt>
                <c:pt idx="998">
                  <c:v>11.6984803022051</c:v>
                </c:pt>
                <c:pt idx="999">
                  <c:v>11.6988070238788</c:v>
                </c:pt>
              </c:numCache>
            </c:numRef>
          </c:xVal>
          <c:yVal>
            <c:numRef>
              <c:f>04_Titration!$D$5:$D$1004</c:f>
              <c:numCache>
                <c:formatCode>0.000</c:formatCode>
                <c:ptCount val="1000"/>
                <c:pt idx="0">
                  <c:v>12.3266297404902</c:v>
                </c:pt>
                <c:pt idx="1">
                  <c:v>12.3266297404902</c:v>
                </c:pt>
                <c:pt idx="2">
                  <c:v>12.3266297404902</c:v>
                </c:pt>
                <c:pt idx="3">
                  <c:v>12.3266297404902</c:v>
                </c:pt>
                <c:pt idx="4">
                  <c:v>12.3266297404902</c:v>
                </c:pt>
                <c:pt idx="5">
                  <c:v>12.3266297404902</c:v>
                </c:pt>
                <c:pt idx="6">
                  <c:v>12.3266297404902</c:v>
                </c:pt>
                <c:pt idx="7">
                  <c:v>12.3266297404902</c:v>
                </c:pt>
                <c:pt idx="8">
                  <c:v>12.3266297404902</c:v>
                </c:pt>
                <c:pt idx="9">
                  <c:v>12.3266297404902</c:v>
                </c:pt>
                <c:pt idx="10">
                  <c:v>12.3266297404902</c:v>
                </c:pt>
                <c:pt idx="11">
                  <c:v>12.3266297404902</c:v>
                </c:pt>
                <c:pt idx="12">
                  <c:v>12.3266297404902</c:v>
                </c:pt>
                <c:pt idx="13">
                  <c:v>12.3266297404902</c:v>
                </c:pt>
                <c:pt idx="14">
                  <c:v>12.3266297404902</c:v>
                </c:pt>
                <c:pt idx="15">
                  <c:v>12.3266297404902</c:v>
                </c:pt>
                <c:pt idx="16">
                  <c:v>12.3266297404902</c:v>
                </c:pt>
                <c:pt idx="17">
                  <c:v>12.3266297404902</c:v>
                </c:pt>
                <c:pt idx="18">
                  <c:v>12.3266297404902</c:v>
                </c:pt>
                <c:pt idx="19">
                  <c:v>12.3266297404902</c:v>
                </c:pt>
                <c:pt idx="20">
                  <c:v>12.3266297404902</c:v>
                </c:pt>
                <c:pt idx="21">
                  <c:v>12.3266297404902</c:v>
                </c:pt>
                <c:pt idx="22">
                  <c:v>12.3266297404902</c:v>
                </c:pt>
                <c:pt idx="23">
                  <c:v>12.3266297404902</c:v>
                </c:pt>
                <c:pt idx="24">
                  <c:v>12.3266297404902</c:v>
                </c:pt>
                <c:pt idx="25">
                  <c:v>12.3266297404902</c:v>
                </c:pt>
                <c:pt idx="26">
                  <c:v>12.3266297404902</c:v>
                </c:pt>
                <c:pt idx="27">
                  <c:v>12.3266297404902</c:v>
                </c:pt>
                <c:pt idx="28">
                  <c:v>12.3266297404902</c:v>
                </c:pt>
                <c:pt idx="29">
                  <c:v>12.3266297404902</c:v>
                </c:pt>
                <c:pt idx="30">
                  <c:v>12.3266297404902</c:v>
                </c:pt>
                <c:pt idx="31">
                  <c:v>12.3266297404902</c:v>
                </c:pt>
                <c:pt idx="32">
                  <c:v>12.3266297404902</c:v>
                </c:pt>
                <c:pt idx="33">
                  <c:v>12.3266297404902</c:v>
                </c:pt>
                <c:pt idx="34">
                  <c:v>12.3266297404902</c:v>
                </c:pt>
                <c:pt idx="35">
                  <c:v>12.3266297404902</c:v>
                </c:pt>
                <c:pt idx="36">
                  <c:v>12.3266297404902</c:v>
                </c:pt>
                <c:pt idx="37">
                  <c:v>12.3266297404902</c:v>
                </c:pt>
                <c:pt idx="38">
                  <c:v>12.3266297404902</c:v>
                </c:pt>
                <c:pt idx="39">
                  <c:v>12.3266297404902</c:v>
                </c:pt>
                <c:pt idx="40">
                  <c:v>12.3266297404902</c:v>
                </c:pt>
                <c:pt idx="41">
                  <c:v>12.3266297404902</c:v>
                </c:pt>
                <c:pt idx="42">
                  <c:v>12.3266297404902</c:v>
                </c:pt>
                <c:pt idx="43">
                  <c:v>12.3266297404902</c:v>
                </c:pt>
                <c:pt idx="44">
                  <c:v>12.3266297404902</c:v>
                </c:pt>
                <c:pt idx="45">
                  <c:v>12.3266297404902</c:v>
                </c:pt>
                <c:pt idx="46">
                  <c:v>12.3266297404902</c:v>
                </c:pt>
                <c:pt idx="47">
                  <c:v>12.3266297404902</c:v>
                </c:pt>
                <c:pt idx="48">
                  <c:v>12.3266297404902</c:v>
                </c:pt>
                <c:pt idx="49">
                  <c:v>12.3266297404902</c:v>
                </c:pt>
                <c:pt idx="50">
                  <c:v>12.3266297404902</c:v>
                </c:pt>
                <c:pt idx="51">
                  <c:v>12.3266297404902</c:v>
                </c:pt>
                <c:pt idx="52">
                  <c:v>12.3266297404902</c:v>
                </c:pt>
                <c:pt idx="53">
                  <c:v>12.3266297404902</c:v>
                </c:pt>
                <c:pt idx="54">
                  <c:v>12.3266297404902</c:v>
                </c:pt>
                <c:pt idx="55">
                  <c:v>12.3266297404902</c:v>
                </c:pt>
                <c:pt idx="56">
                  <c:v>12.3266297404902</c:v>
                </c:pt>
                <c:pt idx="57">
                  <c:v>12.3266297404902</c:v>
                </c:pt>
                <c:pt idx="58">
                  <c:v>12.3266297404902</c:v>
                </c:pt>
                <c:pt idx="59">
                  <c:v>12.3266297404902</c:v>
                </c:pt>
                <c:pt idx="60">
                  <c:v>12.3266297404902</c:v>
                </c:pt>
                <c:pt idx="61">
                  <c:v>12.3266297404902</c:v>
                </c:pt>
                <c:pt idx="62">
                  <c:v>12.3266297404902</c:v>
                </c:pt>
                <c:pt idx="63">
                  <c:v>12.3266297404902</c:v>
                </c:pt>
                <c:pt idx="64">
                  <c:v>12.3266297404902</c:v>
                </c:pt>
                <c:pt idx="65">
                  <c:v>12.3266297404902</c:v>
                </c:pt>
                <c:pt idx="66">
                  <c:v>12.3266297404902</c:v>
                </c:pt>
                <c:pt idx="67">
                  <c:v>12.3266297404902</c:v>
                </c:pt>
                <c:pt idx="68">
                  <c:v>12.3266297404902</c:v>
                </c:pt>
                <c:pt idx="69">
                  <c:v>12.3266297404902</c:v>
                </c:pt>
                <c:pt idx="70">
                  <c:v>12.3266297404902</c:v>
                </c:pt>
                <c:pt idx="71">
                  <c:v>12.3266297404902</c:v>
                </c:pt>
                <c:pt idx="72">
                  <c:v>12.3266297404902</c:v>
                </c:pt>
                <c:pt idx="73">
                  <c:v>12.3266297404902</c:v>
                </c:pt>
                <c:pt idx="74">
                  <c:v>12.3266297404902</c:v>
                </c:pt>
                <c:pt idx="75">
                  <c:v>12.3266297404902</c:v>
                </c:pt>
                <c:pt idx="76">
                  <c:v>12.3266297404902</c:v>
                </c:pt>
                <c:pt idx="77">
                  <c:v>12.3266297404902</c:v>
                </c:pt>
                <c:pt idx="78">
                  <c:v>12.3266297404902</c:v>
                </c:pt>
                <c:pt idx="79">
                  <c:v>12.3266297404902</c:v>
                </c:pt>
                <c:pt idx="80">
                  <c:v>12.3266297404902</c:v>
                </c:pt>
                <c:pt idx="81">
                  <c:v>12.3266297404902</c:v>
                </c:pt>
                <c:pt idx="82">
                  <c:v>12.3266297404902</c:v>
                </c:pt>
                <c:pt idx="83">
                  <c:v>12.3266297404902</c:v>
                </c:pt>
                <c:pt idx="84">
                  <c:v>12.3266297404902</c:v>
                </c:pt>
                <c:pt idx="85">
                  <c:v>12.3266297404902</c:v>
                </c:pt>
                <c:pt idx="86">
                  <c:v>12.3266297404902</c:v>
                </c:pt>
                <c:pt idx="87">
                  <c:v>12.3266297404902</c:v>
                </c:pt>
                <c:pt idx="88">
                  <c:v>12.3266297404902</c:v>
                </c:pt>
                <c:pt idx="89">
                  <c:v>12.3266297404902</c:v>
                </c:pt>
                <c:pt idx="90">
                  <c:v>12.3266297404902</c:v>
                </c:pt>
                <c:pt idx="91">
                  <c:v>12.3266297404902</c:v>
                </c:pt>
                <c:pt idx="92">
                  <c:v>12.3266297404902</c:v>
                </c:pt>
                <c:pt idx="93">
                  <c:v>12.3266297404902</c:v>
                </c:pt>
                <c:pt idx="94">
                  <c:v>12.3266297404902</c:v>
                </c:pt>
                <c:pt idx="95">
                  <c:v>12.3266297404902</c:v>
                </c:pt>
                <c:pt idx="96">
                  <c:v>12.3266297404902</c:v>
                </c:pt>
                <c:pt idx="97">
                  <c:v>12.3266297404902</c:v>
                </c:pt>
                <c:pt idx="98">
                  <c:v>12.3266297404902</c:v>
                </c:pt>
                <c:pt idx="99">
                  <c:v>12.3266297404902</c:v>
                </c:pt>
                <c:pt idx="100">
                  <c:v>12.3266297404902</c:v>
                </c:pt>
                <c:pt idx="101">
                  <c:v>12.3266297404902</c:v>
                </c:pt>
                <c:pt idx="102">
                  <c:v>12.3266297404902</c:v>
                </c:pt>
                <c:pt idx="103">
                  <c:v>12.3266297404902</c:v>
                </c:pt>
                <c:pt idx="104">
                  <c:v>12.3266297404902</c:v>
                </c:pt>
                <c:pt idx="105">
                  <c:v>12.3266297404902</c:v>
                </c:pt>
                <c:pt idx="106">
                  <c:v>12.3266297404902</c:v>
                </c:pt>
                <c:pt idx="107">
                  <c:v>12.3266297404902</c:v>
                </c:pt>
                <c:pt idx="108">
                  <c:v>12.3266297404902</c:v>
                </c:pt>
                <c:pt idx="109">
                  <c:v>12.3266297404902</c:v>
                </c:pt>
                <c:pt idx="110">
                  <c:v>12.3266297404902</c:v>
                </c:pt>
                <c:pt idx="111">
                  <c:v>12.3266297404902</c:v>
                </c:pt>
                <c:pt idx="112">
                  <c:v>12.3266297404902</c:v>
                </c:pt>
                <c:pt idx="113">
                  <c:v>12.3266297404902</c:v>
                </c:pt>
                <c:pt idx="114">
                  <c:v>12.3266297404902</c:v>
                </c:pt>
                <c:pt idx="115">
                  <c:v>12.3266297404902</c:v>
                </c:pt>
                <c:pt idx="116">
                  <c:v>12.3266297404902</c:v>
                </c:pt>
                <c:pt idx="117">
                  <c:v>12.3266297404902</c:v>
                </c:pt>
                <c:pt idx="118">
                  <c:v>12.3266297404902</c:v>
                </c:pt>
                <c:pt idx="119">
                  <c:v>12.3266297404902</c:v>
                </c:pt>
                <c:pt idx="120">
                  <c:v>12.3266297404902</c:v>
                </c:pt>
                <c:pt idx="121">
                  <c:v>12.3266297404902</c:v>
                </c:pt>
                <c:pt idx="122">
                  <c:v>12.3266297404902</c:v>
                </c:pt>
                <c:pt idx="123">
                  <c:v>12.3266297404902</c:v>
                </c:pt>
                <c:pt idx="124">
                  <c:v>12.3266297404902</c:v>
                </c:pt>
                <c:pt idx="125">
                  <c:v>12.3266297404902</c:v>
                </c:pt>
                <c:pt idx="126">
                  <c:v>12.3266297404902</c:v>
                </c:pt>
                <c:pt idx="127">
                  <c:v>12.3266297404902</c:v>
                </c:pt>
                <c:pt idx="128">
                  <c:v>12.3266297404902</c:v>
                </c:pt>
                <c:pt idx="129">
                  <c:v>12.3266297404902</c:v>
                </c:pt>
                <c:pt idx="130">
                  <c:v>12.3266297404902</c:v>
                </c:pt>
                <c:pt idx="131">
                  <c:v>12.3266297404902</c:v>
                </c:pt>
                <c:pt idx="132">
                  <c:v>12.3266297404902</c:v>
                </c:pt>
                <c:pt idx="133">
                  <c:v>12.3266297404902</c:v>
                </c:pt>
                <c:pt idx="134">
                  <c:v>12.3266297404902</c:v>
                </c:pt>
                <c:pt idx="135">
                  <c:v>12.3266297404902</c:v>
                </c:pt>
                <c:pt idx="136">
                  <c:v>12.3266297404902</c:v>
                </c:pt>
                <c:pt idx="137">
                  <c:v>12.3266297404902</c:v>
                </c:pt>
                <c:pt idx="138">
                  <c:v>12.3266297404902</c:v>
                </c:pt>
                <c:pt idx="139">
                  <c:v>12.3266297404902</c:v>
                </c:pt>
                <c:pt idx="140">
                  <c:v>12.3266297404902</c:v>
                </c:pt>
                <c:pt idx="141">
                  <c:v>12.3266297404902</c:v>
                </c:pt>
                <c:pt idx="142">
                  <c:v>12.3266297404902</c:v>
                </c:pt>
                <c:pt idx="143">
                  <c:v>12.3266297404902</c:v>
                </c:pt>
                <c:pt idx="144">
                  <c:v>12.3266297404902</c:v>
                </c:pt>
                <c:pt idx="145">
                  <c:v>12.3266297404902</c:v>
                </c:pt>
                <c:pt idx="146">
                  <c:v>12.3266297404902</c:v>
                </c:pt>
                <c:pt idx="147">
                  <c:v>12.3266297404902</c:v>
                </c:pt>
                <c:pt idx="148">
                  <c:v>12.3266297404902</c:v>
                </c:pt>
                <c:pt idx="149">
                  <c:v>12.3266297404902</c:v>
                </c:pt>
                <c:pt idx="150">
                  <c:v>12.3266297404902</c:v>
                </c:pt>
                <c:pt idx="151">
                  <c:v>12.3266297404902</c:v>
                </c:pt>
                <c:pt idx="152">
                  <c:v>12.3266297404902</c:v>
                </c:pt>
                <c:pt idx="153">
                  <c:v>12.3266297404902</c:v>
                </c:pt>
                <c:pt idx="154">
                  <c:v>12.3266297404902</c:v>
                </c:pt>
                <c:pt idx="155">
                  <c:v>12.3266297404902</c:v>
                </c:pt>
                <c:pt idx="156">
                  <c:v>12.3266297404902</c:v>
                </c:pt>
                <c:pt idx="157">
                  <c:v>12.3266297404902</c:v>
                </c:pt>
                <c:pt idx="158">
                  <c:v>12.3266297404902</c:v>
                </c:pt>
                <c:pt idx="159">
                  <c:v>12.3266297404902</c:v>
                </c:pt>
                <c:pt idx="160">
                  <c:v>12.3266297404902</c:v>
                </c:pt>
                <c:pt idx="161">
                  <c:v>12.3266297404902</c:v>
                </c:pt>
                <c:pt idx="162">
                  <c:v>12.3266297404902</c:v>
                </c:pt>
                <c:pt idx="163">
                  <c:v>12.3266297404902</c:v>
                </c:pt>
                <c:pt idx="164">
                  <c:v>12.3266297404902</c:v>
                </c:pt>
                <c:pt idx="165">
                  <c:v>12.3266297404902</c:v>
                </c:pt>
                <c:pt idx="166">
                  <c:v>12.3266297404902</c:v>
                </c:pt>
                <c:pt idx="167">
                  <c:v>12.3266297404902</c:v>
                </c:pt>
                <c:pt idx="168">
                  <c:v>12.3266297404902</c:v>
                </c:pt>
                <c:pt idx="169">
                  <c:v>12.3266297404902</c:v>
                </c:pt>
                <c:pt idx="170">
                  <c:v>12.3266297404902</c:v>
                </c:pt>
                <c:pt idx="171">
                  <c:v>12.3266297404902</c:v>
                </c:pt>
                <c:pt idx="172">
                  <c:v>12.3266297404902</c:v>
                </c:pt>
                <c:pt idx="173">
                  <c:v>12.3266297404902</c:v>
                </c:pt>
                <c:pt idx="174">
                  <c:v>12.3266297404902</c:v>
                </c:pt>
                <c:pt idx="175">
                  <c:v>12.3266297404902</c:v>
                </c:pt>
                <c:pt idx="176">
                  <c:v>12.3266297404902</c:v>
                </c:pt>
                <c:pt idx="177">
                  <c:v>12.3266297404902</c:v>
                </c:pt>
                <c:pt idx="178">
                  <c:v>12.3266297404902</c:v>
                </c:pt>
                <c:pt idx="179">
                  <c:v>12.3266297404902</c:v>
                </c:pt>
                <c:pt idx="180">
                  <c:v>12.3266297404902</c:v>
                </c:pt>
                <c:pt idx="181">
                  <c:v>12.3266297404902</c:v>
                </c:pt>
                <c:pt idx="182">
                  <c:v>12.3266297404902</c:v>
                </c:pt>
                <c:pt idx="183">
                  <c:v>12.3266297404902</c:v>
                </c:pt>
                <c:pt idx="184">
                  <c:v>12.3266297404902</c:v>
                </c:pt>
                <c:pt idx="185">
                  <c:v>12.3266297404902</c:v>
                </c:pt>
                <c:pt idx="186">
                  <c:v>12.3266297404902</c:v>
                </c:pt>
                <c:pt idx="187">
                  <c:v>12.3266297404902</c:v>
                </c:pt>
                <c:pt idx="188">
                  <c:v>12.3266297404902</c:v>
                </c:pt>
                <c:pt idx="189">
                  <c:v>12.3266297404902</c:v>
                </c:pt>
                <c:pt idx="190">
                  <c:v>12.3266297404902</c:v>
                </c:pt>
                <c:pt idx="191">
                  <c:v>12.3266297404902</c:v>
                </c:pt>
                <c:pt idx="192">
                  <c:v>12.3266297404902</c:v>
                </c:pt>
                <c:pt idx="193">
                  <c:v>12.3266297404902</c:v>
                </c:pt>
                <c:pt idx="194">
                  <c:v>12.3266297404902</c:v>
                </c:pt>
                <c:pt idx="195">
                  <c:v>12.3266297404902</c:v>
                </c:pt>
                <c:pt idx="196">
                  <c:v>12.3266297404902</c:v>
                </c:pt>
                <c:pt idx="197">
                  <c:v>12.3266297404902</c:v>
                </c:pt>
                <c:pt idx="198">
                  <c:v>12.3266297404902</c:v>
                </c:pt>
                <c:pt idx="199">
                  <c:v>12.3266297404902</c:v>
                </c:pt>
                <c:pt idx="200">
                  <c:v>12.3266297404902</c:v>
                </c:pt>
                <c:pt idx="201">
                  <c:v>12.3266297404902</c:v>
                </c:pt>
                <c:pt idx="202">
                  <c:v>12.3266297404902</c:v>
                </c:pt>
                <c:pt idx="203">
                  <c:v>12.3266297404902</c:v>
                </c:pt>
                <c:pt idx="204">
                  <c:v>12.3266297404902</c:v>
                </c:pt>
                <c:pt idx="205">
                  <c:v>12.3266297404902</c:v>
                </c:pt>
                <c:pt idx="206">
                  <c:v>12.3266297404902</c:v>
                </c:pt>
                <c:pt idx="207">
                  <c:v>12.3266297404902</c:v>
                </c:pt>
                <c:pt idx="208">
                  <c:v>12.3266297404902</c:v>
                </c:pt>
                <c:pt idx="209">
                  <c:v>12.3266297404902</c:v>
                </c:pt>
                <c:pt idx="210">
                  <c:v>12.3266297404902</c:v>
                </c:pt>
                <c:pt idx="211">
                  <c:v>12.3266297404902</c:v>
                </c:pt>
                <c:pt idx="212">
                  <c:v>12.3266297404902</c:v>
                </c:pt>
                <c:pt idx="213">
                  <c:v>12.3266297404902</c:v>
                </c:pt>
                <c:pt idx="214">
                  <c:v>12.3266297404902</c:v>
                </c:pt>
                <c:pt idx="215">
                  <c:v>12.3266297404902</c:v>
                </c:pt>
                <c:pt idx="216">
                  <c:v>12.3266297404902</c:v>
                </c:pt>
                <c:pt idx="217">
                  <c:v>12.3266297404902</c:v>
                </c:pt>
                <c:pt idx="218">
                  <c:v>12.3266297404902</c:v>
                </c:pt>
                <c:pt idx="219">
                  <c:v>12.3266297404902</c:v>
                </c:pt>
                <c:pt idx="220">
                  <c:v>12.3266297404902</c:v>
                </c:pt>
                <c:pt idx="221">
                  <c:v>12.3266297404902</c:v>
                </c:pt>
                <c:pt idx="222">
                  <c:v>12.3266297404902</c:v>
                </c:pt>
                <c:pt idx="223">
                  <c:v>12.3266297404902</c:v>
                </c:pt>
                <c:pt idx="224">
                  <c:v>12.3266297404902</c:v>
                </c:pt>
                <c:pt idx="225">
                  <c:v>12.3266297404902</c:v>
                </c:pt>
                <c:pt idx="226">
                  <c:v>12.3266297404902</c:v>
                </c:pt>
                <c:pt idx="227">
                  <c:v>12.3266297404902</c:v>
                </c:pt>
                <c:pt idx="228">
                  <c:v>12.3266297404902</c:v>
                </c:pt>
                <c:pt idx="229">
                  <c:v>12.3266297404902</c:v>
                </c:pt>
                <c:pt idx="230">
                  <c:v>12.3266297404902</c:v>
                </c:pt>
                <c:pt idx="231">
                  <c:v>12.3266297404902</c:v>
                </c:pt>
                <c:pt idx="232">
                  <c:v>12.3266297404902</c:v>
                </c:pt>
                <c:pt idx="233">
                  <c:v>12.3266297404902</c:v>
                </c:pt>
                <c:pt idx="234">
                  <c:v>12.3266297404902</c:v>
                </c:pt>
                <c:pt idx="235">
                  <c:v>12.3266297404902</c:v>
                </c:pt>
                <c:pt idx="236">
                  <c:v>12.3266297404902</c:v>
                </c:pt>
                <c:pt idx="237">
                  <c:v>12.3266297404902</c:v>
                </c:pt>
                <c:pt idx="238">
                  <c:v>12.3266297404902</c:v>
                </c:pt>
                <c:pt idx="239">
                  <c:v>12.3266297404902</c:v>
                </c:pt>
                <c:pt idx="240">
                  <c:v>12.3266297404902</c:v>
                </c:pt>
                <c:pt idx="241">
                  <c:v>12.3266297404902</c:v>
                </c:pt>
                <c:pt idx="242">
                  <c:v>12.3266297404902</c:v>
                </c:pt>
                <c:pt idx="243">
                  <c:v>12.3266297404902</c:v>
                </c:pt>
                <c:pt idx="244">
                  <c:v>12.3266297404902</c:v>
                </c:pt>
                <c:pt idx="245">
                  <c:v>12.3266297404902</c:v>
                </c:pt>
                <c:pt idx="246">
                  <c:v>12.3266297404902</c:v>
                </c:pt>
                <c:pt idx="247">
                  <c:v>12.3266297404902</c:v>
                </c:pt>
                <c:pt idx="248">
                  <c:v>12.3266297404902</c:v>
                </c:pt>
                <c:pt idx="249">
                  <c:v>12.3266297404902</c:v>
                </c:pt>
                <c:pt idx="250">
                  <c:v>12.3266297404902</c:v>
                </c:pt>
                <c:pt idx="251">
                  <c:v>12.3266297404902</c:v>
                </c:pt>
                <c:pt idx="252">
                  <c:v>12.3266297404902</c:v>
                </c:pt>
                <c:pt idx="253">
                  <c:v>12.3266297404902</c:v>
                </c:pt>
                <c:pt idx="254">
                  <c:v>12.3266297404902</c:v>
                </c:pt>
                <c:pt idx="255">
                  <c:v>12.3266297404902</c:v>
                </c:pt>
                <c:pt idx="256">
                  <c:v>12.3266297404902</c:v>
                </c:pt>
                <c:pt idx="257">
                  <c:v>12.3266297404902</c:v>
                </c:pt>
                <c:pt idx="258">
                  <c:v>12.3266297404902</c:v>
                </c:pt>
                <c:pt idx="259">
                  <c:v>12.3266297404902</c:v>
                </c:pt>
                <c:pt idx="260">
                  <c:v>12.3266297404902</c:v>
                </c:pt>
                <c:pt idx="261">
                  <c:v>12.3266297404902</c:v>
                </c:pt>
                <c:pt idx="262">
                  <c:v>12.3266297404902</c:v>
                </c:pt>
                <c:pt idx="263">
                  <c:v>12.3266297404902</c:v>
                </c:pt>
                <c:pt idx="264">
                  <c:v>12.3266297404902</c:v>
                </c:pt>
                <c:pt idx="265">
                  <c:v>12.3266297404902</c:v>
                </c:pt>
                <c:pt idx="266">
                  <c:v>12.3266297404902</c:v>
                </c:pt>
                <c:pt idx="267">
                  <c:v>12.3266297404902</c:v>
                </c:pt>
                <c:pt idx="268">
                  <c:v>12.3266297404902</c:v>
                </c:pt>
                <c:pt idx="269">
                  <c:v>12.3266297404902</c:v>
                </c:pt>
                <c:pt idx="270">
                  <c:v>12.3266297404902</c:v>
                </c:pt>
                <c:pt idx="271">
                  <c:v>12.3266297404902</c:v>
                </c:pt>
                <c:pt idx="272">
                  <c:v>12.3266297404902</c:v>
                </c:pt>
                <c:pt idx="273">
                  <c:v>12.3266297404902</c:v>
                </c:pt>
                <c:pt idx="274">
                  <c:v>12.3266297404902</c:v>
                </c:pt>
                <c:pt idx="275">
                  <c:v>12.3266297404902</c:v>
                </c:pt>
                <c:pt idx="276">
                  <c:v>12.3266297404902</c:v>
                </c:pt>
                <c:pt idx="277">
                  <c:v>12.3266297404902</c:v>
                </c:pt>
                <c:pt idx="278">
                  <c:v>12.3266297404902</c:v>
                </c:pt>
                <c:pt idx="279">
                  <c:v>12.3266297404902</c:v>
                </c:pt>
                <c:pt idx="280">
                  <c:v>12.3266297404902</c:v>
                </c:pt>
                <c:pt idx="281">
                  <c:v>12.3266297404902</c:v>
                </c:pt>
                <c:pt idx="282">
                  <c:v>12.3266297404902</c:v>
                </c:pt>
                <c:pt idx="283">
                  <c:v>12.3266297404902</c:v>
                </c:pt>
                <c:pt idx="284">
                  <c:v>12.3266297404902</c:v>
                </c:pt>
                <c:pt idx="285">
                  <c:v>12.3266297404902</c:v>
                </c:pt>
                <c:pt idx="286">
                  <c:v>12.3266297404902</c:v>
                </c:pt>
                <c:pt idx="287">
                  <c:v>12.3266297404902</c:v>
                </c:pt>
                <c:pt idx="288">
                  <c:v>12.3266297404902</c:v>
                </c:pt>
                <c:pt idx="289">
                  <c:v>12.3266297404902</c:v>
                </c:pt>
                <c:pt idx="290">
                  <c:v>12.3266297404902</c:v>
                </c:pt>
                <c:pt idx="291">
                  <c:v>12.3266297404902</c:v>
                </c:pt>
                <c:pt idx="292">
                  <c:v>12.3266297404902</c:v>
                </c:pt>
                <c:pt idx="293">
                  <c:v>12.3266297404902</c:v>
                </c:pt>
                <c:pt idx="294">
                  <c:v>12.3266297404902</c:v>
                </c:pt>
                <c:pt idx="295">
                  <c:v>12.3266297404902</c:v>
                </c:pt>
                <c:pt idx="296">
                  <c:v>12.3266297404902</c:v>
                </c:pt>
                <c:pt idx="297">
                  <c:v>12.3266297404902</c:v>
                </c:pt>
                <c:pt idx="298">
                  <c:v>12.3266297404902</c:v>
                </c:pt>
                <c:pt idx="299">
                  <c:v>12.3266297404902</c:v>
                </c:pt>
                <c:pt idx="300">
                  <c:v>12.3266297404902</c:v>
                </c:pt>
                <c:pt idx="301">
                  <c:v>12.3266297404902</c:v>
                </c:pt>
                <c:pt idx="302">
                  <c:v>12.3266297404902</c:v>
                </c:pt>
                <c:pt idx="303">
                  <c:v>12.3266297404902</c:v>
                </c:pt>
                <c:pt idx="304">
                  <c:v>12.3266297404902</c:v>
                </c:pt>
                <c:pt idx="305">
                  <c:v>12.3266297404902</c:v>
                </c:pt>
                <c:pt idx="306">
                  <c:v>12.3266297404902</c:v>
                </c:pt>
                <c:pt idx="307">
                  <c:v>12.3266297404902</c:v>
                </c:pt>
                <c:pt idx="308">
                  <c:v>12.3266297404902</c:v>
                </c:pt>
                <c:pt idx="309">
                  <c:v>12.3266297404902</c:v>
                </c:pt>
                <c:pt idx="310">
                  <c:v>12.3266297404902</c:v>
                </c:pt>
                <c:pt idx="311">
                  <c:v>12.3266297404902</c:v>
                </c:pt>
                <c:pt idx="312">
                  <c:v>12.3266297404902</c:v>
                </c:pt>
                <c:pt idx="313">
                  <c:v>12.3266297404902</c:v>
                </c:pt>
                <c:pt idx="314">
                  <c:v>12.3266297404902</c:v>
                </c:pt>
                <c:pt idx="315">
                  <c:v>12.3266297404902</c:v>
                </c:pt>
                <c:pt idx="316">
                  <c:v>12.3266297404902</c:v>
                </c:pt>
                <c:pt idx="317">
                  <c:v>12.3266297404902</c:v>
                </c:pt>
                <c:pt idx="318">
                  <c:v>12.3266297404902</c:v>
                </c:pt>
                <c:pt idx="319">
                  <c:v>12.3266297404902</c:v>
                </c:pt>
                <c:pt idx="320">
                  <c:v>12.3266297404902</c:v>
                </c:pt>
                <c:pt idx="321">
                  <c:v>12.3266297404902</c:v>
                </c:pt>
                <c:pt idx="322">
                  <c:v>12.3266297404902</c:v>
                </c:pt>
                <c:pt idx="323">
                  <c:v>12.3266297404902</c:v>
                </c:pt>
                <c:pt idx="324">
                  <c:v>12.3266297404902</c:v>
                </c:pt>
                <c:pt idx="325">
                  <c:v>12.3266297404902</c:v>
                </c:pt>
                <c:pt idx="326">
                  <c:v>12.3266297404902</c:v>
                </c:pt>
                <c:pt idx="327">
                  <c:v>12.3266297404902</c:v>
                </c:pt>
                <c:pt idx="328">
                  <c:v>12.3266297404902</c:v>
                </c:pt>
                <c:pt idx="329">
                  <c:v>12.3266297404902</c:v>
                </c:pt>
                <c:pt idx="330">
                  <c:v>12.3266297404902</c:v>
                </c:pt>
                <c:pt idx="331">
                  <c:v>13.6444849865704</c:v>
                </c:pt>
                <c:pt idx="332">
                  <c:v>26.5571503622592</c:v>
                </c:pt>
                <c:pt idx="333">
                  <c:v>246.532594809803</c:v>
                </c:pt>
                <c:pt idx="334">
                  <c:v>40.0630460290846</c:v>
                </c:pt>
                <c:pt idx="335">
                  <c:v>16.1506370595013</c:v>
                </c:pt>
                <c:pt idx="336">
                  <c:v>12.3266297404902</c:v>
                </c:pt>
                <c:pt idx="337">
                  <c:v>12.3266297404902</c:v>
                </c:pt>
                <c:pt idx="338">
                  <c:v>12.3266297404902</c:v>
                </c:pt>
                <c:pt idx="339">
                  <c:v>12.3266297404902</c:v>
                </c:pt>
                <c:pt idx="340">
                  <c:v>12.3266297404902</c:v>
                </c:pt>
                <c:pt idx="341">
                  <c:v>12.3266297404902</c:v>
                </c:pt>
                <c:pt idx="342">
                  <c:v>12.3266297404902</c:v>
                </c:pt>
                <c:pt idx="343">
                  <c:v>12.3266297404902</c:v>
                </c:pt>
                <c:pt idx="344">
                  <c:v>12.3266297404902</c:v>
                </c:pt>
                <c:pt idx="345">
                  <c:v>12.3266297404902</c:v>
                </c:pt>
                <c:pt idx="346">
                  <c:v>12.3266297404902</c:v>
                </c:pt>
                <c:pt idx="347">
                  <c:v>12.3266297404902</c:v>
                </c:pt>
                <c:pt idx="348">
                  <c:v>12.3266297404902</c:v>
                </c:pt>
                <c:pt idx="349">
                  <c:v>12.3266297404902</c:v>
                </c:pt>
                <c:pt idx="350">
                  <c:v>12.3266297404902</c:v>
                </c:pt>
                <c:pt idx="351">
                  <c:v>12.3266297404902</c:v>
                </c:pt>
                <c:pt idx="352">
                  <c:v>12.3266297404902</c:v>
                </c:pt>
                <c:pt idx="353">
                  <c:v>12.3266297404902</c:v>
                </c:pt>
                <c:pt idx="354">
                  <c:v>12.3266297404902</c:v>
                </c:pt>
                <c:pt idx="355">
                  <c:v>12.3266297404902</c:v>
                </c:pt>
                <c:pt idx="356">
                  <c:v>12.3266297404902</c:v>
                </c:pt>
                <c:pt idx="357">
                  <c:v>12.3266297404902</c:v>
                </c:pt>
                <c:pt idx="358">
                  <c:v>12.3266297404902</c:v>
                </c:pt>
                <c:pt idx="359">
                  <c:v>12.3266297404902</c:v>
                </c:pt>
                <c:pt idx="360">
                  <c:v>12.3266297404902</c:v>
                </c:pt>
                <c:pt idx="361">
                  <c:v>12.3266297404902</c:v>
                </c:pt>
                <c:pt idx="362">
                  <c:v>12.3266297404902</c:v>
                </c:pt>
                <c:pt idx="363">
                  <c:v>12.3266297404902</c:v>
                </c:pt>
                <c:pt idx="364">
                  <c:v>12.3266297404902</c:v>
                </c:pt>
                <c:pt idx="365">
                  <c:v>12.3266297404902</c:v>
                </c:pt>
                <c:pt idx="366">
                  <c:v>12.3266297404902</c:v>
                </c:pt>
                <c:pt idx="367">
                  <c:v>12.3266297404902</c:v>
                </c:pt>
                <c:pt idx="368">
                  <c:v>12.3266297404902</c:v>
                </c:pt>
                <c:pt idx="369">
                  <c:v>12.3266297404902</c:v>
                </c:pt>
                <c:pt idx="370">
                  <c:v>12.3266297404902</c:v>
                </c:pt>
                <c:pt idx="371">
                  <c:v>12.3266297404902</c:v>
                </c:pt>
                <c:pt idx="372">
                  <c:v>12.3266297404902</c:v>
                </c:pt>
                <c:pt idx="373">
                  <c:v>12.3266297404902</c:v>
                </c:pt>
                <c:pt idx="374">
                  <c:v>12.3266297404902</c:v>
                </c:pt>
                <c:pt idx="375">
                  <c:v>12.3266297404902</c:v>
                </c:pt>
                <c:pt idx="376">
                  <c:v>12.3266297404902</c:v>
                </c:pt>
                <c:pt idx="377">
                  <c:v>12.3266297404902</c:v>
                </c:pt>
                <c:pt idx="378">
                  <c:v>12.3266297404902</c:v>
                </c:pt>
                <c:pt idx="379">
                  <c:v>12.3266297404902</c:v>
                </c:pt>
                <c:pt idx="380">
                  <c:v>12.3266297404902</c:v>
                </c:pt>
                <c:pt idx="381">
                  <c:v>12.3266297404902</c:v>
                </c:pt>
                <c:pt idx="382">
                  <c:v>12.3266297404902</c:v>
                </c:pt>
                <c:pt idx="383">
                  <c:v>12.3266297404902</c:v>
                </c:pt>
                <c:pt idx="384">
                  <c:v>12.3266297404902</c:v>
                </c:pt>
                <c:pt idx="385">
                  <c:v>12.3266297404902</c:v>
                </c:pt>
                <c:pt idx="386">
                  <c:v>12.3266297404902</c:v>
                </c:pt>
                <c:pt idx="387">
                  <c:v>12.3266297404902</c:v>
                </c:pt>
                <c:pt idx="388">
                  <c:v>12.3266297404902</c:v>
                </c:pt>
                <c:pt idx="389">
                  <c:v>12.3266297404902</c:v>
                </c:pt>
                <c:pt idx="390">
                  <c:v>12.3266297404902</c:v>
                </c:pt>
                <c:pt idx="391">
                  <c:v>12.3266297404902</c:v>
                </c:pt>
                <c:pt idx="392">
                  <c:v>12.3266297404902</c:v>
                </c:pt>
                <c:pt idx="393">
                  <c:v>12.3266297404902</c:v>
                </c:pt>
                <c:pt idx="394">
                  <c:v>12.3266297404902</c:v>
                </c:pt>
                <c:pt idx="395">
                  <c:v>12.3266297404902</c:v>
                </c:pt>
                <c:pt idx="396">
                  <c:v>12.3266297404902</c:v>
                </c:pt>
                <c:pt idx="397">
                  <c:v>12.3266297404902</c:v>
                </c:pt>
                <c:pt idx="398">
                  <c:v>12.3266297404902</c:v>
                </c:pt>
                <c:pt idx="399">
                  <c:v>12.3266297404902</c:v>
                </c:pt>
                <c:pt idx="400">
                  <c:v>12.3266297404902</c:v>
                </c:pt>
                <c:pt idx="401">
                  <c:v>12.3266297404902</c:v>
                </c:pt>
                <c:pt idx="402">
                  <c:v>12.3266297404902</c:v>
                </c:pt>
                <c:pt idx="403">
                  <c:v>12.3266297404902</c:v>
                </c:pt>
                <c:pt idx="404">
                  <c:v>12.3266297404902</c:v>
                </c:pt>
                <c:pt idx="405">
                  <c:v>12.3266297404902</c:v>
                </c:pt>
                <c:pt idx="406">
                  <c:v>12.3266297404902</c:v>
                </c:pt>
                <c:pt idx="407">
                  <c:v>12.3266297404902</c:v>
                </c:pt>
                <c:pt idx="408">
                  <c:v>12.3266297404902</c:v>
                </c:pt>
                <c:pt idx="409">
                  <c:v>12.3266297404902</c:v>
                </c:pt>
                <c:pt idx="410">
                  <c:v>12.3266297404902</c:v>
                </c:pt>
                <c:pt idx="411">
                  <c:v>12.3266297404902</c:v>
                </c:pt>
                <c:pt idx="412">
                  <c:v>12.3266297404902</c:v>
                </c:pt>
                <c:pt idx="413">
                  <c:v>12.3266297404902</c:v>
                </c:pt>
                <c:pt idx="414">
                  <c:v>12.3266297404902</c:v>
                </c:pt>
                <c:pt idx="415">
                  <c:v>12.3266297404902</c:v>
                </c:pt>
                <c:pt idx="416">
                  <c:v>12.3266297404902</c:v>
                </c:pt>
                <c:pt idx="417">
                  <c:v>12.3266297404902</c:v>
                </c:pt>
                <c:pt idx="418">
                  <c:v>12.3266297404902</c:v>
                </c:pt>
                <c:pt idx="419">
                  <c:v>12.3266297404902</c:v>
                </c:pt>
                <c:pt idx="420">
                  <c:v>12.3266297404902</c:v>
                </c:pt>
                <c:pt idx="421">
                  <c:v>12.3266297404902</c:v>
                </c:pt>
                <c:pt idx="422">
                  <c:v>12.3266297404902</c:v>
                </c:pt>
                <c:pt idx="423">
                  <c:v>12.3266297404902</c:v>
                </c:pt>
                <c:pt idx="424">
                  <c:v>12.3266297404902</c:v>
                </c:pt>
                <c:pt idx="425">
                  <c:v>12.3266297404902</c:v>
                </c:pt>
                <c:pt idx="426">
                  <c:v>12.3266297404902</c:v>
                </c:pt>
                <c:pt idx="427">
                  <c:v>12.3266297404902</c:v>
                </c:pt>
                <c:pt idx="428">
                  <c:v>12.3266297404902</c:v>
                </c:pt>
                <c:pt idx="429">
                  <c:v>12.3266297404902</c:v>
                </c:pt>
                <c:pt idx="430">
                  <c:v>12.3266297404902</c:v>
                </c:pt>
                <c:pt idx="431">
                  <c:v>12.3266297404902</c:v>
                </c:pt>
                <c:pt idx="432">
                  <c:v>12.3266297404902</c:v>
                </c:pt>
                <c:pt idx="433">
                  <c:v>12.3266297404902</c:v>
                </c:pt>
                <c:pt idx="434">
                  <c:v>12.3266297404902</c:v>
                </c:pt>
                <c:pt idx="435">
                  <c:v>12.3266297404902</c:v>
                </c:pt>
                <c:pt idx="436">
                  <c:v>12.3266297404902</c:v>
                </c:pt>
                <c:pt idx="437">
                  <c:v>12.3266297404902</c:v>
                </c:pt>
                <c:pt idx="438">
                  <c:v>12.3266297404902</c:v>
                </c:pt>
                <c:pt idx="439">
                  <c:v>12.3266297404902</c:v>
                </c:pt>
                <c:pt idx="440">
                  <c:v>12.3266297404902</c:v>
                </c:pt>
                <c:pt idx="441">
                  <c:v>12.3266297404902</c:v>
                </c:pt>
                <c:pt idx="442">
                  <c:v>12.3266297404902</c:v>
                </c:pt>
                <c:pt idx="443">
                  <c:v>12.3266297404902</c:v>
                </c:pt>
                <c:pt idx="444">
                  <c:v>12.3266297404902</c:v>
                </c:pt>
                <c:pt idx="445">
                  <c:v>12.3266297404902</c:v>
                </c:pt>
                <c:pt idx="446">
                  <c:v>12.3266297404902</c:v>
                </c:pt>
                <c:pt idx="447">
                  <c:v>12.3266297404902</c:v>
                </c:pt>
                <c:pt idx="448">
                  <c:v>12.3266297404902</c:v>
                </c:pt>
                <c:pt idx="449">
                  <c:v>12.3266297404902</c:v>
                </c:pt>
                <c:pt idx="450">
                  <c:v>12.3266297404902</c:v>
                </c:pt>
                <c:pt idx="451">
                  <c:v>12.3266297404902</c:v>
                </c:pt>
                <c:pt idx="452">
                  <c:v>12.3266297404902</c:v>
                </c:pt>
                <c:pt idx="453">
                  <c:v>12.3266297404902</c:v>
                </c:pt>
                <c:pt idx="454">
                  <c:v>12.3266297404902</c:v>
                </c:pt>
                <c:pt idx="455">
                  <c:v>12.3266297404902</c:v>
                </c:pt>
                <c:pt idx="456">
                  <c:v>12.3266297404902</c:v>
                </c:pt>
                <c:pt idx="457">
                  <c:v>12.3266297404902</c:v>
                </c:pt>
                <c:pt idx="458">
                  <c:v>12.3266297404902</c:v>
                </c:pt>
                <c:pt idx="459">
                  <c:v>12.3266297404902</c:v>
                </c:pt>
                <c:pt idx="460">
                  <c:v>12.3266297404902</c:v>
                </c:pt>
                <c:pt idx="461">
                  <c:v>12.3266297404902</c:v>
                </c:pt>
                <c:pt idx="462">
                  <c:v>12.3266297404902</c:v>
                </c:pt>
                <c:pt idx="463">
                  <c:v>12.3266297404902</c:v>
                </c:pt>
                <c:pt idx="464">
                  <c:v>12.3266297404902</c:v>
                </c:pt>
                <c:pt idx="465">
                  <c:v>12.3266297404902</c:v>
                </c:pt>
                <c:pt idx="466">
                  <c:v>12.3266297404902</c:v>
                </c:pt>
                <c:pt idx="467">
                  <c:v>12.3266297404902</c:v>
                </c:pt>
                <c:pt idx="468">
                  <c:v>12.3266297404902</c:v>
                </c:pt>
                <c:pt idx="469">
                  <c:v>12.3266297404902</c:v>
                </c:pt>
                <c:pt idx="470">
                  <c:v>12.3266297404902</c:v>
                </c:pt>
                <c:pt idx="471">
                  <c:v>12.3266297404902</c:v>
                </c:pt>
                <c:pt idx="472">
                  <c:v>12.3266297404902</c:v>
                </c:pt>
                <c:pt idx="473">
                  <c:v>12.3266297404902</c:v>
                </c:pt>
                <c:pt idx="474">
                  <c:v>12.3266297404902</c:v>
                </c:pt>
                <c:pt idx="475">
                  <c:v>12.3266297404902</c:v>
                </c:pt>
                <c:pt idx="476">
                  <c:v>12.3266297404902</c:v>
                </c:pt>
                <c:pt idx="477">
                  <c:v>12.3266297404902</c:v>
                </c:pt>
                <c:pt idx="478">
                  <c:v>12.3266297404902</c:v>
                </c:pt>
                <c:pt idx="479">
                  <c:v>12.3266297404902</c:v>
                </c:pt>
                <c:pt idx="480">
                  <c:v>12.3266297404902</c:v>
                </c:pt>
                <c:pt idx="481">
                  <c:v>12.3266297404902</c:v>
                </c:pt>
                <c:pt idx="482">
                  <c:v>12.3266297404902</c:v>
                </c:pt>
                <c:pt idx="483">
                  <c:v>12.3266297404902</c:v>
                </c:pt>
                <c:pt idx="484">
                  <c:v>12.3266297404902</c:v>
                </c:pt>
                <c:pt idx="485">
                  <c:v>12.3266297404902</c:v>
                </c:pt>
                <c:pt idx="486">
                  <c:v>12.3266297404902</c:v>
                </c:pt>
                <c:pt idx="487">
                  <c:v>12.3266297404902</c:v>
                </c:pt>
                <c:pt idx="488">
                  <c:v>12.3266297404902</c:v>
                </c:pt>
                <c:pt idx="489">
                  <c:v>12.3266297404902</c:v>
                </c:pt>
                <c:pt idx="490">
                  <c:v>12.3266297404902</c:v>
                </c:pt>
                <c:pt idx="491">
                  <c:v>12.3266297404902</c:v>
                </c:pt>
                <c:pt idx="492">
                  <c:v>12.3266297404902</c:v>
                </c:pt>
                <c:pt idx="493">
                  <c:v>12.3266297404902</c:v>
                </c:pt>
                <c:pt idx="494">
                  <c:v>12.3266297404902</c:v>
                </c:pt>
                <c:pt idx="495">
                  <c:v>12.3266297404902</c:v>
                </c:pt>
                <c:pt idx="496">
                  <c:v>12.3266297404902</c:v>
                </c:pt>
                <c:pt idx="497">
                  <c:v>12.3266297404902</c:v>
                </c:pt>
                <c:pt idx="498">
                  <c:v>12.3266297404902</c:v>
                </c:pt>
                <c:pt idx="499">
                  <c:v>12.3266297404902</c:v>
                </c:pt>
                <c:pt idx="500">
                  <c:v>12.3266297404902</c:v>
                </c:pt>
                <c:pt idx="501">
                  <c:v>12.3266297404902</c:v>
                </c:pt>
                <c:pt idx="502">
                  <c:v>12.3266297404902</c:v>
                </c:pt>
                <c:pt idx="503">
                  <c:v>12.3266297404902</c:v>
                </c:pt>
                <c:pt idx="504">
                  <c:v>12.3266297404902</c:v>
                </c:pt>
                <c:pt idx="505">
                  <c:v>12.3266297404902</c:v>
                </c:pt>
                <c:pt idx="506">
                  <c:v>12.3266297404902</c:v>
                </c:pt>
                <c:pt idx="507">
                  <c:v>12.3266297404902</c:v>
                </c:pt>
                <c:pt idx="508">
                  <c:v>12.3266297404902</c:v>
                </c:pt>
                <c:pt idx="509">
                  <c:v>12.3266297404902</c:v>
                </c:pt>
                <c:pt idx="510">
                  <c:v>12.3266297404902</c:v>
                </c:pt>
                <c:pt idx="511">
                  <c:v>12.3266297404902</c:v>
                </c:pt>
                <c:pt idx="512">
                  <c:v>12.3266297404902</c:v>
                </c:pt>
                <c:pt idx="513">
                  <c:v>12.3266297404902</c:v>
                </c:pt>
                <c:pt idx="514">
                  <c:v>12.3266297404902</c:v>
                </c:pt>
                <c:pt idx="515">
                  <c:v>12.3266297404902</c:v>
                </c:pt>
                <c:pt idx="516">
                  <c:v>12.3266297404902</c:v>
                </c:pt>
                <c:pt idx="517">
                  <c:v>12.3266297404902</c:v>
                </c:pt>
                <c:pt idx="518">
                  <c:v>12.3266297404902</c:v>
                </c:pt>
                <c:pt idx="519">
                  <c:v>12.3266297404902</c:v>
                </c:pt>
                <c:pt idx="520">
                  <c:v>12.3266297404902</c:v>
                </c:pt>
                <c:pt idx="521">
                  <c:v>12.3266297404902</c:v>
                </c:pt>
                <c:pt idx="522">
                  <c:v>12.3266297404902</c:v>
                </c:pt>
                <c:pt idx="523">
                  <c:v>12.3266297404902</c:v>
                </c:pt>
                <c:pt idx="524">
                  <c:v>12.3266297404902</c:v>
                </c:pt>
                <c:pt idx="525">
                  <c:v>12.3266297404902</c:v>
                </c:pt>
                <c:pt idx="526">
                  <c:v>12.3266297404902</c:v>
                </c:pt>
                <c:pt idx="527">
                  <c:v>12.3266297404902</c:v>
                </c:pt>
                <c:pt idx="528">
                  <c:v>12.3266297404902</c:v>
                </c:pt>
                <c:pt idx="529">
                  <c:v>12.3266297404902</c:v>
                </c:pt>
                <c:pt idx="530">
                  <c:v>12.3266297404902</c:v>
                </c:pt>
                <c:pt idx="531">
                  <c:v>12.3266297404902</c:v>
                </c:pt>
                <c:pt idx="532">
                  <c:v>12.3266297404902</c:v>
                </c:pt>
                <c:pt idx="533">
                  <c:v>12.3266297404902</c:v>
                </c:pt>
                <c:pt idx="534">
                  <c:v>12.3266297404902</c:v>
                </c:pt>
                <c:pt idx="535">
                  <c:v>12.3266297404902</c:v>
                </c:pt>
                <c:pt idx="536">
                  <c:v>12.3266297404902</c:v>
                </c:pt>
                <c:pt idx="537">
                  <c:v>12.3266297404902</c:v>
                </c:pt>
                <c:pt idx="538">
                  <c:v>12.3266297404902</c:v>
                </c:pt>
                <c:pt idx="539">
                  <c:v>12.3266297404902</c:v>
                </c:pt>
                <c:pt idx="540">
                  <c:v>12.3266297404902</c:v>
                </c:pt>
                <c:pt idx="541">
                  <c:v>12.3266297404902</c:v>
                </c:pt>
                <c:pt idx="542">
                  <c:v>12.3266297404902</c:v>
                </c:pt>
                <c:pt idx="543">
                  <c:v>12.3266297404902</c:v>
                </c:pt>
                <c:pt idx="544">
                  <c:v>12.3266297404902</c:v>
                </c:pt>
                <c:pt idx="545">
                  <c:v>12.3266297404902</c:v>
                </c:pt>
                <c:pt idx="546">
                  <c:v>12.3266297404902</c:v>
                </c:pt>
                <c:pt idx="547">
                  <c:v>12.3266297404902</c:v>
                </c:pt>
                <c:pt idx="548">
                  <c:v>12.3266297404902</c:v>
                </c:pt>
                <c:pt idx="549">
                  <c:v>12.3266297404902</c:v>
                </c:pt>
                <c:pt idx="550">
                  <c:v>12.3266297404902</c:v>
                </c:pt>
                <c:pt idx="551">
                  <c:v>12.3266297404902</c:v>
                </c:pt>
                <c:pt idx="552">
                  <c:v>12.3266297404902</c:v>
                </c:pt>
                <c:pt idx="553">
                  <c:v>12.3266297404902</c:v>
                </c:pt>
                <c:pt idx="554">
                  <c:v>12.3266297404902</c:v>
                </c:pt>
                <c:pt idx="555">
                  <c:v>12.3266297404902</c:v>
                </c:pt>
                <c:pt idx="556">
                  <c:v>12.3266297404902</c:v>
                </c:pt>
                <c:pt idx="557">
                  <c:v>12.3266297404902</c:v>
                </c:pt>
                <c:pt idx="558">
                  <c:v>12.3266297404902</c:v>
                </c:pt>
                <c:pt idx="559">
                  <c:v>12.3266297404902</c:v>
                </c:pt>
                <c:pt idx="560">
                  <c:v>12.3266297404902</c:v>
                </c:pt>
                <c:pt idx="561">
                  <c:v>12.3266297404902</c:v>
                </c:pt>
                <c:pt idx="562">
                  <c:v>12.3266297404902</c:v>
                </c:pt>
                <c:pt idx="563">
                  <c:v>12.3266297404902</c:v>
                </c:pt>
                <c:pt idx="564">
                  <c:v>12.3266297404902</c:v>
                </c:pt>
                <c:pt idx="565">
                  <c:v>12.3266297404902</c:v>
                </c:pt>
                <c:pt idx="566">
                  <c:v>12.3266297404902</c:v>
                </c:pt>
                <c:pt idx="567">
                  <c:v>12.3266297404902</c:v>
                </c:pt>
                <c:pt idx="568">
                  <c:v>12.3266297404902</c:v>
                </c:pt>
                <c:pt idx="569">
                  <c:v>12.3266297404902</c:v>
                </c:pt>
                <c:pt idx="570">
                  <c:v>12.3266297404902</c:v>
                </c:pt>
                <c:pt idx="571">
                  <c:v>12.3266297404902</c:v>
                </c:pt>
                <c:pt idx="572">
                  <c:v>12.3266297404902</c:v>
                </c:pt>
                <c:pt idx="573">
                  <c:v>12.3266297404902</c:v>
                </c:pt>
                <c:pt idx="574">
                  <c:v>12.3266297404902</c:v>
                </c:pt>
                <c:pt idx="575">
                  <c:v>12.3266297404902</c:v>
                </c:pt>
                <c:pt idx="576">
                  <c:v>12.3266297404902</c:v>
                </c:pt>
                <c:pt idx="577">
                  <c:v>12.3266297404902</c:v>
                </c:pt>
                <c:pt idx="578">
                  <c:v>12.3266297404902</c:v>
                </c:pt>
                <c:pt idx="579">
                  <c:v>12.3266297404902</c:v>
                </c:pt>
                <c:pt idx="580">
                  <c:v>12.3266297404902</c:v>
                </c:pt>
                <c:pt idx="581">
                  <c:v>12.3266297404902</c:v>
                </c:pt>
                <c:pt idx="582">
                  <c:v>12.3266297404902</c:v>
                </c:pt>
                <c:pt idx="583">
                  <c:v>12.3266297404902</c:v>
                </c:pt>
                <c:pt idx="584">
                  <c:v>12.3266297404902</c:v>
                </c:pt>
                <c:pt idx="585">
                  <c:v>12.3266297404902</c:v>
                </c:pt>
                <c:pt idx="586">
                  <c:v>12.3266297404902</c:v>
                </c:pt>
                <c:pt idx="587">
                  <c:v>12.3266297404902</c:v>
                </c:pt>
                <c:pt idx="588">
                  <c:v>12.3266297404902</c:v>
                </c:pt>
                <c:pt idx="589">
                  <c:v>12.3266297404902</c:v>
                </c:pt>
                <c:pt idx="590">
                  <c:v>12.3266297404902</c:v>
                </c:pt>
                <c:pt idx="591">
                  <c:v>12.3266297404902</c:v>
                </c:pt>
                <c:pt idx="592">
                  <c:v>12.3266297404902</c:v>
                </c:pt>
                <c:pt idx="593">
                  <c:v>12.3266297404902</c:v>
                </c:pt>
                <c:pt idx="594">
                  <c:v>12.3266297404902</c:v>
                </c:pt>
                <c:pt idx="595">
                  <c:v>12.3266297404902</c:v>
                </c:pt>
                <c:pt idx="596">
                  <c:v>12.3266297404902</c:v>
                </c:pt>
                <c:pt idx="597">
                  <c:v>12.3266297404902</c:v>
                </c:pt>
                <c:pt idx="598">
                  <c:v>12.3266297404902</c:v>
                </c:pt>
                <c:pt idx="599">
                  <c:v>12.3266297404902</c:v>
                </c:pt>
                <c:pt idx="600">
                  <c:v>12.3266297404902</c:v>
                </c:pt>
                <c:pt idx="601">
                  <c:v>12.3266297404902</c:v>
                </c:pt>
                <c:pt idx="602">
                  <c:v>12.3266297404902</c:v>
                </c:pt>
                <c:pt idx="603">
                  <c:v>12.3266297404902</c:v>
                </c:pt>
                <c:pt idx="604">
                  <c:v>12.3266297404902</c:v>
                </c:pt>
                <c:pt idx="605">
                  <c:v>12.3266297404902</c:v>
                </c:pt>
                <c:pt idx="606">
                  <c:v>12.3266297404902</c:v>
                </c:pt>
                <c:pt idx="607">
                  <c:v>12.3266297404902</c:v>
                </c:pt>
                <c:pt idx="608">
                  <c:v>12.3266297404902</c:v>
                </c:pt>
                <c:pt idx="609">
                  <c:v>12.3266297404902</c:v>
                </c:pt>
                <c:pt idx="610">
                  <c:v>12.3266297404902</c:v>
                </c:pt>
                <c:pt idx="611">
                  <c:v>12.3266297404902</c:v>
                </c:pt>
                <c:pt idx="612">
                  <c:v>12.3266297404902</c:v>
                </c:pt>
                <c:pt idx="613">
                  <c:v>12.3266297404902</c:v>
                </c:pt>
                <c:pt idx="614">
                  <c:v>12.3266297404902</c:v>
                </c:pt>
                <c:pt idx="615">
                  <c:v>12.3266297404902</c:v>
                </c:pt>
                <c:pt idx="616">
                  <c:v>12.3266297404902</c:v>
                </c:pt>
                <c:pt idx="617">
                  <c:v>12.3266297404902</c:v>
                </c:pt>
                <c:pt idx="618">
                  <c:v>12.3266297404902</c:v>
                </c:pt>
                <c:pt idx="619">
                  <c:v>12.3266297404902</c:v>
                </c:pt>
                <c:pt idx="620">
                  <c:v>12.3266297404902</c:v>
                </c:pt>
                <c:pt idx="621">
                  <c:v>12.3266297404902</c:v>
                </c:pt>
                <c:pt idx="622">
                  <c:v>12.3266297404902</c:v>
                </c:pt>
                <c:pt idx="623">
                  <c:v>12.3266297404902</c:v>
                </c:pt>
                <c:pt idx="624">
                  <c:v>12.3266297404902</c:v>
                </c:pt>
                <c:pt idx="625">
                  <c:v>12.3266297404902</c:v>
                </c:pt>
                <c:pt idx="626">
                  <c:v>12.3266297404902</c:v>
                </c:pt>
                <c:pt idx="627">
                  <c:v>12.3266297404902</c:v>
                </c:pt>
                <c:pt idx="628">
                  <c:v>12.3266297404902</c:v>
                </c:pt>
                <c:pt idx="629">
                  <c:v>12.3266297404902</c:v>
                </c:pt>
                <c:pt idx="630">
                  <c:v>12.3266297404902</c:v>
                </c:pt>
                <c:pt idx="631">
                  <c:v>12.3266297404902</c:v>
                </c:pt>
                <c:pt idx="632">
                  <c:v>12.3266297404902</c:v>
                </c:pt>
                <c:pt idx="633">
                  <c:v>12.3266297404902</c:v>
                </c:pt>
                <c:pt idx="634">
                  <c:v>12.3266297404902</c:v>
                </c:pt>
                <c:pt idx="635">
                  <c:v>12.3266297404902</c:v>
                </c:pt>
                <c:pt idx="636">
                  <c:v>12.3266297404902</c:v>
                </c:pt>
                <c:pt idx="637">
                  <c:v>12.3266297404902</c:v>
                </c:pt>
                <c:pt idx="638">
                  <c:v>12.3266297404902</c:v>
                </c:pt>
                <c:pt idx="639">
                  <c:v>12.3266297404902</c:v>
                </c:pt>
                <c:pt idx="640">
                  <c:v>12.3266297404902</c:v>
                </c:pt>
                <c:pt idx="641">
                  <c:v>12.3266297404902</c:v>
                </c:pt>
                <c:pt idx="642">
                  <c:v>12.3266297404902</c:v>
                </c:pt>
                <c:pt idx="643">
                  <c:v>12.3266297404902</c:v>
                </c:pt>
                <c:pt idx="644">
                  <c:v>12.3266297404902</c:v>
                </c:pt>
                <c:pt idx="645">
                  <c:v>12.3266297404902</c:v>
                </c:pt>
                <c:pt idx="646">
                  <c:v>12.3266297404902</c:v>
                </c:pt>
                <c:pt idx="647">
                  <c:v>12.3266297404902</c:v>
                </c:pt>
                <c:pt idx="648">
                  <c:v>12.3266297404902</c:v>
                </c:pt>
                <c:pt idx="649">
                  <c:v>12.3266297404902</c:v>
                </c:pt>
                <c:pt idx="650">
                  <c:v>12.3266297404902</c:v>
                </c:pt>
                <c:pt idx="651">
                  <c:v>12.3266297404902</c:v>
                </c:pt>
                <c:pt idx="652">
                  <c:v>12.3266297404902</c:v>
                </c:pt>
                <c:pt idx="653">
                  <c:v>12.3266297404902</c:v>
                </c:pt>
                <c:pt idx="654">
                  <c:v>12.3266297404902</c:v>
                </c:pt>
                <c:pt idx="655">
                  <c:v>12.3266297404902</c:v>
                </c:pt>
                <c:pt idx="656">
                  <c:v>12.3266297404902</c:v>
                </c:pt>
                <c:pt idx="657">
                  <c:v>12.3266297404902</c:v>
                </c:pt>
                <c:pt idx="658">
                  <c:v>12.3266297404902</c:v>
                </c:pt>
                <c:pt idx="659">
                  <c:v>12.3266297404902</c:v>
                </c:pt>
                <c:pt idx="660">
                  <c:v>12.3266297404902</c:v>
                </c:pt>
                <c:pt idx="661">
                  <c:v>12.3266297404902</c:v>
                </c:pt>
                <c:pt idx="662">
                  <c:v>12.3266297404902</c:v>
                </c:pt>
                <c:pt idx="663">
                  <c:v>12.3266297404902</c:v>
                </c:pt>
                <c:pt idx="664">
                  <c:v>12.3266297404902</c:v>
                </c:pt>
                <c:pt idx="665">
                  <c:v>12.3266297404902</c:v>
                </c:pt>
                <c:pt idx="666">
                  <c:v>12.3266297404902</c:v>
                </c:pt>
                <c:pt idx="667">
                  <c:v>12.3266297404902</c:v>
                </c:pt>
                <c:pt idx="668">
                  <c:v>12.3266297404902</c:v>
                </c:pt>
                <c:pt idx="669">
                  <c:v>12.3266297404902</c:v>
                </c:pt>
                <c:pt idx="670">
                  <c:v>12.3266297404902</c:v>
                </c:pt>
                <c:pt idx="671">
                  <c:v>12.3266297404902</c:v>
                </c:pt>
                <c:pt idx="672">
                  <c:v>12.3266297404902</c:v>
                </c:pt>
                <c:pt idx="673">
                  <c:v>12.3266297404902</c:v>
                </c:pt>
                <c:pt idx="674">
                  <c:v>12.3266297404902</c:v>
                </c:pt>
                <c:pt idx="675">
                  <c:v>12.3266297404902</c:v>
                </c:pt>
                <c:pt idx="676">
                  <c:v>12.3266297404902</c:v>
                </c:pt>
                <c:pt idx="677">
                  <c:v>12.3266297404902</c:v>
                </c:pt>
                <c:pt idx="678">
                  <c:v>12.3266297404902</c:v>
                </c:pt>
                <c:pt idx="679">
                  <c:v>12.3266297404902</c:v>
                </c:pt>
                <c:pt idx="680">
                  <c:v>12.3266297404902</c:v>
                </c:pt>
                <c:pt idx="681">
                  <c:v>12.3266297404902</c:v>
                </c:pt>
                <c:pt idx="682">
                  <c:v>12.3266297404902</c:v>
                </c:pt>
                <c:pt idx="683">
                  <c:v>12.3266297404902</c:v>
                </c:pt>
                <c:pt idx="684">
                  <c:v>12.3266297404902</c:v>
                </c:pt>
                <c:pt idx="685">
                  <c:v>12.3266297404902</c:v>
                </c:pt>
                <c:pt idx="686">
                  <c:v>12.3266297404902</c:v>
                </c:pt>
                <c:pt idx="687">
                  <c:v>12.3266297404902</c:v>
                </c:pt>
                <c:pt idx="688">
                  <c:v>12.3266297404902</c:v>
                </c:pt>
                <c:pt idx="689">
                  <c:v>12.3266297404902</c:v>
                </c:pt>
                <c:pt idx="690">
                  <c:v>12.3266297404902</c:v>
                </c:pt>
                <c:pt idx="691">
                  <c:v>12.3266297404902</c:v>
                </c:pt>
                <c:pt idx="692">
                  <c:v>12.3266297404902</c:v>
                </c:pt>
                <c:pt idx="693">
                  <c:v>12.3266297404902</c:v>
                </c:pt>
                <c:pt idx="694">
                  <c:v>12.3266297404902</c:v>
                </c:pt>
                <c:pt idx="695">
                  <c:v>12.3266297404902</c:v>
                </c:pt>
                <c:pt idx="696">
                  <c:v>12.3266297404902</c:v>
                </c:pt>
                <c:pt idx="697">
                  <c:v>12.3266297404902</c:v>
                </c:pt>
                <c:pt idx="698">
                  <c:v>12.3266297404902</c:v>
                </c:pt>
                <c:pt idx="699">
                  <c:v>12.3266297404902</c:v>
                </c:pt>
                <c:pt idx="700">
                  <c:v>12.3266297404902</c:v>
                </c:pt>
                <c:pt idx="701">
                  <c:v>12.3266297404902</c:v>
                </c:pt>
                <c:pt idx="702">
                  <c:v>12.3266297404902</c:v>
                </c:pt>
                <c:pt idx="703">
                  <c:v>12.3266297404902</c:v>
                </c:pt>
                <c:pt idx="704">
                  <c:v>12.3266297404902</c:v>
                </c:pt>
                <c:pt idx="705">
                  <c:v>12.3266297404902</c:v>
                </c:pt>
                <c:pt idx="706">
                  <c:v>12.3266297404902</c:v>
                </c:pt>
                <c:pt idx="707">
                  <c:v>12.3266297404902</c:v>
                </c:pt>
                <c:pt idx="708">
                  <c:v>12.3266297404902</c:v>
                </c:pt>
                <c:pt idx="709">
                  <c:v>12.3266297404902</c:v>
                </c:pt>
                <c:pt idx="710">
                  <c:v>12.3266297404902</c:v>
                </c:pt>
                <c:pt idx="711">
                  <c:v>12.3266297404902</c:v>
                </c:pt>
                <c:pt idx="712">
                  <c:v>12.3266297404902</c:v>
                </c:pt>
                <c:pt idx="713">
                  <c:v>12.3266297404902</c:v>
                </c:pt>
                <c:pt idx="714">
                  <c:v>12.3266297404902</c:v>
                </c:pt>
                <c:pt idx="715">
                  <c:v>12.3266297404902</c:v>
                </c:pt>
                <c:pt idx="716">
                  <c:v>12.3266297404902</c:v>
                </c:pt>
                <c:pt idx="717">
                  <c:v>12.3266297404902</c:v>
                </c:pt>
                <c:pt idx="718">
                  <c:v>12.3266297404902</c:v>
                </c:pt>
                <c:pt idx="719">
                  <c:v>12.3266297404902</c:v>
                </c:pt>
                <c:pt idx="720">
                  <c:v>12.3266297404902</c:v>
                </c:pt>
                <c:pt idx="721">
                  <c:v>12.3266297404902</c:v>
                </c:pt>
                <c:pt idx="722">
                  <c:v>12.3266297404902</c:v>
                </c:pt>
                <c:pt idx="723">
                  <c:v>12.3266297404902</c:v>
                </c:pt>
                <c:pt idx="724">
                  <c:v>12.3266297404902</c:v>
                </c:pt>
                <c:pt idx="725">
                  <c:v>12.3266297404902</c:v>
                </c:pt>
                <c:pt idx="726">
                  <c:v>12.3266297404902</c:v>
                </c:pt>
                <c:pt idx="727">
                  <c:v>12.3266297404902</c:v>
                </c:pt>
                <c:pt idx="728">
                  <c:v>12.3266297404902</c:v>
                </c:pt>
                <c:pt idx="729">
                  <c:v>12.3266297404902</c:v>
                </c:pt>
                <c:pt idx="730">
                  <c:v>12.3266297404902</c:v>
                </c:pt>
                <c:pt idx="731">
                  <c:v>12.3266297404902</c:v>
                </c:pt>
                <c:pt idx="732">
                  <c:v>12.3266297404902</c:v>
                </c:pt>
                <c:pt idx="733">
                  <c:v>12.3266297404902</c:v>
                </c:pt>
                <c:pt idx="734">
                  <c:v>12.3266297404902</c:v>
                </c:pt>
                <c:pt idx="735">
                  <c:v>12.3266297404902</c:v>
                </c:pt>
                <c:pt idx="736">
                  <c:v>12.3266297404902</c:v>
                </c:pt>
                <c:pt idx="737">
                  <c:v>12.3266297404902</c:v>
                </c:pt>
                <c:pt idx="738">
                  <c:v>12.3266297404902</c:v>
                </c:pt>
                <c:pt idx="739">
                  <c:v>12.3266297404902</c:v>
                </c:pt>
                <c:pt idx="740">
                  <c:v>12.3266297404902</c:v>
                </c:pt>
                <c:pt idx="741">
                  <c:v>12.3266297404902</c:v>
                </c:pt>
                <c:pt idx="742">
                  <c:v>12.3266297404902</c:v>
                </c:pt>
                <c:pt idx="743">
                  <c:v>12.3266297404902</c:v>
                </c:pt>
                <c:pt idx="744">
                  <c:v>12.3266297404902</c:v>
                </c:pt>
                <c:pt idx="745">
                  <c:v>12.3266297404902</c:v>
                </c:pt>
                <c:pt idx="746">
                  <c:v>12.3266297404902</c:v>
                </c:pt>
                <c:pt idx="747">
                  <c:v>12.3266297404902</c:v>
                </c:pt>
                <c:pt idx="748">
                  <c:v>12.3266297404902</c:v>
                </c:pt>
                <c:pt idx="749">
                  <c:v>12.3266297404902</c:v>
                </c:pt>
                <c:pt idx="750">
                  <c:v>12.3266297404902</c:v>
                </c:pt>
                <c:pt idx="751">
                  <c:v>12.3266297404902</c:v>
                </c:pt>
                <c:pt idx="752">
                  <c:v>12.3266297404902</c:v>
                </c:pt>
                <c:pt idx="753">
                  <c:v>12.3266297404902</c:v>
                </c:pt>
                <c:pt idx="754">
                  <c:v>12.3266297404902</c:v>
                </c:pt>
                <c:pt idx="755">
                  <c:v>12.3266297404902</c:v>
                </c:pt>
                <c:pt idx="756">
                  <c:v>12.3266297404902</c:v>
                </c:pt>
                <c:pt idx="757">
                  <c:v>12.3266297404902</c:v>
                </c:pt>
                <c:pt idx="758">
                  <c:v>12.3266297404902</c:v>
                </c:pt>
                <c:pt idx="759">
                  <c:v>12.3266297404902</c:v>
                </c:pt>
                <c:pt idx="760">
                  <c:v>12.3266297404902</c:v>
                </c:pt>
                <c:pt idx="761">
                  <c:v>12.3266297404902</c:v>
                </c:pt>
                <c:pt idx="762">
                  <c:v>12.3266297404902</c:v>
                </c:pt>
                <c:pt idx="763">
                  <c:v>12.3266297404902</c:v>
                </c:pt>
                <c:pt idx="764">
                  <c:v>12.3266297404902</c:v>
                </c:pt>
                <c:pt idx="765">
                  <c:v>12.3266297404902</c:v>
                </c:pt>
                <c:pt idx="766">
                  <c:v>12.3266297404902</c:v>
                </c:pt>
                <c:pt idx="767">
                  <c:v>12.3266297404902</c:v>
                </c:pt>
                <c:pt idx="768">
                  <c:v>12.3266297404902</c:v>
                </c:pt>
                <c:pt idx="769">
                  <c:v>12.3266297404902</c:v>
                </c:pt>
                <c:pt idx="770">
                  <c:v>12.3266297404902</c:v>
                </c:pt>
                <c:pt idx="771">
                  <c:v>12.3266297404902</c:v>
                </c:pt>
                <c:pt idx="772">
                  <c:v>12.3266297404902</c:v>
                </c:pt>
                <c:pt idx="773">
                  <c:v>12.3266297404902</c:v>
                </c:pt>
                <c:pt idx="774">
                  <c:v>12.3266297404902</c:v>
                </c:pt>
                <c:pt idx="775">
                  <c:v>12.3266297404902</c:v>
                </c:pt>
                <c:pt idx="776">
                  <c:v>12.3266297404902</c:v>
                </c:pt>
                <c:pt idx="777">
                  <c:v>12.3266297404902</c:v>
                </c:pt>
                <c:pt idx="778">
                  <c:v>12.3266297404902</c:v>
                </c:pt>
                <c:pt idx="779">
                  <c:v>12.3266297404902</c:v>
                </c:pt>
                <c:pt idx="780">
                  <c:v>12.3266297404902</c:v>
                </c:pt>
                <c:pt idx="781">
                  <c:v>12.3266297404902</c:v>
                </c:pt>
                <c:pt idx="782">
                  <c:v>12.3266297404902</c:v>
                </c:pt>
                <c:pt idx="783">
                  <c:v>12.3266297404902</c:v>
                </c:pt>
                <c:pt idx="784">
                  <c:v>12.3266297404902</c:v>
                </c:pt>
                <c:pt idx="785">
                  <c:v>12.3266297404902</c:v>
                </c:pt>
                <c:pt idx="786">
                  <c:v>12.3266297404902</c:v>
                </c:pt>
                <c:pt idx="787">
                  <c:v>12.3266297404902</c:v>
                </c:pt>
                <c:pt idx="788">
                  <c:v>12.3266297404902</c:v>
                </c:pt>
                <c:pt idx="789">
                  <c:v>12.3266297404902</c:v>
                </c:pt>
                <c:pt idx="790">
                  <c:v>12.3266297404902</c:v>
                </c:pt>
                <c:pt idx="791">
                  <c:v>12.3266297404902</c:v>
                </c:pt>
                <c:pt idx="792">
                  <c:v>12.3266297404902</c:v>
                </c:pt>
                <c:pt idx="793">
                  <c:v>12.3266297404902</c:v>
                </c:pt>
                <c:pt idx="794">
                  <c:v>12.3266297404902</c:v>
                </c:pt>
                <c:pt idx="795">
                  <c:v>12.3266297404902</c:v>
                </c:pt>
                <c:pt idx="796">
                  <c:v>12.3266297404902</c:v>
                </c:pt>
                <c:pt idx="797">
                  <c:v>12.3266297404902</c:v>
                </c:pt>
                <c:pt idx="798">
                  <c:v>12.3266297404902</c:v>
                </c:pt>
                <c:pt idx="799">
                  <c:v>12.3266297404902</c:v>
                </c:pt>
                <c:pt idx="800">
                  <c:v>12.3266297404902</c:v>
                </c:pt>
                <c:pt idx="801">
                  <c:v>12.3266297404902</c:v>
                </c:pt>
                <c:pt idx="802">
                  <c:v>12.3266297404902</c:v>
                </c:pt>
                <c:pt idx="803">
                  <c:v>12.3266297404902</c:v>
                </c:pt>
                <c:pt idx="804">
                  <c:v>12.3266297404902</c:v>
                </c:pt>
                <c:pt idx="805">
                  <c:v>12.3266297404902</c:v>
                </c:pt>
                <c:pt idx="806">
                  <c:v>12.3266297404902</c:v>
                </c:pt>
                <c:pt idx="807">
                  <c:v>12.3266297404902</c:v>
                </c:pt>
                <c:pt idx="808">
                  <c:v>12.3266297404902</c:v>
                </c:pt>
                <c:pt idx="809">
                  <c:v>12.3266297404902</c:v>
                </c:pt>
                <c:pt idx="810">
                  <c:v>12.3266297404902</c:v>
                </c:pt>
                <c:pt idx="811">
                  <c:v>12.3266297404902</c:v>
                </c:pt>
                <c:pt idx="812">
                  <c:v>12.3266297404902</c:v>
                </c:pt>
                <c:pt idx="813">
                  <c:v>12.3266297404902</c:v>
                </c:pt>
                <c:pt idx="814">
                  <c:v>12.3266297404902</c:v>
                </c:pt>
                <c:pt idx="815">
                  <c:v>12.3266297404902</c:v>
                </c:pt>
                <c:pt idx="816">
                  <c:v>12.3266297404902</c:v>
                </c:pt>
                <c:pt idx="817">
                  <c:v>12.3266297404902</c:v>
                </c:pt>
                <c:pt idx="818">
                  <c:v>12.3266297404902</c:v>
                </c:pt>
                <c:pt idx="819">
                  <c:v>12.3266297404902</c:v>
                </c:pt>
                <c:pt idx="820">
                  <c:v>12.3266297404902</c:v>
                </c:pt>
                <c:pt idx="821">
                  <c:v>12.3266297404902</c:v>
                </c:pt>
                <c:pt idx="822">
                  <c:v>12.3266297404902</c:v>
                </c:pt>
                <c:pt idx="823">
                  <c:v>12.3266297404902</c:v>
                </c:pt>
                <c:pt idx="824">
                  <c:v>12.3266297404902</c:v>
                </c:pt>
                <c:pt idx="825">
                  <c:v>12.3266297404902</c:v>
                </c:pt>
                <c:pt idx="826">
                  <c:v>12.3266297404902</c:v>
                </c:pt>
                <c:pt idx="827">
                  <c:v>12.3266297404902</c:v>
                </c:pt>
                <c:pt idx="828">
                  <c:v>12.3266297404902</c:v>
                </c:pt>
                <c:pt idx="829">
                  <c:v>12.3266297404902</c:v>
                </c:pt>
                <c:pt idx="830">
                  <c:v>12.3266297404902</c:v>
                </c:pt>
                <c:pt idx="831">
                  <c:v>12.3266297404902</c:v>
                </c:pt>
                <c:pt idx="832">
                  <c:v>12.3266297404902</c:v>
                </c:pt>
                <c:pt idx="833">
                  <c:v>12.3266297404902</c:v>
                </c:pt>
                <c:pt idx="834">
                  <c:v>12.3266297404902</c:v>
                </c:pt>
                <c:pt idx="835">
                  <c:v>12.3266297404902</c:v>
                </c:pt>
                <c:pt idx="836">
                  <c:v>12.3266297404902</c:v>
                </c:pt>
                <c:pt idx="837">
                  <c:v>12.3266297404902</c:v>
                </c:pt>
                <c:pt idx="838">
                  <c:v>12.3266297404902</c:v>
                </c:pt>
                <c:pt idx="839">
                  <c:v>12.3266297404902</c:v>
                </c:pt>
                <c:pt idx="840">
                  <c:v>12.3266297404902</c:v>
                </c:pt>
                <c:pt idx="841">
                  <c:v>12.3266297404902</c:v>
                </c:pt>
                <c:pt idx="842">
                  <c:v>12.3266297404902</c:v>
                </c:pt>
                <c:pt idx="843">
                  <c:v>12.3266297404902</c:v>
                </c:pt>
                <c:pt idx="844">
                  <c:v>12.3266297404902</c:v>
                </c:pt>
                <c:pt idx="845">
                  <c:v>12.3266297404902</c:v>
                </c:pt>
                <c:pt idx="846">
                  <c:v>12.3266297404902</c:v>
                </c:pt>
                <c:pt idx="847">
                  <c:v>12.3266297404902</c:v>
                </c:pt>
                <c:pt idx="848">
                  <c:v>12.3266297404902</c:v>
                </c:pt>
                <c:pt idx="849">
                  <c:v>12.3266297404902</c:v>
                </c:pt>
                <c:pt idx="850">
                  <c:v>12.3266297404902</c:v>
                </c:pt>
                <c:pt idx="851">
                  <c:v>12.3266297404902</c:v>
                </c:pt>
                <c:pt idx="852">
                  <c:v>12.3266297404902</c:v>
                </c:pt>
                <c:pt idx="853">
                  <c:v>12.3266297404902</c:v>
                </c:pt>
                <c:pt idx="854">
                  <c:v>12.3266297404902</c:v>
                </c:pt>
                <c:pt idx="855">
                  <c:v>12.3266297404902</c:v>
                </c:pt>
                <c:pt idx="856">
                  <c:v>12.3266297404902</c:v>
                </c:pt>
                <c:pt idx="857">
                  <c:v>12.3266297404902</c:v>
                </c:pt>
                <c:pt idx="858">
                  <c:v>12.3266297404902</c:v>
                </c:pt>
                <c:pt idx="859">
                  <c:v>12.3266297404902</c:v>
                </c:pt>
                <c:pt idx="860">
                  <c:v>12.3266297404902</c:v>
                </c:pt>
                <c:pt idx="861">
                  <c:v>12.3266297404902</c:v>
                </c:pt>
                <c:pt idx="862">
                  <c:v>12.3266297404902</c:v>
                </c:pt>
                <c:pt idx="863">
                  <c:v>12.3266297404902</c:v>
                </c:pt>
                <c:pt idx="864">
                  <c:v>12.3266297404902</c:v>
                </c:pt>
                <c:pt idx="865">
                  <c:v>12.3266297404902</c:v>
                </c:pt>
                <c:pt idx="866">
                  <c:v>12.3266297404902</c:v>
                </c:pt>
                <c:pt idx="867">
                  <c:v>12.3266297404902</c:v>
                </c:pt>
                <c:pt idx="868">
                  <c:v>12.3266297404902</c:v>
                </c:pt>
                <c:pt idx="869">
                  <c:v>12.3266297404902</c:v>
                </c:pt>
                <c:pt idx="870">
                  <c:v>12.3266297404902</c:v>
                </c:pt>
                <c:pt idx="871">
                  <c:v>12.3266297404902</c:v>
                </c:pt>
                <c:pt idx="872">
                  <c:v>12.3266297404902</c:v>
                </c:pt>
                <c:pt idx="873">
                  <c:v>12.3266297404902</c:v>
                </c:pt>
                <c:pt idx="874">
                  <c:v>12.3266297404902</c:v>
                </c:pt>
                <c:pt idx="875">
                  <c:v>12.3266297404902</c:v>
                </c:pt>
                <c:pt idx="876">
                  <c:v>12.3266297404902</c:v>
                </c:pt>
                <c:pt idx="877">
                  <c:v>12.3266297404902</c:v>
                </c:pt>
                <c:pt idx="878">
                  <c:v>12.3266297404902</c:v>
                </c:pt>
                <c:pt idx="879">
                  <c:v>12.3266297404902</c:v>
                </c:pt>
                <c:pt idx="880">
                  <c:v>12.3266297404902</c:v>
                </c:pt>
                <c:pt idx="881">
                  <c:v>12.3266297404902</c:v>
                </c:pt>
                <c:pt idx="882">
                  <c:v>12.3266297404902</c:v>
                </c:pt>
                <c:pt idx="883">
                  <c:v>12.3266297404902</c:v>
                </c:pt>
                <c:pt idx="884">
                  <c:v>12.3266297404902</c:v>
                </c:pt>
                <c:pt idx="885">
                  <c:v>12.3266297404902</c:v>
                </c:pt>
                <c:pt idx="886">
                  <c:v>12.3266297404902</c:v>
                </c:pt>
                <c:pt idx="887">
                  <c:v>12.3266297404902</c:v>
                </c:pt>
                <c:pt idx="888">
                  <c:v>12.3266297404902</c:v>
                </c:pt>
                <c:pt idx="889">
                  <c:v>12.3266297404902</c:v>
                </c:pt>
                <c:pt idx="890">
                  <c:v>12.3266297404902</c:v>
                </c:pt>
                <c:pt idx="891">
                  <c:v>12.3266297404902</c:v>
                </c:pt>
                <c:pt idx="892">
                  <c:v>12.3266297404902</c:v>
                </c:pt>
                <c:pt idx="893">
                  <c:v>12.3266297404902</c:v>
                </c:pt>
                <c:pt idx="894">
                  <c:v>12.3266297404902</c:v>
                </c:pt>
                <c:pt idx="895">
                  <c:v>12.3266297404902</c:v>
                </c:pt>
                <c:pt idx="896">
                  <c:v>12.3266297404902</c:v>
                </c:pt>
                <c:pt idx="897">
                  <c:v>12.3266297404902</c:v>
                </c:pt>
                <c:pt idx="898">
                  <c:v>12.3266297404902</c:v>
                </c:pt>
                <c:pt idx="899">
                  <c:v>12.3266297404902</c:v>
                </c:pt>
                <c:pt idx="900">
                  <c:v>12.3266297404902</c:v>
                </c:pt>
                <c:pt idx="901">
                  <c:v>12.3266297404902</c:v>
                </c:pt>
                <c:pt idx="902">
                  <c:v>12.3266297404902</c:v>
                </c:pt>
                <c:pt idx="903">
                  <c:v>12.3266297404902</c:v>
                </c:pt>
                <c:pt idx="904">
                  <c:v>12.3266297404902</c:v>
                </c:pt>
                <c:pt idx="905">
                  <c:v>12.3266297404902</c:v>
                </c:pt>
                <c:pt idx="906">
                  <c:v>12.3266297404902</c:v>
                </c:pt>
                <c:pt idx="907">
                  <c:v>12.3266297404902</c:v>
                </c:pt>
                <c:pt idx="908">
                  <c:v>12.3266297404902</c:v>
                </c:pt>
                <c:pt idx="909">
                  <c:v>12.3266297404902</c:v>
                </c:pt>
                <c:pt idx="910">
                  <c:v>12.3266297404902</c:v>
                </c:pt>
                <c:pt idx="911">
                  <c:v>12.3266297404902</c:v>
                </c:pt>
                <c:pt idx="912">
                  <c:v>12.3266297404902</c:v>
                </c:pt>
                <c:pt idx="913">
                  <c:v>12.3266297404902</c:v>
                </c:pt>
                <c:pt idx="914">
                  <c:v>12.3266297404902</c:v>
                </c:pt>
                <c:pt idx="915">
                  <c:v>12.3266297404902</c:v>
                </c:pt>
                <c:pt idx="916">
                  <c:v>12.3266297404902</c:v>
                </c:pt>
                <c:pt idx="917">
                  <c:v>12.3266297404902</c:v>
                </c:pt>
                <c:pt idx="918">
                  <c:v>12.3266297404902</c:v>
                </c:pt>
                <c:pt idx="919">
                  <c:v>12.3266297404902</c:v>
                </c:pt>
                <c:pt idx="920">
                  <c:v>12.3266297404902</c:v>
                </c:pt>
                <c:pt idx="921">
                  <c:v>12.3266297404902</c:v>
                </c:pt>
                <c:pt idx="922">
                  <c:v>12.3266297404902</c:v>
                </c:pt>
                <c:pt idx="923">
                  <c:v>12.3266297404902</c:v>
                </c:pt>
                <c:pt idx="924">
                  <c:v>12.3266297404902</c:v>
                </c:pt>
                <c:pt idx="925">
                  <c:v>12.3266297404902</c:v>
                </c:pt>
                <c:pt idx="926">
                  <c:v>12.3266297404902</c:v>
                </c:pt>
                <c:pt idx="927">
                  <c:v>12.3266297404902</c:v>
                </c:pt>
                <c:pt idx="928">
                  <c:v>12.3266297404902</c:v>
                </c:pt>
                <c:pt idx="929">
                  <c:v>12.3266297404902</c:v>
                </c:pt>
                <c:pt idx="930">
                  <c:v>12.3266297404902</c:v>
                </c:pt>
                <c:pt idx="931">
                  <c:v>12.3266297404902</c:v>
                </c:pt>
                <c:pt idx="932">
                  <c:v>12.3266297404902</c:v>
                </c:pt>
                <c:pt idx="933">
                  <c:v>12.3266297404902</c:v>
                </c:pt>
                <c:pt idx="934">
                  <c:v>12.3266297404902</c:v>
                </c:pt>
                <c:pt idx="935">
                  <c:v>12.3266297404902</c:v>
                </c:pt>
                <c:pt idx="936">
                  <c:v>12.3266297404902</c:v>
                </c:pt>
                <c:pt idx="937">
                  <c:v>12.3266297404902</c:v>
                </c:pt>
                <c:pt idx="938">
                  <c:v>12.3266297404902</c:v>
                </c:pt>
                <c:pt idx="939">
                  <c:v>12.3266297404902</c:v>
                </c:pt>
                <c:pt idx="940">
                  <c:v>12.3266297404902</c:v>
                </c:pt>
                <c:pt idx="941">
                  <c:v>12.3266297404902</c:v>
                </c:pt>
                <c:pt idx="942">
                  <c:v>12.3266297404902</c:v>
                </c:pt>
                <c:pt idx="943">
                  <c:v>12.3266297404902</c:v>
                </c:pt>
                <c:pt idx="944">
                  <c:v>12.3266297404902</c:v>
                </c:pt>
                <c:pt idx="945">
                  <c:v>12.3266297404902</c:v>
                </c:pt>
                <c:pt idx="946">
                  <c:v>12.3266297404902</c:v>
                </c:pt>
                <c:pt idx="947">
                  <c:v>12.3266297404902</c:v>
                </c:pt>
                <c:pt idx="948">
                  <c:v>12.3266297404902</c:v>
                </c:pt>
                <c:pt idx="949">
                  <c:v>12.3266297404902</c:v>
                </c:pt>
                <c:pt idx="950">
                  <c:v>12.3266297404902</c:v>
                </c:pt>
                <c:pt idx="951">
                  <c:v>12.3266297404902</c:v>
                </c:pt>
                <c:pt idx="952">
                  <c:v>12.3266297404902</c:v>
                </c:pt>
                <c:pt idx="953">
                  <c:v>12.3266297404902</c:v>
                </c:pt>
                <c:pt idx="954">
                  <c:v>12.3266297404902</c:v>
                </c:pt>
                <c:pt idx="955">
                  <c:v>12.3266297404902</c:v>
                </c:pt>
                <c:pt idx="956">
                  <c:v>12.3266297404902</c:v>
                </c:pt>
                <c:pt idx="957">
                  <c:v>12.3266297404902</c:v>
                </c:pt>
                <c:pt idx="958">
                  <c:v>12.3266297404902</c:v>
                </c:pt>
                <c:pt idx="959">
                  <c:v>12.3266297404902</c:v>
                </c:pt>
                <c:pt idx="960">
                  <c:v>12.3266297404902</c:v>
                </c:pt>
                <c:pt idx="961">
                  <c:v>12.3266297404902</c:v>
                </c:pt>
                <c:pt idx="962">
                  <c:v>12.3266297404902</c:v>
                </c:pt>
                <c:pt idx="963">
                  <c:v>12.3266297404902</c:v>
                </c:pt>
                <c:pt idx="964">
                  <c:v>12.3266297404902</c:v>
                </c:pt>
                <c:pt idx="965">
                  <c:v>12.3266297404902</c:v>
                </c:pt>
                <c:pt idx="966">
                  <c:v>12.3266297404902</c:v>
                </c:pt>
                <c:pt idx="967">
                  <c:v>12.3266297404902</c:v>
                </c:pt>
                <c:pt idx="968">
                  <c:v>12.3266297404902</c:v>
                </c:pt>
                <c:pt idx="969">
                  <c:v>12.3266297404902</c:v>
                </c:pt>
                <c:pt idx="970">
                  <c:v>12.3266297404902</c:v>
                </c:pt>
                <c:pt idx="971">
                  <c:v>12.3266297404902</c:v>
                </c:pt>
                <c:pt idx="972">
                  <c:v>12.3266297404902</c:v>
                </c:pt>
                <c:pt idx="973">
                  <c:v>12.3266297404902</c:v>
                </c:pt>
                <c:pt idx="974">
                  <c:v>12.3266297404902</c:v>
                </c:pt>
                <c:pt idx="975">
                  <c:v>12.3266297404902</c:v>
                </c:pt>
                <c:pt idx="976">
                  <c:v>12.3266297404902</c:v>
                </c:pt>
                <c:pt idx="977">
                  <c:v>12.3266297404902</c:v>
                </c:pt>
                <c:pt idx="978">
                  <c:v>12.3266297404902</c:v>
                </c:pt>
                <c:pt idx="979">
                  <c:v>12.3266297404902</c:v>
                </c:pt>
                <c:pt idx="980">
                  <c:v>12.3266297404902</c:v>
                </c:pt>
                <c:pt idx="981">
                  <c:v>12.3266297404902</c:v>
                </c:pt>
                <c:pt idx="982">
                  <c:v>12.3266297404902</c:v>
                </c:pt>
                <c:pt idx="983">
                  <c:v>12.3266297404902</c:v>
                </c:pt>
                <c:pt idx="984">
                  <c:v>12.3266297404902</c:v>
                </c:pt>
                <c:pt idx="985">
                  <c:v>12.3266297404902</c:v>
                </c:pt>
                <c:pt idx="986">
                  <c:v>12.3266297404902</c:v>
                </c:pt>
                <c:pt idx="987">
                  <c:v>12.3266297404902</c:v>
                </c:pt>
                <c:pt idx="988">
                  <c:v>12.3266297404902</c:v>
                </c:pt>
                <c:pt idx="989">
                  <c:v>12.3266297404902</c:v>
                </c:pt>
                <c:pt idx="990">
                  <c:v>12.3266297404902</c:v>
                </c:pt>
                <c:pt idx="991">
                  <c:v>12.3266297404902</c:v>
                </c:pt>
                <c:pt idx="992">
                  <c:v>12.3266297404902</c:v>
                </c:pt>
                <c:pt idx="993">
                  <c:v>12.3266297404902</c:v>
                </c:pt>
                <c:pt idx="994">
                  <c:v>12.3266297404902</c:v>
                </c:pt>
                <c:pt idx="995">
                  <c:v>12.3266297404902</c:v>
                </c:pt>
                <c:pt idx="996">
                  <c:v>12.3266297404902</c:v>
                </c:pt>
                <c:pt idx="997">
                  <c:v>12.3266297404902</c:v>
                </c:pt>
                <c:pt idx="998">
                  <c:v>12.3266297404902</c:v>
                </c:pt>
                <c:pt idx="999">
                  <c:v>12.3266297404902</c:v>
                </c:pt>
              </c:numCache>
            </c:numRef>
          </c:yVal>
          <c:smooth val="0"/>
        </c:ser>
        <c:ser>
          <c:idx val="2"/>
          <c:order val="2"/>
          <c:tx>
            <c:strRef>
              <c:f>"Operating window (pH 6-8)"</c:f>
              <c:strCache>
                <c:ptCount val="1"/>
                <c:pt idx="0">
                  <c:v>Operating window (pH 6-8)</c:v>
                </c:pt>
              </c:strCache>
            </c:strRef>
          </c:tx>
          <c:spPr>
            <a:solidFill>
              <a:srgbClr val="ed7d31"/>
            </a:solidFill>
            <a:ln w="28440">
              <a:solidFill>
                <a:srgbClr val="ed7d31"/>
              </a:solidFill>
              <a:prstDash val="lg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04_Titration!$H$10:$H$14</c:f>
              <c:numCache>
                <c:formatCode>0.00</c:formatCode>
                <c:ptCount val="5"/>
                <c:pt idx="0">
                  <c:v>6</c:v>
                </c:pt>
                <c:pt idx="1">
                  <c:v>6</c:v>
                </c:pt>
                <c:pt idx="2">
                  <c:v>8</c:v>
                </c:pt>
                <c:pt idx="3">
                  <c:v>8</c:v>
                </c:pt>
                <c:pt idx="4">
                  <c:v>6</c:v>
                </c:pt>
              </c:numCache>
            </c:numRef>
          </c:xVal>
          <c:yVal>
            <c:numRef>
              <c:f>04_Titration!$I$10:$I$14</c:f>
              <c:numCache>
                <c:formatCode>General</c:formatCode>
                <c:ptCount val="5"/>
                <c:pt idx="0">
                  <c:v>0</c:v>
                </c:pt>
                <c:pt idx="1">
                  <c:v>258.859224550293</c:v>
                </c:pt>
                <c:pt idx="2">
                  <c:v>258.859224550293</c:v>
                </c:pt>
                <c:pt idx="3">
                  <c:v>0</c:v>
                </c:pt>
                <c:pt idx="4">
                  <c:v>0</c:v>
                </c:pt>
              </c:numCache>
            </c:numRef>
          </c:yVal>
          <c:smooth val="0"/>
        </c:ser>
        <c:axId val="83689672"/>
        <c:axId val="11240572"/>
      </c:scatterChart>
      <c:valAx>
        <c:axId val="83689672"/>
        <c:scaling>
          <c:orientation val="minMax"/>
          <c:max val="13"/>
          <c:min val="1"/>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pH</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40572"/>
        <c:crosses val="min"/>
        <c:crossBetween val="midCat"/>
      </c:valAx>
      <c:valAx>
        <c:axId val="11240572"/>
        <c:scaling>
          <c:orientation val="minMax"/>
          <c:max val="260"/>
          <c:min val="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dPH/dQb  (pH per mL/s)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689672"/>
        <c:crosses val="autoZero"/>
        <c:crossBetween val="midCat"/>
      </c:valAx>
      <c:spPr>
        <a:noFill/>
        <a:ln w="0">
          <a:noFill/>
        </a:ln>
      </c:spPr>
    </c:plotArea>
    <c:legend>
      <c:legendPos val="r"/>
      <c:layout>
        <c:manualLayout>
          <c:xMode val="edge"/>
          <c:yMode val="edge"/>
          <c:x val="0.683137933747738"/>
          <c:y val="0.45438050611499"/>
          <c:w val="0.305331775785785"/>
          <c:h val="0.208748973632385"/>
        </c:manualLayout>
      </c:layout>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Scheduled Kc vs pH — the two philosophies</a:t>
            </a:r>
          </a:p>
        </c:rich>
      </c:tx>
      <c:overlay val="0"/>
      <c:spPr>
        <a:noFill/>
        <a:ln w="0">
          <a:noFill/>
        </a:ln>
      </c:spPr>
    </c:title>
    <c:autoTitleDeleted val="0"/>
    <c:plotArea>
      <c:scatterChart>
        <c:scatterStyle val="line"/>
        <c:varyColors val="0"/>
        <c:ser>
          <c:idx val="0"/>
          <c:order val="0"/>
          <c:tx>
            <c:strRef>
              <c:f>"IMC-scheduled"</c:f>
              <c:strCache>
                <c:ptCount val="1"/>
                <c:pt idx="0">
                  <c:v>IMC-scheduled</c:v>
                </c:pt>
              </c:strCache>
            </c:strRef>
          </c:tx>
          <c:spPr>
            <a:solidFill>
              <a:srgbClr val="1f77b4"/>
            </a:solidFill>
            <a:ln w="2196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05_Schedules!$B$5:$B$285</c:f>
              <c:numCache>
                <c:formatCode>0.000000</c:formatCode>
                <c:ptCount val="281"/>
                <c:pt idx="0">
                  <c:v>0.253531523413277</c:v>
                </c:pt>
                <c:pt idx="1">
                  <c:v>0.251258210450577</c:v>
                </c:pt>
                <c:pt idx="2">
                  <c:v>0.248984897487876</c:v>
                </c:pt>
                <c:pt idx="3">
                  <c:v>0.246711584525176</c:v>
                </c:pt>
                <c:pt idx="4">
                  <c:v>0.244438271562476</c:v>
                </c:pt>
                <c:pt idx="5">
                  <c:v>0.242164958599775</c:v>
                </c:pt>
                <c:pt idx="6">
                  <c:v>0.239891645637075</c:v>
                </c:pt>
                <c:pt idx="7">
                  <c:v>0.237618332674374</c:v>
                </c:pt>
                <c:pt idx="8">
                  <c:v>0.235345019711674</c:v>
                </c:pt>
                <c:pt idx="9">
                  <c:v>0.233071706748974</c:v>
                </c:pt>
                <c:pt idx="10">
                  <c:v>0.230798393786273</c:v>
                </c:pt>
                <c:pt idx="11">
                  <c:v>0.228525080823573</c:v>
                </c:pt>
                <c:pt idx="12">
                  <c:v>0.226251767860873</c:v>
                </c:pt>
                <c:pt idx="13">
                  <c:v>0.223978454898172</c:v>
                </c:pt>
                <c:pt idx="14">
                  <c:v>0.221705141935472</c:v>
                </c:pt>
                <c:pt idx="15">
                  <c:v>0.219431828972771</c:v>
                </c:pt>
                <c:pt idx="16">
                  <c:v>0.217158516010071</c:v>
                </c:pt>
                <c:pt idx="17">
                  <c:v>0.214885203047371</c:v>
                </c:pt>
                <c:pt idx="18">
                  <c:v>0.21261189008467</c:v>
                </c:pt>
                <c:pt idx="19">
                  <c:v>0.21033857712197</c:v>
                </c:pt>
                <c:pt idx="20">
                  <c:v>0.20806526415927</c:v>
                </c:pt>
                <c:pt idx="21">
                  <c:v>0.205791951196569</c:v>
                </c:pt>
                <c:pt idx="22">
                  <c:v>0.203518638233869</c:v>
                </c:pt>
                <c:pt idx="23">
                  <c:v>0.201245325271168</c:v>
                </c:pt>
                <c:pt idx="24">
                  <c:v>0.198972012308468</c:v>
                </c:pt>
                <c:pt idx="25">
                  <c:v>0.196698699345768</c:v>
                </c:pt>
                <c:pt idx="26">
                  <c:v>0.194425386383067</c:v>
                </c:pt>
                <c:pt idx="27">
                  <c:v>0.192152073420367</c:v>
                </c:pt>
                <c:pt idx="28">
                  <c:v>0.189878760457667</c:v>
                </c:pt>
                <c:pt idx="29">
                  <c:v>0.187605447494966</c:v>
                </c:pt>
                <c:pt idx="30">
                  <c:v>0.185332134532266</c:v>
                </c:pt>
                <c:pt idx="31">
                  <c:v>0.183058821569565</c:v>
                </c:pt>
                <c:pt idx="32">
                  <c:v>0.180785508606865</c:v>
                </c:pt>
                <c:pt idx="33">
                  <c:v>0.178512195644165</c:v>
                </c:pt>
                <c:pt idx="34">
                  <c:v>0.176238882681464</c:v>
                </c:pt>
                <c:pt idx="35">
                  <c:v>0.173965569718764</c:v>
                </c:pt>
                <c:pt idx="36">
                  <c:v>0.171692256756064</c:v>
                </c:pt>
                <c:pt idx="37">
                  <c:v>0.169418943793363</c:v>
                </c:pt>
                <c:pt idx="38">
                  <c:v>0.167145630830663</c:v>
                </c:pt>
                <c:pt idx="39">
                  <c:v>0.164872317867962</c:v>
                </c:pt>
                <c:pt idx="40">
                  <c:v>0.162599004905262</c:v>
                </c:pt>
                <c:pt idx="41">
                  <c:v>0.160325691942562</c:v>
                </c:pt>
                <c:pt idx="42">
                  <c:v>0.158052378979861</c:v>
                </c:pt>
                <c:pt idx="43">
                  <c:v>0.155779066017161</c:v>
                </c:pt>
                <c:pt idx="44">
                  <c:v>0.153505753054461</c:v>
                </c:pt>
                <c:pt idx="45">
                  <c:v>0.15123244009176</c:v>
                </c:pt>
                <c:pt idx="46">
                  <c:v>0.14895912712906</c:v>
                </c:pt>
                <c:pt idx="47">
                  <c:v>0.146685814166359</c:v>
                </c:pt>
                <c:pt idx="48">
                  <c:v>0.144412501203659</c:v>
                </c:pt>
                <c:pt idx="49">
                  <c:v>0.142139188240959</c:v>
                </c:pt>
                <c:pt idx="50">
                  <c:v>0.139865875278258</c:v>
                </c:pt>
                <c:pt idx="51">
                  <c:v>0.137592562315558</c:v>
                </c:pt>
                <c:pt idx="52">
                  <c:v>0.135319249352858</c:v>
                </c:pt>
                <c:pt idx="53">
                  <c:v>0.133045936390157</c:v>
                </c:pt>
                <c:pt idx="54">
                  <c:v>0.130772623427457</c:v>
                </c:pt>
                <c:pt idx="55">
                  <c:v>0.128499310464756</c:v>
                </c:pt>
                <c:pt idx="56">
                  <c:v>0.126225997502056</c:v>
                </c:pt>
                <c:pt idx="57">
                  <c:v>0.123952684539356</c:v>
                </c:pt>
                <c:pt idx="58">
                  <c:v>0.121679371576655</c:v>
                </c:pt>
                <c:pt idx="59">
                  <c:v>0.119406058613955</c:v>
                </c:pt>
                <c:pt idx="60">
                  <c:v>0.117132745651255</c:v>
                </c:pt>
                <c:pt idx="61">
                  <c:v>0.114859432688554</c:v>
                </c:pt>
                <c:pt idx="62">
                  <c:v>0.112586119725854</c:v>
                </c:pt>
                <c:pt idx="63">
                  <c:v>0.110312806763153</c:v>
                </c:pt>
                <c:pt idx="64">
                  <c:v>0.108039493800453</c:v>
                </c:pt>
                <c:pt idx="65">
                  <c:v>0.105766180837753</c:v>
                </c:pt>
                <c:pt idx="66">
                  <c:v>0.103492867875052</c:v>
                </c:pt>
                <c:pt idx="67">
                  <c:v>0.101219554912352</c:v>
                </c:pt>
                <c:pt idx="68">
                  <c:v>0.0989462419496516</c:v>
                </c:pt>
                <c:pt idx="69">
                  <c:v>0.0966729289869512</c:v>
                </c:pt>
                <c:pt idx="70">
                  <c:v>0.0943996160242508</c:v>
                </c:pt>
                <c:pt idx="71">
                  <c:v>0.0921263030615505</c:v>
                </c:pt>
                <c:pt idx="72">
                  <c:v>0.0898529900988501</c:v>
                </c:pt>
                <c:pt idx="73">
                  <c:v>0.0875796771361497</c:v>
                </c:pt>
                <c:pt idx="74">
                  <c:v>0.0853063641734493</c:v>
                </c:pt>
                <c:pt idx="75">
                  <c:v>0.083033051210749</c:v>
                </c:pt>
                <c:pt idx="76">
                  <c:v>0.0807597382480486</c:v>
                </c:pt>
                <c:pt idx="77">
                  <c:v>0.0784864252853482</c:v>
                </c:pt>
                <c:pt idx="78">
                  <c:v>0.0762131123226478</c:v>
                </c:pt>
                <c:pt idx="79">
                  <c:v>0.0739397993599475</c:v>
                </c:pt>
                <c:pt idx="80">
                  <c:v>0.0716664863972471</c:v>
                </c:pt>
                <c:pt idx="81">
                  <c:v>0.0693931734345468</c:v>
                </c:pt>
                <c:pt idx="82">
                  <c:v>0.0671198604718463</c:v>
                </c:pt>
                <c:pt idx="83">
                  <c:v>0.064846547509146</c:v>
                </c:pt>
                <c:pt idx="84">
                  <c:v>0.0625732345464456</c:v>
                </c:pt>
                <c:pt idx="85">
                  <c:v>0.0602999215837452</c:v>
                </c:pt>
                <c:pt idx="86">
                  <c:v>0.0580266086210449</c:v>
                </c:pt>
                <c:pt idx="87">
                  <c:v>0.0557532956583445</c:v>
                </c:pt>
                <c:pt idx="88">
                  <c:v>0.0534799826956441</c:v>
                </c:pt>
                <c:pt idx="89">
                  <c:v>0.0512066697329437</c:v>
                </c:pt>
                <c:pt idx="90">
                  <c:v>0.0489333567702434</c:v>
                </c:pt>
                <c:pt idx="91">
                  <c:v>0.046660043807543</c:v>
                </c:pt>
                <c:pt idx="92">
                  <c:v>0.0443867308448426</c:v>
                </c:pt>
                <c:pt idx="93">
                  <c:v>0.0421134178821422</c:v>
                </c:pt>
                <c:pt idx="94">
                  <c:v>0.0398401049194419</c:v>
                </c:pt>
                <c:pt idx="95">
                  <c:v>0.0375667919567415</c:v>
                </c:pt>
                <c:pt idx="96">
                  <c:v>0.0352934789940411</c:v>
                </c:pt>
                <c:pt idx="97">
                  <c:v>0.0330201660313408</c:v>
                </c:pt>
                <c:pt idx="98">
                  <c:v>0.0307468530686404</c:v>
                </c:pt>
                <c:pt idx="99">
                  <c:v>0.02847354010594</c:v>
                </c:pt>
                <c:pt idx="100">
                  <c:v>0.0262002271432396</c:v>
                </c:pt>
                <c:pt idx="101">
                  <c:v>0.0239269141805392</c:v>
                </c:pt>
                <c:pt idx="102">
                  <c:v>0.0216536012178389</c:v>
                </c:pt>
                <c:pt idx="103">
                  <c:v>0.0193802882551385</c:v>
                </c:pt>
                <c:pt idx="104">
                  <c:v>0.0171069752924382</c:v>
                </c:pt>
                <c:pt idx="105">
                  <c:v>0.0148336623297378</c:v>
                </c:pt>
                <c:pt idx="106">
                  <c:v>0.0125603493670374</c:v>
                </c:pt>
                <c:pt idx="107">
                  <c:v>0.010287036404337</c:v>
                </c:pt>
                <c:pt idx="108">
                  <c:v>0.00801372344163664</c:v>
                </c:pt>
                <c:pt idx="109">
                  <c:v>0.00574041047893628</c:v>
                </c:pt>
                <c:pt idx="110">
                  <c:v>0.00346709751623592</c:v>
                </c:pt>
                <c:pt idx="111">
                  <c:v>0.00341162395597613</c:v>
                </c:pt>
                <c:pt idx="112">
                  <c:v>0.00335615039571636</c:v>
                </c:pt>
                <c:pt idx="113">
                  <c:v>0.00330067683545658</c:v>
                </c:pt>
                <c:pt idx="114">
                  <c:v>0.00324520327519681</c:v>
                </c:pt>
                <c:pt idx="115">
                  <c:v>0.00318972971493703</c:v>
                </c:pt>
                <c:pt idx="116">
                  <c:v>0.00313425615467726</c:v>
                </c:pt>
                <c:pt idx="117">
                  <c:v>0.00307878259441748</c:v>
                </c:pt>
                <c:pt idx="118">
                  <c:v>0.00302330903415771</c:v>
                </c:pt>
                <c:pt idx="119">
                  <c:v>0.00296783547389793</c:v>
                </c:pt>
                <c:pt idx="120">
                  <c:v>0.00291236191363816</c:v>
                </c:pt>
                <c:pt idx="121">
                  <c:v>0.00285688835337839</c:v>
                </c:pt>
                <c:pt idx="122">
                  <c:v>0.00280141479311861</c:v>
                </c:pt>
                <c:pt idx="123">
                  <c:v>0.00274594123285884</c:v>
                </c:pt>
                <c:pt idx="124">
                  <c:v>0.00269046767259906</c:v>
                </c:pt>
                <c:pt idx="125">
                  <c:v>0.00263499411233929</c:v>
                </c:pt>
                <c:pt idx="126">
                  <c:v>0.00257952055207951</c:v>
                </c:pt>
                <c:pt idx="127">
                  <c:v>0.00252404699181974</c:v>
                </c:pt>
                <c:pt idx="128">
                  <c:v>0.00246857343155996</c:v>
                </c:pt>
                <c:pt idx="129">
                  <c:v>0.00241309987130019</c:v>
                </c:pt>
                <c:pt idx="130">
                  <c:v>0.00235762631104042</c:v>
                </c:pt>
                <c:pt idx="131">
                  <c:v>0.00230215275078064</c:v>
                </c:pt>
                <c:pt idx="132">
                  <c:v>0.00224667919052087</c:v>
                </c:pt>
                <c:pt idx="133">
                  <c:v>0.00219120563026109</c:v>
                </c:pt>
                <c:pt idx="134">
                  <c:v>0.00213573207000132</c:v>
                </c:pt>
                <c:pt idx="135">
                  <c:v>0.00208025850974154</c:v>
                </c:pt>
                <c:pt idx="136">
                  <c:v>0.00202478494948177</c:v>
                </c:pt>
                <c:pt idx="137">
                  <c:v>0.00196931138922199</c:v>
                </c:pt>
                <c:pt idx="138">
                  <c:v>0.00191383782896222</c:v>
                </c:pt>
                <c:pt idx="139">
                  <c:v>0.00185836426870245</c:v>
                </c:pt>
                <c:pt idx="140">
                  <c:v>0.00180289070844267</c:v>
                </c:pt>
                <c:pt idx="141">
                  <c:v>0.0017474171481829</c:v>
                </c:pt>
                <c:pt idx="142">
                  <c:v>0.00169194358792312</c:v>
                </c:pt>
                <c:pt idx="143">
                  <c:v>0.00163647002766335</c:v>
                </c:pt>
                <c:pt idx="144">
                  <c:v>0.00158099646740357</c:v>
                </c:pt>
                <c:pt idx="145">
                  <c:v>0.0015255229071438</c:v>
                </c:pt>
                <c:pt idx="146">
                  <c:v>0.00147004934688402</c:v>
                </c:pt>
                <c:pt idx="147">
                  <c:v>0.00141457578662425</c:v>
                </c:pt>
                <c:pt idx="148">
                  <c:v>0.00135910222636447</c:v>
                </c:pt>
                <c:pt idx="149">
                  <c:v>0.0013036286661047</c:v>
                </c:pt>
                <c:pt idx="150">
                  <c:v>0.00124815510584493</c:v>
                </c:pt>
                <c:pt idx="151">
                  <c:v>0.00135910222636448</c:v>
                </c:pt>
                <c:pt idx="152">
                  <c:v>0.00147004934688403</c:v>
                </c:pt>
                <c:pt idx="153">
                  <c:v>0.00158099646740357</c:v>
                </c:pt>
                <c:pt idx="154">
                  <c:v>0.00169194358792312</c:v>
                </c:pt>
                <c:pt idx="155">
                  <c:v>0.00180289070844267</c:v>
                </c:pt>
                <c:pt idx="156">
                  <c:v>0.00191383782896222</c:v>
                </c:pt>
                <c:pt idx="157">
                  <c:v>0.00202478494948177</c:v>
                </c:pt>
                <c:pt idx="158">
                  <c:v>0.00213573207000132</c:v>
                </c:pt>
                <c:pt idx="159">
                  <c:v>0.00224667919052087</c:v>
                </c:pt>
                <c:pt idx="160">
                  <c:v>0.00235762631104042</c:v>
                </c:pt>
                <c:pt idx="161">
                  <c:v>0.00246857343155997</c:v>
                </c:pt>
                <c:pt idx="162">
                  <c:v>0.00257952055207951</c:v>
                </c:pt>
                <c:pt idx="163">
                  <c:v>0.00269046767259906</c:v>
                </c:pt>
                <c:pt idx="164">
                  <c:v>0.00280141479311861</c:v>
                </c:pt>
                <c:pt idx="165">
                  <c:v>0.00291236191363816</c:v>
                </c:pt>
                <c:pt idx="166">
                  <c:v>0.00302330903415771</c:v>
                </c:pt>
                <c:pt idx="167">
                  <c:v>0.00313425615467726</c:v>
                </c:pt>
                <c:pt idx="168">
                  <c:v>0.00324520327519681</c:v>
                </c:pt>
                <c:pt idx="169">
                  <c:v>0.00335615039571636</c:v>
                </c:pt>
                <c:pt idx="170">
                  <c:v>0.00346709751623591</c:v>
                </c:pt>
                <c:pt idx="171">
                  <c:v>0.00957627679988149</c:v>
                </c:pt>
                <c:pt idx="172">
                  <c:v>0.0156854560835269</c:v>
                </c:pt>
                <c:pt idx="173">
                  <c:v>0.0217946353671724</c:v>
                </c:pt>
                <c:pt idx="174">
                  <c:v>0.027903814650818</c:v>
                </c:pt>
                <c:pt idx="175">
                  <c:v>0.0340129939344634</c:v>
                </c:pt>
                <c:pt idx="176">
                  <c:v>0.040122173218109</c:v>
                </c:pt>
                <c:pt idx="177">
                  <c:v>0.0462313525017543</c:v>
                </c:pt>
                <c:pt idx="178">
                  <c:v>0.0523405317853999</c:v>
                </c:pt>
                <c:pt idx="179">
                  <c:v>0.0584497110690455</c:v>
                </c:pt>
                <c:pt idx="180">
                  <c:v>0.0645588903526909</c:v>
                </c:pt>
                <c:pt idx="181">
                  <c:v>0.0706680696363365</c:v>
                </c:pt>
                <c:pt idx="182">
                  <c:v>0.0767772489199818</c:v>
                </c:pt>
                <c:pt idx="183">
                  <c:v>0.0828864282036274</c:v>
                </c:pt>
                <c:pt idx="184">
                  <c:v>0.088995607487273</c:v>
                </c:pt>
                <c:pt idx="185">
                  <c:v>0.0951047867709184</c:v>
                </c:pt>
                <c:pt idx="186">
                  <c:v>0.101213966054564</c:v>
                </c:pt>
                <c:pt idx="187">
                  <c:v>0.107323145338209</c:v>
                </c:pt>
                <c:pt idx="188">
                  <c:v>0.113432324621855</c:v>
                </c:pt>
                <c:pt idx="189">
                  <c:v>0.119541503905501</c:v>
                </c:pt>
                <c:pt idx="190">
                  <c:v>0.125650683189146</c:v>
                </c:pt>
                <c:pt idx="191">
                  <c:v>0.125650683189146</c:v>
                </c:pt>
                <c:pt idx="192">
                  <c:v>0.125650683189146</c:v>
                </c:pt>
                <c:pt idx="193">
                  <c:v>0.125650683189146</c:v>
                </c:pt>
                <c:pt idx="194">
                  <c:v>0.125650683189146</c:v>
                </c:pt>
                <c:pt idx="195">
                  <c:v>0.125650683189146</c:v>
                </c:pt>
                <c:pt idx="196">
                  <c:v>0.125650683189146</c:v>
                </c:pt>
                <c:pt idx="197">
                  <c:v>0.125650683189146</c:v>
                </c:pt>
                <c:pt idx="198">
                  <c:v>0.125650683189146</c:v>
                </c:pt>
                <c:pt idx="199">
                  <c:v>0.125650683189146</c:v>
                </c:pt>
                <c:pt idx="200">
                  <c:v>0.125650683189146</c:v>
                </c:pt>
                <c:pt idx="201">
                  <c:v>0.125650683189146</c:v>
                </c:pt>
                <c:pt idx="202">
                  <c:v>0.125650683189146</c:v>
                </c:pt>
                <c:pt idx="203">
                  <c:v>0.125650683189146</c:v>
                </c:pt>
                <c:pt idx="204">
                  <c:v>0.125650683189146</c:v>
                </c:pt>
                <c:pt idx="205">
                  <c:v>0.125650683189146</c:v>
                </c:pt>
                <c:pt idx="206">
                  <c:v>0.125650683189146</c:v>
                </c:pt>
                <c:pt idx="207">
                  <c:v>0.125650683189146</c:v>
                </c:pt>
                <c:pt idx="208">
                  <c:v>0.125650683189146</c:v>
                </c:pt>
                <c:pt idx="209">
                  <c:v>0.125650683189146</c:v>
                </c:pt>
                <c:pt idx="210">
                  <c:v>0.125650683189146</c:v>
                </c:pt>
                <c:pt idx="211">
                  <c:v>0.125650683189146</c:v>
                </c:pt>
                <c:pt idx="212">
                  <c:v>0.125650683189146</c:v>
                </c:pt>
                <c:pt idx="213">
                  <c:v>0.125650683189146</c:v>
                </c:pt>
                <c:pt idx="214">
                  <c:v>0.125650683189146</c:v>
                </c:pt>
                <c:pt idx="215">
                  <c:v>0.125650683189146</c:v>
                </c:pt>
                <c:pt idx="216">
                  <c:v>0.125650683189146</c:v>
                </c:pt>
                <c:pt idx="217">
                  <c:v>0.125650683189146</c:v>
                </c:pt>
                <c:pt idx="218">
                  <c:v>0.125650683189146</c:v>
                </c:pt>
                <c:pt idx="219">
                  <c:v>0.125650683189146</c:v>
                </c:pt>
                <c:pt idx="220">
                  <c:v>0.125650683189146</c:v>
                </c:pt>
                <c:pt idx="221">
                  <c:v>0.125650683189146</c:v>
                </c:pt>
                <c:pt idx="222">
                  <c:v>0.125650683189146</c:v>
                </c:pt>
                <c:pt idx="223">
                  <c:v>0.125650683189146</c:v>
                </c:pt>
                <c:pt idx="224">
                  <c:v>0.125650683189146</c:v>
                </c:pt>
                <c:pt idx="225">
                  <c:v>0.125650683189146</c:v>
                </c:pt>
                <c:pt idx="226">
                  <c:v>0.125650683189146</c:v>
                </c:pt>
                <c:pt idx="227">
                  <c:v>0.125650683189146</c:v>
                </c:pt>
                <c:pt idx="228">
                  <c:v>0.125650683189146</c:v>
                </c:pt>
                <c:pt idx="229">
                  <c:v>0.125650683189146</c:v>
                </c:pt>
                <c:pt idx="230">
                  <c:v>0.125650683189146</c:v>
                </c:pt>
                <c:pt idx="231">
                  <c:v>0.125650683189146</c:v>
                </c:pt>
                <c:pt idx="232">
                  <c:v>0.125650683189146</c:v>
                </c:pt>
                <c:pt idx="233">
                  <c:v>0.125650683189146</c:v>
                </c:pt>
                <c:pt idx="234">
                  <c:v>0.125650683189146</c:v>
                </c:pt>
                <c:pt idx="235">
                  <c:v>0.125650683189146</c:v>
                </c:pt>
                <c:pt idx="236">
                  <c:v>0.125650683189146</c:v>
                </c:pt>
                <c:pt idx="237">
                  <c:v>0.125650683189146</c:v>
                </c:pt>
                <c:pt idx="238">
                  <c:v>0.125650683189146</c:v>
                </c:pt>
                <c:pt idx="239">
                  <c:v>0.125650683189146</c:v>
                </c:pt>
                <c:pt idx="240">
                  <c:v>0.125650683189146</c:v>
                </c:pt>
                <c:pt idx="241">
                  <c:v>0.125650683189146</c:v>
                </c:pt>
                <c:pt idx="242">
                  <c:v>0.125650683189146</c:v>
                </c:pt>
                <c:pt idx="243">
                  <c:v>0.125650683189146</c:v>
                </c:pt>
                <c:pt idx="244">
                  <c:v>0.125650683189146</c:v>
                </c:pt>
                <c:pt idx="245">
                  <c:v>0.125650683189146</c:v>
                </c:pt>
                <c:pt idx="246">
                  <c:v>0.125650683189146</c:v>
                </c:pt>
                <c:pt idx="247">
                  <c:v>0.125650683189146</c:v>
                </c:pt>
                <c:pt idx="248">
                  <c:v>0.125650683189146</c:v>
                </c:pt>
                <c:pt idx="249">
                  <c:v>0.125650683189146</c:v>
                </c:pt>
                <c:pt idx="250">
                  <c:v>0.125650683189146</c:v>
                </c:pt>
                <c:pt idx="251">
                  <c:v>0.125650683189146</c:v>
                </c:pt>
                <c:pt idx="252">
                  <c:v>0.125650683189146</c:v>
                </c:pt>
                <c:pt idx="253">
                  <c:v>0.125650683189146</c:v>
                </c:pt>
                <c:pt idx="254">
                  <c:v>0.125650683189146</c:v>
                </c:pt>
                <c:pt idx="255">
                  <c:v>0.125650683189146</c:v>
                </c:pt>
                <c:pt idx="256">
                  <c:v>0.125650683189146</c:v>
                </c:pt>
                <c:pt idx="257">
                  <c:v>0.125650683189146</c:v>
                </c:pt>
                <c:pt idx="258">
                  <c:v>0.125650683189146</c:v>
                </c:pt>
                <c:pt idx="259">
                  <c:v>0.125650683189146</c:v>
                </c:pt>
                <c:pt idx="260">
                  <c:v>0.125650683189146</c:v>
                </c:pt>
                <c:pt idx="261">
                  <c:v>0.125650683189146</c:v>
                </c:pt>
                <c:pt idx="262">
                  <c:v>0.125650683189146</c:v>
                </c:pt>
                <c:pt idx="263">
                  <c:v>0.125650683189146</c:v>
                </c:pt>
                <c:pt idx="264">
                  <c:v>0.125650683189146</c:v>
                </c:pt>
                <c:pt idx="265">
                  <c:v>0.125650683189146</c:v>
                </c:pt>
                <c:pt idx="266">
                  <c:v>0.125650683189146</c:v>
                </c:pt>
                <c:pt idx="267">
                  <c:v>0.125650683189146</c:v>
                </c:pt>
                <c:pt idx="268">
                  <c:v>0.125650683189146</c:v>
                </c:pt>
                <c:pt idx="269">
                  <c:v>0.125650683189146</c:v>
                </c:pt>
                <c:pt idx="270">
                  <c:v>0.125650683189146</c:v>
                </c:pt>
                <c:pt idx="271">
                  <c:v>0.125650683189146</c:v>
                </c:pt>
                <c:pt idx="272">
                  <c:v>0.125650683189146</c:v>
                </c:pt>
                <c:pt idx="273">
                  <c:v>0.125650683189146</c:v>
                </c:pt>
                <c:pt idx="274">
                  <c:v>0.125650683189146</c:v>
                </c:pt>
                <c:pt idx="275">
                  <c:v>0.125650683189146</c:v>
                </c:pt>
                <c:pt idx="276">
                  <c:v>0.125650683189146</c:v>
                </c:pt>
                <c:pt idx="277">
                  <c:v>0.125650683189146</c:v>
                </c:pt>
                <c:pt idx="278">
                  <c:v>0.125650683189146</c:v>
                </c:pt>
                <c:pt idx="279">
                  <c:v>0.125650683189146</c:v>
                </c:pt>
                <c:pt idx="280">
                  <c:v>0.125650683189146</c:v>
                </c:pt>
              </c:numCache>
            </c:numRef>
          </c:yVal>
          <c:smooth val="0"/>
        </c:ser>
        <c:ser>
          <c:idx val="1"/>
          <c:order val="1"/>
          <c:tx>
            <c:strRef>
              <c:f>"Pure gain-scheduled"</c:f>
              <c:strCache>
                <c:ptCount val="1"/>
                <c:pt idx="0">
                  <c:v>Pure gain-scheduled</c:v>
                </c:pt>
              </c:strCache>
            </c:strRef>
          </c:tx>
          <c:spPr>
            <a:solidFill>
              <a:srgbClr val="ff7f0e"/>
            </a:solidFill>
            <a:ln w="21960">
              <a:solidFill>
                <a:srgbClr val="ff7f0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05_Schedules!$E$5:$E$285</c:f>
              <c:numCache>
                <c:formatCode>0.000000</c:formatCode>
                <c:ptCount val="281"/>
                <c:pt idx="0">
                  <c:v>0.085287538509209</c:v>
                </c:pt>
                <c:pt idx="1">
                  <c:v>0.085287538509209</c:v>
                </c:pt>
                <c:pt idx="2">
                  <c:v>0.085287538509209</c:v>
                </c:pt>
                <c:pt idx="3">
                  <c:v>0.085287538509209</c:v>
                </c:pt>
                <c:pt idx="4">
                  <c:v>0.085287538509209</c:v>
                </c:pt>
                <c:pt idx="5">
                  <c:v>0.085287538509209</c:v>
                </c:pt>
                <c:pt idx="6">
                  <c:v>0.085287538509209</c:v>
                </c:pt>
                <c:pt idx="7">
                  <c:v>0.085287538509209</c:v>
                </c:pt>
                <c:pt idx="8">
                  <c:v>0.085287538509209</c:v>
                </c:pt>
                <c:pt idx="9">
                  <c:v>0.085287538509209</c:v>
                </c:pt>
                <c:pt idx="10">
                  <c:v>0.085287538509209</c:v>
                </c:pt>
                <c:pt idx="11">
                  <c:v>0.085287538509209</c:v>
                </c:pt>
                <c:pt idx="12">
                  <c:v>0.085287538509209</c:v>
                </c:pt>
                <c:pt idx="13">
                  <c:v>0.085287538509209</c:v>
                </c:pt>
                <c:pt idx="14">
                  <c:v>0.085287538509209</c:v>
                </c:pt>
                <c:pt idx="15">
                  <c:v>0.085287538509209</c:v>
                </c:pt>
                <c:pt idx="16">
                  <c:v>0.085287538509209</c:v>
                </c:pt>
                <c:pt idx="17">
                  <c:v>0.085287538509209</c:v>
                </c:pt>
                <c:pt idx="18">
                  <c:v>0.085287538509209</c:v>
                </c:pt>
                <c:pt idx="19">
                  <c:v>0.085287538509209</c:v>
                </c:pt>
                <c:pt idx="20">
                  <c:v>0.085287538509209</c:v>
                </c:pt>
                <c:pt idx="21">
                  <c:v>0.085287538509209</c:v>
                </c:pt>
                <c:pt idx="22">
                  <c:v>0.085287538509209</c:v>
                </c:pt>
                <c:pt idx="23">
                  <c:v>0.085287538509209</c:v>
                </c:pt>
                <c:pt idx="24">
                  <c:v>0.085287538509209</c:v>
                </c:pt>
                <c:pt idx="25">
                  <c:v>0.085287538509209</c:v>
                </c:pt>
                <c:pt idx="26">
                  <c:v>0.085287538509209</c:v>
                </c:pt>
                <c:pt idx="27">
                  <c:v>0.085287538509209</c:v>
                </c:pt>
                <c:pt idx="28">
                  <c:v>0.085287538509209</c:v>
                </c:pt>
                <c:pt idx="29">
                  <c:v>0.085287538509209</c:v>
                </c:pt>
                <c:pt idx="30">
                  <c:v>0.085287538509209</c:v>
                </c:pt>
                <c:pt idx="31">
                  <c:v>0.085287538509209</c:v>
                </c:pt>
                <c:pt idx="32">
                  <c:v>0.085287538509209</c:v>
                </c:pt>
                <c:pt idx="33">
                  <c:v>0.085287538509209</c:v>
                </c:pt>
                <c:pt idx="34">
                  <c:v>0.085287538509209</c:v>
                </c:pt>
                <c:pt idx="35">
                  <c:v>0.085287538509209</c:v>
                </c:pt>
                <c:pt idx="36">
                  <c:v>0.085287538509209</c:v>
                </c:pt>
                <c:pt idx="37">
                  <c:v>0.085287538509209</c:v>
                </c:pt>
                <c:pt idx="38">
                  <c:v>0.085287538509209</c:v>
                </c:pt>
                <c:pt idx="39">
                  <c:v>0.085287538509209</c:v>
                </c:pt>
                <c:pt idx="40">
                  <c:v>0.085287538509209</c:v>
                </c:pt>
                <c:pt idx="41">
                  <c:v>0.085287538509209</c:v>
                </c:pt>
                <c:pt idx="42">
                  <c:v>0.085287538509209</c:v>
                </c:pt>
                <c:pt idx="43">
                  <c:v>0.085287538509209</c:v>
                </c:pt>
                <c:pt idx="44">
                  <c:v>0.085287538509209</c:v>
                </c:pt>
                <c:pt idx="45">
                  <c:v>0.085287538509209</c:v>
                </c:pt>
                <c:pt idx="46">
                  <c:v>0.085287538509209</c:v>
                </c:pt>
                <c:pt idx="47">
                  <c:v>0.085287538509209</c:v>
                </c:pt>
                <c:pt idx="48">
                  <c:v>0.085287538509209</c:v>
                </c:pt>
                <c:pt idx="49">
                  <c:v>0.085287538509209</c:v>
                </c:pt>
                <c:pt idx="50">
                  <c:v>0.085287538509209</c:v>
                </c:pt>
                <c:pt idx="51">
                  <c:v>0.085287538509209</c:v>
                </c:pt>
                <c:pt idx="52">
                  <c:v>0.085287538509209</c:v>
                </c:pt>
                <c:pt idx="53">
                  <c:v>0.085287538509209</c:v>
                </c:pt>
                <c:pt idx="54">
                  <c:v>0.085287538509209</c:v>
                </c:pt>
                <c:pt idx="55">
                  <c:v>0.085287538509209</c:v>
                </c:pt>
                <c:pt idx="56">
                  <c:v>0.085287538509209</c:v>
                </c:pt>
                <c:pt idx="57">
                  <c:v>0.085287538509209</c:v>
                </c:pt>
                <c:pt idx="58">
                  <c:v>0.085287538509209</c:v>
                </c:pt>
                <c:pt idx="59">
                  <c:v>0.085287538509209</c:v>
                </c:pt>
                <c:pt idx="60">
                  <c:v>0.085287538509209</c:v>
                </c:pt>
                <c:pt idx="61">
                  <c:v>0.085287538509209</c:v>
                </c:pt>
                <c:pt idx="62">
                  <c:v>0.085287538509209</c:v>
                </c:pt>
                <c:pt idx="63">
                  <c:v>0.085287538509209</c:v>
                </c:pt>
                <c:pt idx="64">
                  <c:v>0.085287538509209</c:v>
                </c:pt>
                <c:pt idx="65">
                  <c:v>0.085287538509209</c:v>
                </c:pt>
                <c:pt idx="66">
                  <c:v>0.085287538509209</c:v>
                </c:pt>
                <c:pt idx="67">
                  <c:v>0.085287538509209</c:v>
                </c:pt>
                <c:pt idx="68">
                  <c:v>0.085287538509209</c:v>
                </c:pt>
                <c:pt idx="69">
                  <c:v>0.085287538509209</c:v>
                </c:pt>
                <c:pt idx="70">
                  <c:v>0.085287538509209</c:v>
                </c:pt>
                <c:pt idx="71">
                  <c:v>0.085287538509209</c:v>
                </c:pt>
                <c:pt idx="72">
                  <c:v>0.085287538509209</c:v>
                </c:pt>
                <c:pt idx="73">
                  <c:v>0.085287538509209</c:v>
                </c:pt>
                <c:pt idx="74">
                  <c:v>0.085287538509209</c:v>
                </c:pt>
                <c:pt idx="75">
                  <c:v>0.085287538509209</c:v>
                </c:pt>
                <c:pt idx="76">
                  <c:v>0.085287538509209</c:v>
                </c:pt>
                <c:pt idx="77">
                  <c:v>0.085287538509209</c:v>
                </c:pt>
                <c:pt idx="78">
                  <c:v>0.085287538509209</c:v>
                </c:pt>
                <c:pt idx="79">
                  <c:v>0.085287538509209</c:v>
                </c:pt>
                <c:pt idx="80">
                  <c:v>0.085287538509209</c:v>
                </c:pt>
                <c:pt idx="81">
                  <c:v>0.085287538509209</c:v>
                </c:pt>
                <c:pt idx="82">
                  <c:v>0.085287538509209</c:v>
                </c:pt>
                <c:pt idx="83">
                  <c:v>0.085287538509209</c:v>
                </c:pt>
                <c:pt idx="84">
                  <c:v>0.085287538509209</c:v>
                </c:pt>
                <c:pt idx="85">
                  <c:v>0.085287538509209</c:v>
                </c:pt>
                <c:pt idx="86">
                  <c:v>0.085287538509209</c:v>
                </c:pt>
                <c:pt idx="87">
                  <c:v>0.085287538509209</c:v>
                </c:pt>
                <c:pt idx="88">
                  <c:v>0.085287538509209</c:v>
                </c:pt>
                <c:pt idx="89">
                  <c:v>0.085287538509209</c:v>
                </c:pt>
                <c:pt idx="90">
                  <c:v>0.085287538509209</c:v>
                </c:pt>
                <c:pt idx="91">
                  <c:v>0.085287538509209</c:v>
                </c:pt>
                <c:pt idx="92">
                  <c:v>0.085287538509209</c:v>
                </c:pt>
                <c:pt idx="93">
                  <c:v>0.085287538509209</c:v>
                </c:pt>
                <c:pt idx="94">
                  <c:v>0.085287538509209</c:v>
                </c:pt>
                <c:pt idx="95">
                  <c:v>0.085287538509209</c:v>
                </c:pt>
                <c:pt idx="96">
                  <c:v>0.085287538509209</c:v>
                </c:pt>
                <c:pt idx="97">
                  <c:v>0.085287538509209</c:v>
                </c:pt>
                <c:pt idx="98">
                  <c:v>0.085287538509209</c:v>
                </c:pt>
                <c:pt idx="99">
                  <c:v>0.085287538509209</c:v>
                </c:pt>
                <c:pt idx="100">
                  <c:v>0.0818572936949017</c:v>
                </c:pt>
                <c:pt idx="101">
                  <c:v>0.077673272487063</c:v>
                </c:pt>
                <c:pt idx="102">
                  <c:v>0.0734892512792243</c:v>
                </c:pt>
                <c:pt idx="103">
                  <c:v>0.0674531355601822</c:v>
                </c:pt>
                <c:pt idx="104">
                  <c:v>0.0597881105082602</c:v>
                </c:pt>
                <c:pt idx="105">
                  <c:v>0.0521230854563382</c:v>
                </c:pt>
                <c:pt idx="106">
                  <c:v>0.0454336367199475</c:v>
                </c:pt>
                <c:pt idx="107">
                  <c:v>0.0417624371037922</c:v>
                </c:pt>
                <c:pt idx="108">
                  <c:v>0.0380912374876369</c:v>
                </c:pt>
                <c:pt idx="109">
                  <c:v>0.0344200378714817</c:v>
                </c:pt>
                <c:pt idx="110">
                  <c:v>0.0323599381487951</c:v>
                </c:pt>
                <c:pt idx="111">
                  <c:v>0.030373135458428</c:v>
                </c:pt>
                <c:pt idx="112">
                  <c:v>0.0283863327680608</c:v>
                </c:pt>
                <c:pt idx="113">
                  <c:v>0.0277446759898539</c:v>
                </c:pt>
                <c:pt idx="114">
                  <c:v>0.0277694620711599</c:v>
                </c:pt>
                <c:pt idx="115">
                  <c:v>0.0277942481524658</c:v>
                </c:pt>
                <c:pt idx="116">
                  <c:v>0.0278190898923224</c:v>
                </c:pt>
                <c:pt idx="117">
                  <c:v>0.0278440220928823</c:v>
                </c:pt>
                <c:pt idx="118">
                  <c:v>0.0278689542934421</c:v>
                </c:pt>
                <c:pt idx="119">
                  <c:v>0.0278939002220959</c:v>
                </c:pt>
                <c:pt idx="120">
                  <c:v>0.027918979837836</c:v>
                </c:pt>
                <c:pt idx="121">
                  <c:v>0.0279440594535761</c:v>
                </c:pt>
                <c:pt idx="122">
                  <c:v>0.0279691390693162</c:v>
                </c:pt>
                <c:pt idx="123">
                  <c:v>0.0279943384602782</c:v>
                </c:pt>
                <c:pt idx="124">
                  <c:v>0.0280195668024949</c:v>
                </c:pt>
                <c:pt idx="125">
                  <c:v>0.0280447951447116</c:v>
                </c:pt>
                <c:pt idx="126">
                  <c:v>0.0280701011474244</c:v>
                </c:pt>
                <c:pt idx="127">
                  <c:v>0.0280954795430129</c:v>
                </c:pt>
                <c:pt idx="128">
                  <c:v>0.0281208579386013</c:v>
                </c:pt>
                <c:pt idx="129">
                  <c:v>0.0281462711198728</c:v>
                </c:pt>
                <c:pt idx="130">
                  <c:v>0.0281718009115594</c:v>
                </c:pt>
                <c:pt idx="131">
                  <c:v>0.0281973307032461</c:v>
                </c:pt>
                <c:pt idx="132">
                  <c:v>0.0282228604949327</c:v>
                </c:pt>
                <c:pt idx="133">
                  <c:v>0.0282485341786127</c:v>
                </c:pt>
                <c:pt idx="134">
                  <c:v>0.0282742167251921</c:v>
                </c:pt>
                <c:pt idx="135">
                  <c:v>0.0282998992717715</c:v>
                </c:pt>
                <c:pt idx="136">
                  <c:v>0.0283256826491405</c:v>
                </c:pt>
                <c:pt idx="137">
                  <c:v>0.0283515193257164</c:v>
                </c:pt>
                <c:pt idx="138">
                  <c:v>0.0283773560022923</c:v>
                </c:pt>
                <c:pt idx="139">
                  <c:v>0.0284032496630474</c:v>
                </c:pt>
                <c:pt idx="140">
                  <c:v>0.0284292418612782</c:v>
                </c:pt>
                <c:pt idx="141">
                  <c:v>0.0284552340595091</c:v>
                </c:pt>
                <c:pt idx="142">
                  <c:v>0.028481238595629</c:v>
                </c:pt>
                <c:pt idx="143">
                  <c:v>0.0285073877239776</c:v>
                </c:pt>
                <c:pt idx="144">
                  <c:v>0.0285335368523263</c:v>
                </c:pt>
                <c:pt idx="145">
                  <c:v>0.028559685980675</c:v>
                </c:pt>
                <c:pt idx="146">
                  <c:v>0.0285859603420211</c:v>
                </c:pt>
                <c:pt idx="147">
                  <c:v>0.0286122678260094</c:v>
                </c:pt>
                <c:pt idx="148">
                  <c:v>0.0286385753099978</c:v>
                </c:pt>
                <c:pt idx="149">
                  <c:v>0.0286649631801942</c:v>
                </c:pt>
                <c:pt idx="150">
                  <c:v>0.0286914304626621</c:v>
                </c:pt>
                <c:pt idx="151">
                  <c:v>0.0287178977451299</c:v>
                </c:pt>
                <c:pt idx="152">
                  <c:v>0.0287443997403416</c:v>
                </c:pt>
                <c:pt idx="153">
                  <c:v>0.0287710282817106</c:v>
                </c:pt>
                <c:pt idx="154">
                  <c:v>0.0287976568230795</c:v>
                </c:pt>
                <c:pt idx="155">
                  <c:v>0.0288242853644485</c:v>
                </c:pt>
                <c:pt idx="156">
                  <c:v>0.0288510648403965</c:v>
                </c:pt>
                <c:pt idx="157">
                  <c:v>0.0288778561189385</c:v>
                </c:pt>
                <c:pt idx="158">
                  <c:v>0.0289046473974806</c:v>
                </c:pt>
                <c:pt idx="159">
                  <c:v>0.0289315437342761</c:v>
                </c:pt>
                <c:pt idx="160">
                  <c:v>0.0289584992463872</c:v>
                </c:pt>
                <c:pt idx="161">
                  <c:v>0.0289854547584982</c:v>
                </c:pt>
                <c:pt idx="162">
                  <c:v>0.0290124685977282</c:v>
                </c:pt>
                <c:pt idx="163">
                  <c:v>0.0290395898582068</c:v>
                </c:pt>
                <c:pt idx="164">
                  <c:v>0.0290667111186853</c:v>
                </c:pt>
                <c:pt idx="165">
                  <c:v>0.0290938431044694</c:v>
                </c:pt>
                <c:pt idx="166">
                  <c:v>0.0291211316468003</c:v>
                </c:pt>
                <c:pt idx="167">
                  <c:v>0.0291484201891311</c:v>
                </c:pt>
                <c:pt idx="168">
                  <c:v>0.029175708731462</c:v>
                </c:pt>
                <c:pt idx="169">
                  <c:v>0.0292031283447209</c:v>
                </c:pt>
                <c:pt idx="170">
                  <c:v>0.0292305857213642</c:v>
                </c:pt>
                <c:pt idx="171">
                  <c:v>0.0292580430980076</c:v>
                </c:pt>
                <c:pt idx="172">
                  <c:v>0.0296873986986889</c:v>
                </c:pt>
                <c:pt idx="173">
                  <c:v>0.0305375038410949</c:v>
                </c:pt>
                <c:pt idx="174">
                  <c:v>0.031387608983501</c:v>
                </c:pt>
                <c:pt idx="175">
                  <c:v>0.0332382644012585</c:v>
                </c:pt>
                <c:pt idx="176">
                  <c:v>0.0390722855037115</c:v>
                </c:pt>
                <c:pt idx="177">
                  <c:v>0.0449063066061643</c:v>
                </c:pt>
                <c:pt idx="178">
                  <c:v>0.0507403277086173</c:v>
                </c:pt>
                <c:pt idx="179">
                  <c:v>0.0607003213692637</c:v>
                </c:pt>
                <c:pt idx="180">
                  <c:v>0.0710536314359241</c:v>
                </c:pt>
                <c:pt idx="181">
                  <c:v>0.0814069415025849</c:v>
                </c:pt>
                <c:pt idx="182">
                  <c:v>0.085287538509209</c:v>
                </c:pt>
                <c:pt idx="183">
                  <c:v>0.085287538509209</c:v>
                </c:pt>
                <c:pt idx="184">
                  <c:v>0.085287538509209</c:v>
                </c:pt>
                <c:pt idx="185">
                  <c:v>0.085287538509209</c:v>
                </c:pt>
                <c:pt idx="186">
                  <c:v>0.085287538509209</c:v>
                </c:pt>
                <c:pt idx="187">
                  <c:v>0.085287538509209</c:v>
                </c:pt>
                <c:pt idx="188">
                  <c:v>0.085287538509209</c:v>
                </c:pt>
                <c:pt idx="189">
                  <c:v>0.085287538509209</c:v>
                </c:pt>
                <c:pt idx="190">
                  <c:v>0.085287538509209</c:v>
                </c:pt>
                <c:pt idx="191">
                  <c:v>0.085287538509209</c:v>
                </c:pt>
                <c:pt idx="192">
                  <c:v>0.085287538509209</c:v>
                </c:pt>
                <c:pt idx="193">
                  <c:v>0.085287538509209</c:v>
                </c:pt>
                <c:pt idx="194">
                  <c:v>0.085287538509209</c:v>
                </c:pt>
                <c:pt idx="195">
                  <c:v>0.085287538509209</c:v>
                </c:pt>
                <c:pt idx="196">
                  <c:v>0.085287538509209</c:v>
                </c:pt>
                <c:pt idx="197">
                  <c:v>0.085287538509209</c:v>
                </c:pt>
                <c:pt idx="198">
                  <c:v>0.085287538509209</c:v>
                </c:pt>
                <c:pt idx="199">
                  <c:v>0.085287538509209</c:v>
                </c:pt>
                <c:pt idx="200">
                  <c:v>0.085287538509209</c:v>
                </c:pt>
                <c:pt idx="201">
                  <c:v>0.085287538509209</c:v>
                </c:pt>
                <c:pt idx="202">
                  <c:v>0.085287538509209</c:v>
                </c:pt>
                <c:pt idx="203">
                  <c:v>0.085287538509209</c:v>
                </c:pt>
                <c:pt idx="204">
                  <c:v>0.085287538509209</c:v>
                </c:pt>
                <c:pt idx="205">
                  <c:v>0.085287538509209</c:v>
                </c:pt>
                <c:pt idx="206">
                  <c:v>0.085287538509209</c:v>
                </c:pt>
                <c:pt idx="207">
                  <c:v>0.085287538509209</c:v>
                </c:pt>
                <c:pt idx="208">
                  <c:v>0.085287538509209</c:v>
                </c:pt>
                <c:pt idx="209">
                  <c:v>0.085287538509209</c:v>
                </c:pt>
                <c:pt idx="210">
                  <c:v>0.085287538509209</c:v>
                </c:pt>
                <c:pt idx="211">
                  <c:v>0.085287538509209</c:v>
                </c:pt>
                <c:pt idx="212">
                  <c:v>0.085287538509209</c:v>
                </c:pt>
                <c:pt idx="213">
                  <c:v>0.085287538509209</c:v>
                </c:pt>
                <c:pt idx="214">
                  <c:v>0.085287538509209</c:v>
                </c:pt>
                <c:pt idx="215">
                  <c:v>0.085287538509209</c:v>
                </c:pt>
                <c:pt idx="216">
                  <c:v>0.085287538509209</c:v>
                </c:pt>
                <c:pt idx="217">
                  <c:v>0.085287538509209</c:v>
                </c:pt>
                <c:pt idx="218">
                  <c:v>0.085287538509209</c:v>
                </c:pt>
                <c:pt idx="219">
                  <c:v>0.085287538509209</c:v>
                </c:pt>
                <c:pt idx="220">
                  <c:v>0.085287538509209</c:v>
                </c:pt>
                <c:pt idx="221">
                  <c:v>0.085287538509209</c:v>
                </c:pt>
                <c:pt idx="222">
                  <c:v>0.085287538509209</c:v>
                </c:pt>
                <c:pt idx="223">
                  <c:v>0.085287538509209</c:v>
                </c:pt>
                <c:pt idx="224">
                  <c:v>0.085287538509209</c:v>
                </c:pt>
                <c:pt idx="225">
                  <c:v>0.085287538509209</c:v>
                </c:pt>
                <c:pt idx="226">
                  <c:v>0.085287538509209</c:v>
                </c:pt>
                <c:pt idx="227">
                  <c:v>0.085287538509209</c:v>
                </c:pt>
                <c:pt idx="228">
                  <c:v>0.085287538509209</c:v>
                </c:pt>
                <c:pt idx="229">
                  <c:v>0.085287538509209</c:v>
                </c:pt>
                <c:pt idx="230">
                  <c:v>0.085287538509209</c:v>
                </c:pt>
                <c:pt idx="231">
                  <c:v>0.085287538509209</c:v>
                </c:pt>
                <c:pt idx="232">
                  <c:v>0.085287538509209</c:v>
                </c:pt>
                <c:pt idx="233">
                  <c:v>0.085287538509209</c:v>
                </c:pt>
                <c:pt idx="234">
                  <c:v>0.085287538509209</c:v>
                </c:pt>
                <c:pt idx="235">
                  <c:v>0.085287538509209</c:v>
                </c:pt>
                <c:pt idx="236">
                  <c:v>0.085287538509209</c:v>
                </c:pt>
                <c:pt idx="237">
                  <c:v>0.085287538509209</c:v>
                </c:pt>
                <c:pt idx="238">
                  <c:v>0.085287538509209</c:v>
                </c:pt>
                <c:pt idx="239">
                  <c:v>0.085287538509209</c:v>
                </c:pt>
                <c:pt idx="240">
                  <c:v>0.085287538509209</c:v>
                </c:pt>
                <c:pt idx="241">
                  <c:v>0.085287538509209</c:v>
                </c:pt>
                <c:pt idx="242">
                  <c:v>0.085287538509209</c:v>
                </c:pt>
                <c:pt idx="243">
                  <c:v>0.085287538509209</c:v>
                </c:pt>
                <c:pt idx="244">
                  <c:v>0.085287538509209</c:v>
                </c:pt>
                <c:pt idx="245">
                  <c:v>0.085287538509209</c:v>
                </c:pt>
                <c:pt idx="246">
                  <c:v>0.085287538509209</c:v>
                </c:pt>
                <c:pt idx="247">
                  <c:v>0.085287538509209</c:v>
                </c:pt>
                <c:pt idx="248">
                  <c:v>0.085287538509209</c:v>
                </c:pt>
                <c:pt idx="249">
                  <c:v>0.085287538509209</c:v>
                </c:pt>
                <c:pt idx="250">
                  <c:v>0.085287538509209</c:v>
                </c:pt>
                <c:pt idx="251">
                  <c:v>0.085287538509209</c:v>
                </c:pt>
                <c:pt idx="252">
                  <c:v>0.085287538509209</c:v>
                </c:pt>
                <c:pt idx="253">
                  <c:v>0.085287538509209</c:v>
                </c:pt>
                <c:pt idx="254">
                  <c:v>0.085287538509209</c:v>
                </c:pt>
                <c:pt idx="255">
                  <c:v>0.085287538509209</c:v>
                </c:pt>
                <c:pt idx="256">
                  <c:v>0.085287538509209</c:v>
                </c:pt>
                <c:pt idx="257">
                  <c:v>0.085287538509209</c:v>
                </c:pt>
                <c:pt idx="258">
                  <c:v>0.085287538509209</c:v>
                </c:pt>
                <c:pt idx="259">
                  <c:v>0.085287538509209</c:v>
                </c:pt>
                <c:pt idx="260">
                  <c:v>0.085287538509209</c:v>
                </c:pt>
                <c:pt idx="261">
                  <c:v>0.085287538509209</c:v>
                </c:pt>
                <c:pt idx="262">
                  <c:v>0.085287538509209</c:v>
                </c:pt>
                <c:pt idx="263">
                  <c:v>0.085287538509209</c:v>
                </c:pt>
                <c:pt idx="264">
                  <c:v>0.085287538509209</c:v>
                </c:pt>
                <c:pt idx="265">
                  <c:v>0.085287538509209</c:v>
                </c:pt>
                <c:pt idx="266">
                  <c:v>0.085287538509209</c:v>
                </c:pt>
                <c:pt idx="267">
                  <c:v>0.085287538509209</c:v>
                </c:pt>
                <c:pt idx="268">
                  <c:v>0.085287538509209</c:v>
                </c:pt>
                <c:pt idx="269">
                  <c:v>0.085287538509209</c:v>
                </c:pt>
                <c:pt idx="270">
                  <c:v>0.085287538509209</c:v>
                </c:pt>
                <c:pt idx="271">
                  <c:v>0.085287538509209</c:v>
                </c:pt>
                <c:pt idx="272">
                  <c:v>0.085287538509209</c:v>
                </c:pt>
                <c:pt idx="273">
                  <c:v>0.085287538509209</c:v>
                </c:pt>
                <c:pt idx="274">
                  <c:v>0.085287538509209</c:v>
                </c:pt>
                <c:pt idx="275">
                  <c:v>0.085287538509209</c:v>
                </c:pt>
                <c:pt idx="276">
                  <c:v>0.085287538509209</c:v>
                </c:pt>
                <c:pt idx="277">
                  <c:v>0.085287538509209</c:v>
                </c:pt>
                <c:pt idx="278">
                  <c:v>0.085287538509209</c:v>
                </c:pt>
                <c:pt idx="279">
                  <c:v>0.085287538509209</c:v>
                </c:pt>
                <c:pt idx="280">
                  <c:v>0.085287538509209</c:v>
                </c:pt>
              </c:numCache>
            </c:numRef>
          </c:yVal>
          <c:smooth val="0"/>
        </c:ser>
        <c:ser>
          <c:idx val="2"/>
          <c:order val="2"/>
          <c:tx>
            <c:strRef>
              <c:f>"Conventional PI (fixed)"</c:f>
              <c:strCache>
                <c:ptCount val="1"/>
                <c:pt idx="0">
                  <c:v>Conventional PI (fixed)</c:v>
                </c:pt>
              </c:strCache>
            </c:strRef>
          </c:tx>
          <c:spPr>
            <a:solidFill>
              <a:srgbClr val="404040"/>
            </a:solidFill>
            <a:ln w="15840">
              <a:solidFill>
                <a:srgbClr val="404040"/>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05_Schedules!$F$5:$F$285</c:f>
              <c:numCache>
                <c:formatCode>0.000000</c:formatCode>
                <c:ptCount val="281"/>
                <c:pt idx="0">
                  <c:v>0.113131446039143</c:v>
                </c:pt>
                <c:pt idx="1">
                  <c:v>0.113131446039143</c:v>
                </c:pt>
                <c:pt idx="2">
                  <c:v>0.113131446039143</c:v>
                </c:pt>
                <c:pt idx="3">
                  <c:v>0.113131446039143</c:v>
                </c:pt>
                <c:pt idx="4">
                  <c:v>0.113131446039143</c:v>
                </c:pt>
                <c:pt idx="5">
                  <c:v>0.113131446039143</c:v>
                </c:pt>
                <c:pt idx="6">
                  <c:v>0.113131446039143</c:v>
                </c:pt>
                <c:pt idx="7">
                  <c:v>0.113131446039143</c:v>
                </c:pt>
                <c:pt idx="8">
                  <c:v>0.113131446039143</c:v>
                </c:pt>
                <c:pt idx="9">
                  <c:v>0.113131446039143</c:v>
                </c:pt>
                <c:pt idx="10">
                  <c:v>0.113131446039143</c:v>
                </c:pt>
                <c:pt idx="11">
                  <c:v>0.113131446039143</c:v>
                </c:pt>
                <c:pt idx="12">
                  <c:v>0.113131446039143</c:v>
                </c:pt>
                <c:pt idx="13">
                  <c:v>0.113131446039143</c:v>
                </c:pt>
                <c:pt idx="14">
                  <c:v>0.113131446039143</c:v>
                </c:pt>
                <c:pt idx="15">
                  <c:v>0.113131446039143</c:v>
                </c:pt>
                <c:pt idx="16">
                  <c:v>0.113131446039143</c:v>
                </c:pt>
                <c:pt idx="17">
                  <c:v>0.113131446039143</c:v>
                </c:pt>
                <c:pt idx="18">
                  <c:v>0.113131446039143</c:v>
                </c:pt>
                <c:pt idx="19">
                  <c:v>0.113131446039143</c:v>
                </c:pt>
                <c:pt idx="20">
                  <c:v>0.113131446039143</c:v>
                </c:pt>
                <c:pt idx="21">
                  <c:v>0.113131446039143</c:v>
                </c:pt>
                <c:pt idx="22">
                  <c:v>0.113131446039143</c:v>
                </c:pt>
                <c:pt idx="23">
                  <c:v>0.113131446039143</c:v>
                </c:pt>
                <c:pt idx="24">
                  <c:v>0.113131446039143</c:v>
                </c:pt>
                <c:pt idx="25">
                  <c:v>0.113131446039143</c:v>
                </c:pt>
                <c:pt idx="26">
                  <c:v>0.113131446039143</c:v>
                </c:pt>
                <c:pt idx="27">
                  <c:v>0.113131446039143</c:v>
                </c:pt>
                <c:pt idx="28">
                  <c:v>0.113131446039143</c:v>
                </c:pt>
                <c:pt idx="29">
                  <c:v>0.113131446039143</c:v>
                </c:pt>
                <c:pt idx="30">
                  <c:v>0.113131446039143</c:v>
                </c:pt>
                <c:pt idx="31">
                  <c:v>0.113131446039143</c:v>
                </c:pt>
                <c:pt idx="32">
                  <c:v>0.113131446039143</c:v>
                </c:pt>
                <c:pt idx="33">
                  <c:v>0.113131446039143</c:v>
                </c:pt>
                <c:pt idx="34">
                  <c:v>0.113131446039143</c:v>
                </c:pt>
                <c:pt idx="35">
                  <c:v>0.113131446039143</c:v>
                </c:pt>
                <c:pt idx="36">
                  <c:v>0.113131446039143</c:v>
                </c:pt>
                <c:pt idx="37">
                  <c:v>0.113131446039143</c:v>
                </c:pt>
                <c:pt idx="38">
                  <c:v>0.113131446039143</c:v>
                </c:pt>
                <c:pt idx="39">
                  <c:v>0.113131446039143</c:v>
                </c:pt>
                <c:pt idx="40">
                  <c:v>0.113131446039143</c:v>
                </c:pt>
                <c:pt idx="41">
                  <c:v>0.113131446039143</c:v>
                </c:pt>
                <c:pt idx="42">
                  <c:v>0.113131446039143</c:v>
                </c:pt>
                <c:pt idx="43">
                  <c:v>0.113131446039143</c:v>
                </c:pt>
                <c:pt idx="44">
                  <c:v>0.113131446039143</c:v>
                </c:pt>
                <c:pt idx="45">
                  <c:v>0.113131446039143</c:v>
                </c:pt>
                <c:pt idx="46">
                  <c:v>0.113131446039143</c:v>
                </c:pt>
                <c:pt idx="47">
                  <c:v>0.113131446039143</c:v>
                </c:pt>
                <c:pt idx="48">
                  <c:v>0.113131446039143</c:v>
                </c:pt>
                <c:pt idx="49">
                  <c:v>0.113131446039143</c:v>
                </c:pt>
                <c:pt idx="50">
                  <c:v>0.113131446039143</c:v>
                </c:pt>
                <c:pt idx="51">
                  <c:v>0.113131446039143</c:v>
                </c:pt>
                <c:pt idx="52">
                  <c:v>0.113131446039143</c:v>
                </c:pt>
                <c:pt idx="53">
                  <c:v>0.113131446039143</c:v>
                </c:pt>
                <c:pt idx="54">
                  <c:v>0.113131446039143</c:v>
                </c:pt>
                <c:pt idx="55">
                  <c:v>0.113131446039143</c:v>
                </c:pt>
                <c:pt idx="56">
                  <c:v>0.113131446039143</c:v>
                </c:pt>
                <c:pt idx="57">
                  <c:v>0.113131446039143</c:v>
                </c:pt>
                <c:pt idx="58">
                  <c:v>0.113131446039143</c:v>
                </c:pt>
                <c:pt idx="59">
                  <c:v>0.113131446039143</c:v>
                </c:pt>
                <c:pt idx="60">
                  <c:v>0.113131446039143</c:v>
                </c:pt>
                <c:pt idx="61">
                  <c:v>0.113131446039143</c:v>
                </c:pt>
                <c:pt idx="62">
                  <c:v>0.113131446039143</c:v>
                </c:pt>
                <c:pt idx="63">
                  <c:v>0.113131446039143</c:v>
                </c:pt>
                <c:pt idx="64">
                  <c:v>0.113131446039143</c:v>
                </c:pt>
                <c:pt idx="65">
                  <c:v>0.113131446039143</c:v>
                </c:pt>
                <c:pt idx="66">
                  <c:v>0.113131446039143</c:v>
                </c:pt>
                <c:pt idx="67">
                  <c:v>0.113131446039143</c:v>
                </c:pt>
                <c:pt idx="68">
                  <c:v>0.113131446039143</c:v>
                </c:pt>
                <c:pt idx="69">
                  <c:v>0.113131446039143</c:v>
                </c:pt>
                <c:pt idx="70">
                  <c:v>0.113131446039143</c:v>
                </c:pt>
                <c:pt idx="71">
                  <c:v>0.113131446039143</c:v>
                </c:pt>
                <c:pt idx="72">
                  <c:v>0.113131446039143</c:v>
                </c:pt>
                <c:pt idx="73">
                  <c:v>0.113131446039143</c:v>
                </c:pt>
                <c:pt idx="74">
                  <c:v>0.113131446039143</c:v>
                </c:pt>
                <c:pt idx="75">
                  <c:v>0.113131446039143</c:v>
                </c:pt>
                <c:pt idx="76">
                  <c:v>0.113131446039143</c:v>
                </c:pt>
                <c:pt idx="77">
                  <c:v>0.113131446039143</c:v>
                </c:pt>
                <c:pt idx="78">
                  <c:v>0.113131446039143</c:v>
                </c:pt>
                <c:pt idx="79">
                  <c:v>0.113131446039143</c:v>
                </c:pt>
                <c:pt idx="80">
                  <c:v>0.113131446039143</c:v>
                </c:pt>
                <c:pt idx="81">
                  <c:v>0.113131446039143</c:v>
                </c:pt>
                <c:pt idx="82">
                  <c:v>0.113131446039143</c:v>
                </c:pt>
                <c:pt idx="83">
                  <c:v>0.113131446039143</c:v>
                </c:pt>
                <c:pt idx="84">
                  <c:v>0.113131446039143</c:v>
                </c:pt>
                <c:pt idx="85">
                  <c:v>0.113131446039143</c:v>
                </c:pt>
                <c:pt idx="86">
                  <c:v>0.113131446039143</c:v>
                </c:pt>
                <c:pt idx="87">
                  <c:v>0.113131446039143</c:v>
                </c:pt>
                <c:pt idx="88">
                  <c:v>0.113131446039143</c:v>
                </c:pt>
                <c:pt idx="89">
                  <c:v>0.113131446039143</c:v>
                </c:pt>
                <c:pt idx="90">
                  <c:v>0.113131446039143</c:v>
                </c:pt>
                <c:pt idx="91">
                  <c:v>0.113131446039143</c:v>
                </c:pt>
                <c:pt idx="92">
                  <c:v>0.113131446039143</c:v>
                </c:pt>
                <c:pt idx="93">
                  <c:v>0.113131446039143</c:v>
                </c:pt>
                <c:pt idx="94">
                  <c:v>0.113131446039143</c:v>
                </c:pt>
                <c:pt idx="95">
                  <c:v>0.113131446039143</c:v>
                </c:pt>
                <c:pt idx="96">
                  <c:v>0.113131446039143</c:v>
                </c:pt>
                <c:pt idx="97">
                  <c:v>0.113131446039143</c:v>
                </c:pt>
                <c:pt idx="98">
                  <c:v>0.113131446039143</c:v>
                </c:pt>
                <c:pt idx="99">
                  <c:v>0.113131446039143</c:v>
                </c:pt>
                <c:pt idx="100">
                  <c:v>0.113131446039143</c:v>
                </c:pt>
                <c:pt idx="101">
                  <c:v>0.113131446039143</c:v>
                </c:pt>
                <c:pt idx="102">
                  <c:v>0.113131446039143</c:v>
                </c:pt>
                <c:pt idx="103">
                  <c:v>0.113131446039143</c:v>
                </c:pt>
                <c:pt idx="104">
                  <c:v>0.113131446039143</c:v>
                </c:pt>
                <c:pt idx="105">
                  <c:v>0.113131446039143</c:v>
                </c:pt>
                <c:pt idx="106">
                  <c:v>0.113131446039143</c:v>
                </c:pt>
                <c:pt idx="107">
                  <c:v>0.113131446039143</c:v>
                </c:pt>
                <c:pt idx="108">
                  <c:v>0.113131446039143</c:v>
                </c:pt>
                <c:pt idx="109">
                  <c:v>0.113131446039143</c:v>
                </c:pt>
                <c:pt idx="110">
                  <c:v>0.113131446039143</c:v>
                </c:pt>
                <c:pt idx="111">
                  <c:v>0.113131446039143</c:v>
                </c:pt>
                <c:pt idx="112">
                  <c:v>0.113131446039143</c:v>
                </c:pt>
                <c:pt idx="113">
                  <c:v>0.113131446039143</c:v>
                </c:pt>
                <c:pt idx="114">
                  <c:v>0.113131446039143</c:v>
                </c:pt>
                <c:pt idx="115">
                  <c:v>0.113131446039143</c:v>
                </c:pt>
                <c:pt idx="116">
                  <c:v>0.113131446039143</c:v>
                </c:pt>
                <c:pt idx="117">
                  <c:v>0.113131446039143</c:v>
                </c:pt>
                <c:pt idx="118">
                  <c:v>0.113131446039143</c:v>
                </c:pt>
                <c:pt idx="119">
                  <c:v>0.113131446039143</c:v>
                </c:pt>
                <c:pt idx="120">
                  <c:v>0.113131446039143</c:v>
                </c:pt>
                <c:pt idx="121">
                  <c:v>0.113131446039143</c:v>
                </c:pt>
                <c:pt idx="122">
                  <c:v>0.113131446039143</c:v>
                </c:pt>
                <c:pt idx="123">
                  <c:v>0.113131446039143</c:v>
                </c:pt>
                <c:pt idx="124">
                  <c:v>0.113131446039143</c:v>
                </c:pt>
                <c:pt idx="125">
                  <c:v>0.113131446039143</c:v>
                </c:pt>
                <c:pt idx="126">
                  <c:v>0.113131446039143</c:v>
                </c:pt>
                <c:pt idx="127">
                  <c:v>0.113131446039143</c:v>
                </c:pt>
                <c:pt idx="128">
                  <c:v>0.113131446039143</c:v>
                </c:pt>
                <c:pt idx="129">
                  <c:v>0.113131446039143</c:v>
                </c:pt>
                <c:pt idx="130">
                  <c:v>0.113131446039143</c:v>
                </c:pt>
                <c:pt idx="131">
                  <c:v>0.113131446039143</c:v>
                </c:pt>
                <c:pt idx="132">
                  <c:v>0.113131446039143</c:v>
                </c:pt>
                <c:pt idx="133">
                  <c:v>0.113131446039143</c:v>
                </c:pt>
                <c:pt idx="134">
                  <c:v>0.113131446039143</c:v>
                </c:pt>
                <c:pt idx="135">
                  <c:v>0.113131446039143</c:v>
                </c:pt>
                <c:pt idx="136">
                  <c:v>0.113131446039143</c:v>
                </c:pt>
                <c:pt idx="137">
                  <c:v>0.113131446039143</c:v>
                </c:pt>
                <c:pt idx="138">
                  <c:v>0.113131446039143</c:v>
                </c:pt>
                <c:pt idx="139">
                  <c:v>0.113131446039143</c:v>
                </c:pt>
                <c:pt idx="140">
                  <c:v>0.113131446039143</c:v>
                </c:pt>
                <c:pt idx="141">
                  <c:v>0.113131446039143</c:v>
                </c:pt>
                <c:pt idx="142">
                  <c:v>0.113131446039143</c:v>
                </c:pt>
                <c:pt idx="143">
                  <c:v>0.113131446039143</c:v>
                </c:pt>
                <c:pt idx="144">
                  <c:v>0.113131446039143</c:v>
                </c:pt>
                <c:pt idx="145">
                  <c:v>0.113131446039143</c:v>
                </c:pt>
                <c:pt idx="146">
                  <c:v>0.113131446039143</c:v>
                </c:pt>
                <c:pt idx="147">
                  <c:v>0.113131446039143</c:v>
                </c:pt>
                <c:pt idx="148">
                  <c:v>0.113131446039143</c:v>
                </c:pt>
                <c:pt idx="149">
                  <c:v>0.113131446039143</c:v>
                </c:pt>
                <c:pt idx="150">
                  <c:v>0.113131446039143</c:v>
                </c:pt>
                <c:pt idx="151">
                  <c:v>0.113131446039143</c:v>
                </c:pt>
                <c:pt idx="152">
                  <c:v>0.113131446039143</c:v>
                </c:pt>
                <c:pt idx="153">
                  <c:v>0.113131446039143</c:v>
                </c:pt>
                <c:pt idx="154">
                  <c:v>0.113131446039143</c:v>
                </c:pt>
                <c:pt idx="155">
                  <c:v>0.113131446039143</c:v>
                </c:pt>
                <c:pt idx="156">
                  <c:v>0.113131446039143</c:v>
                </c:pt>
                <c:pt idx="157">
                  <c:v>0.113131446039143</c:v>
                </c:pt>
                <c:pt idx="158">
                  <c:v>0.113131446039143</c:v>
                </c:pt>
                <c:pt idx="159">
                  <c:v>0.113131446039143</c:v>
                </c:pt>
                <c:pt idx="160">
                  <c:v>0.113131446039143</c:v>
                </c:pt>
                <c:pt idx="161">
                  <c:v>0.113131446039143</c:v>
                </c:pt>
                <c:pt idx="162">
                  <c:v>0.113131446039143</c:v>
                </c:pt>
                <c:pt idx="163">
                  <c:v>0.113131446039143</c:v>
                </c:pt>
                <c:pt idx="164">
                  <c:v>0.113131446039143</c:v>
                </c:pt>
                <c:pt idx="165">
                  <c:v>0.113131446039143</c:v>
                </c:pt>
                <c:pt idx="166">
                  <c:v>0.113131446039143</c:v>
                </c:pt>
                <c:pt idx="167">
                  <c:v>0.113131446039143</c:v>
                </c:pt>
                <c:pt idx="168">
                  <c:v>0.113131446039143</c:v>
                </c:pt>
                <c:pt idx="169">
                  <c:v>0.113131446039143</c:v>
                </c:pt>
                <c:pt idx="170">
                  <c:v>0.113131446039143</c:v>
                </c:pt>
                <c:pt idx="171">
                  <c:v>0.113131446039143</c:v>
                </c:pt>
                <c:pt idx="172">
                  <c:v>0.113131446039143</c:v>
                </c:pt>
                <c:pt idx="173">
                  <c:v>0.113131446039143</c:v>
                </c:pt>
                <c:pt idx="174">
                  <c:v>0.113131446039143</c:v>
                </c:pt>
                <c:pt idx="175">
                  <c:v>0.113131446039143</c:v>
                </c:pt>
                <c:pt idx="176">
                  <c:v>0.113131446039143</c:v>
                </c:pt>
                <c:pt idx="177">
                  <c:v>0.113131446039143</c:v>
                </c:pt>
                <c:pt idx="178">
                  <c:v>0.113131446039143</c:v>
                </c:pt>
                <c:pt idx="179">
                  <c:v>0.113131446039143</c:v>
                </c:pt>
                <c:pt idx="180">
                  <c:v>0.113131446039143</c:v>
                </c:pt>
                <c:pt idx="181">
                  <c:v>0.113131446039143</c:v>
                </c:pt>
                <c:pt idx="182">
                  <c:v>0.113131446039143</c:v>
                </c:pt>
                <c:pt idx="183">
                  <c:v>0.113131446039143</c:v>
                </c:pt>
                <c:pt idx="184">
                  <c:v>0.113131446039143</c:v>
                </c:pt>
                <c:pt idx="185">
                  <c:v>0.113131446039143</c:v>
                </c:pt>
                <c:pt idx="186">
                  <c:v>0.113131446039143</c:v>
                </c:pt>
                <c:pt idx="187">
                  <c:v>0.113131446039143</c:v>
                </c:pt>
                <c:pt idx="188">
                  <c:v>0.113131446039143</c:v>
                </c:pt>
                <c:pt idx="189">
                  <c:v>0.113131446039143</c:v>
                </c:pt>
                <c:pt idx="190">
                  <c:v>0.113131446039143</c:v>
                </c:pt>
                <c:pt idx="191">
                  <c:v>0.113131446039143</c:v>
                </c:pt>
                <c:pt idx="192">
                  <c:v>0.113131446039143</c:v>
                </c:pt>
                <c:pt idx="193">
                  <c:v>0.113131446039143</c:v>
                </c:pt>
                <c:pt idx="194">
                  <c:v>0.113131446039143</c:v>
                </c:pt>
                <c:pt idx="195">
                  <c:v>0.113131446039143</c:v>
                </c:pt>
                <c:pt idx="196">
                  <c:v>0.113131446039143</c:v>
                </c:pt>
                <c:pt idx="197">
                  <c:v>0.113131446039143</c:v>
                </c:pt>
                <c:pt idx="198">
                  <c:v>0.113131446039143</c:v>
                </c:pt>
                <c:pt idx="199">
                  <c:v>0.113131446039143</c:v>
                </c:pt>
                <c:pt idx="200">
                  <c:v>0.113131446039143</c:v>
                </c:pt>
                <c:pt idx="201">
                  <c:v>0.113131446039143</c:v>
                </c:pt>
                <c:pt idx="202">
                  <c:v>0.113131446039143</c:v>
                </c:pt>
                <c:pt idx="203">
                  <c:v>0.113131446039143</c:v>
                </c:pt>
                <c:pt idx="204">
                  <c:v>0.113131446039143</c:v>
                </c:pt>
                <c:pt idx="205">
                  <c:v>0.113131446039143</c:v>
                </c:pt>
                <c:pt idx="206">
                  <c:v>0.113131446039143</c:v>
                </c:pt>
                <c:pt idx="207">
                  <c:v>0.113131446039143</c:v>
                </c:pt>
                <c:pt idx="208">
                  <c:v>0.113131446039143</c:v>
                </c:pt>
                <c:pt idx="209">
                  <c:v>0.113131446039143</c:v>
                </c:pt>
                <c:pt idx="210">
                  <c:v>0.113131446039143</c:v>
                </c:pt>
                <c:pt idx="211">
                  <c:v>0.113131446039143</c:v>
                </c:pt>
                <c:pt idx="212">
                  <c:v>0.113131446039143</c:v>
                </c:pt>
                <c:pt idx="213">
                  <c:v>0.113131446039143</c:v>
                </c:pt>
                <c:pt idx="214">
                  <c:v>0.113131446039143</c:v>
                </c:pt>
                <c:pt idx="215">
                  <c:v>0.113131446039143</c:v>
                </c:pt>
                <c:pt idx="216">
                  <c:v>0.113131446039143</c:v>
                </c:pt>
                <c:pt idx="217">
                  <c:v>0.113131446039143</c:v>
                </c:pt>
                <c:pt idx="218">
                  <c:v>0.113131446039143</c:v>
                </c:pt>
                <c:pt idx="219">
                  <c:v>0.113131446039143</c:v>
                </c:pt>
                <c:pt idx="220">
                  <c:v>0.113131446039143</c:v>
                </c:pt>
                <c:pt idx="221">
                  <c:v>0.113131446039143</c:v>
                </c:pt>
                <c:pt idx="222">
                  <c:v>0.113131446039143</c:v>
                </c:pt>
                <c:pt idx="223">
                  <c:v>0.113131446039143</c:v>
                </c:pt>
                <c:pt idx="224">
                  <c:v>0.113131446039143</c:v>
                </c:pt>
                <c:pt idx="225">
                  <c:v>0.113131446039143</c:v>
                </c:pt>
                <c:pt idx="226">
                  <c:v>0.113131446039143</c:v>
                </c:pt>
                <c:pt idx="227">
                  <c:v>0.113131446039143</c:v>
                </c:pt>
                <c:pt idx="228">
                  <c:v>0.113131446039143</c:v>
                </c:pt>
                <c:pt idx="229">
                  <c:v>0.113131446039143</c:v>
                </c:pt>
                <c:pt idx="230">
                  <c:v>0.113131446039143</c:v>
                </c:pt>
                <c:pt idx="231">
                  <c:v>0.113131446039143</c:v>
                </c:pt>
                <c:pt idx="232">
                  <c:v>0.113131446039143</c:v>
                </c:pt>
                <c:pt idx="233">
                  <c:v>0.113131446039143</c:v>
                </c:pt>
                <c:pt idx="234">
                  <c:v>0.113131446039143</c:v>
                </c:pt>
                <c:pt idx="235">
                  <c:v>0.113131446039143</c:v>
                </c:pt>
                <c:pt idx="236">
                  <c:v>0.113131446039143</c:v>
                </c:pt>
                <c:pt idx="237">
                  <c:v>0.113131446039143</c:v>
                </c:pt>
                <c:pt idx="238">
                  <c:v>0.113131446039143</c:v>
                </c:pt>
                <c:pt idx="239">
                  <c:v>0.113131446039143</c:v>
                </c:pt>
                <c:pt idx="240">
                  <c:v>0.113131446039143</c:v>
                </c:pt>
                <c:pt idx="241">
                  <c:v>0.113131446039143</c:v>
                </c:pt>
                <c:pt idx="242">
                  <c:v>0.113131446039143</c:v>
                </c:pt>
                <c:pt idx="243">
                  <c:v>0.113131446039143</c:v>
                </c:pt>
                <c:pt idx="244">
                  <c:v>0.113131446039143</c:v>
                </c:pt>
                <c:pt idx="245">
                  <c:v>0.113131446039143</c:v>
                </c:pt>
                <c:pt idx="246">
                  <c:v>0.113131446039143</c:v>
                </c:pt>
                <c:pt idx="247">
                  <c:v>0.113131446039143</c:v>
                </c:pt>
                <c:pt idx="248">
                  <c:v>0.113131446039143</c:v>
                </c:pt>
                <c:pt idx="249">
                  <c:v>0.113131446039143</c:v>
                </c:pt>
                <c:pt idx="250">
                  <c:v>0.113131446039143</c:v>
                </c:pt>
                <c:pt idx="251">
                  <c:v>0.113131446039143</c:v>
                </c:pt>
                <c:pt idx="252">
                  <c:v>0.113131446039143</c:v>
                </c:pt>
                <c:pt idx="253">
                  <c:v>0.113131446039143</c:v>
                </c:pt>
                <c:pt idx="254">
                  <c:v>0.113131446039143</c:v>
                </c:pt>
                <c:pt idx="255">
                  <c:v>0.113131446039143</c:v>
                </c:pt>
                <c:pt idx="256">
                  <c:v>0.113131446039143</c:v>
                </c:pt>
                <c:pt idx="257">
                  <c:v>0.113131446039143</c:v>
                </c:pt>
                <c:pt idx="258">
                  <c:v>0.113131446039143</c:v>
                </c:pt>
                <c:pt idx="259">
                  <c:v>0.113131446039143</c:v>
                </c:pt>
                <c:pt idx="260">
                  <c:v>0.113131446039143</c:v>
                </c:pt>
                <c:pt idx="261">
                  <c:v>0.113131446039143</c:v>
                </c:pt>
                <c:pt idx="262">
                  <c:v>0.113131446039143</c:v>
                </c:pt>
                <c:pt idx="263">
                  <c:v>0.113131446039143</c:v>
                </c:pt>
                <c:pt idx="264">
                  <c:v>0.113131446039143</c:v>
                </c:pt>
                <c:pt idx="265">
                  <c:v>0.113131446039143</c:v>
                </c:pt>
                <c:pt idx="266">
                  <c:v>0.113131446039143</c:v>
                </c:pt>
                <c:pt idx="267">
                  <c:v>0.113131446039143</c:v>
                </c:pt>
                <c:pt idx="268">
                  <c:v>0.113131446039143</c:v>
                </c:pt>
                <c:pt idx="269">
                  <c:v>0.113131446039143</c:v>
                </c:pt>
                <c:pt idx="270">
                  <c:v>0.113131446039143</c:v>
                </c:pt>
                <c:pt idx="271">
                  <c:v>0.113131446039143</c:v>
                </c:pt>
                <c:pt idx="272">
                  <c:v>0.113131446039143</c:v>
                </c:pt>
                <c:pt idx="273">
                  <c:v>0.113131446039143</c:v>
                </c:pt>
                <c:pt idx="274">
                  <c:v>0.113131446039143</c:v>
                </c:pt>
                <c:pt idx="275">
                  <c:v>0.113131446039143</c:v>
                </c:pt>
                <c:pt idx="276">
                  <c:v>0.113131446039143</c:v>
                </c:pt>
                <c:pt idx="277">
                  <c:v>0.113131446039143</c:v>
                </c:pt>
                <c:pt idx="278">
                  <c:v>0.113131446039143</c:v>
                </c:pt>
                <c:pt idx="279">
                  <c:v>0.113131446039143</c:v>
                </c:pt>
                <c:pt idx="280">
                  <c:v>0.113131446039143</c:v>
                </c:pt>
              </c:numCache>
            </c:numRef>
          </c:yVal>
          <c:smooth val="0"/>
        </c:ser>
        <c:ser>
          <c:idx val="3"/>
          <c:order val="3"/>
          <c:tx>
            <c:strRef>
              <c:f>"IMC PI (fixed)"</c:f>
              <c:strCache>
                <c:ptCount val="1"/>
                <c:pt idx="0">
                  <c:v>IMC PI (fixed)</c:v>
                </c:pt>
              </c:strCache>
            </c:strRef>
          </c:tx>
          <c:spPr>
            <a:solidFill>
              <a:srgbClr val="808080"/>
            </a:solidFill>
            <a:ln w="15840">
              <a:solidFill>
                <a:srgbClr val="808080"/>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05_Schedules!$G$5:$G$285</c:f>
              <c:numCache>
                <c:formatCode>0.000000</c:formatCode>
                <c:ptCount val="281"/>
                <c:pt idx="0">
                  <c:v>0.0489816586430991</c:v>
                </c:pt>
                <c:pt idx="1">
                  <c:v>0.0489816586430991</c:v>
                </c:pt>
                <c:pt idx="2">
                  <c:v>0.0489816586430991</c:v>
                </c:pt>
                <c:pt idx="3">
                  <c:v>0.0489816586430991</c:v>
                </c:pt>
                <c:pt idx="4">
                  <c:v>0.0489816586430991</c:v>
                </c:pt>
                <c:pt idx="5">
                  <c:v>0.0489816586430991</c:v>
                </c:pt>
                <c:pt idx="6">
                  <c:v>0.0489816586430991</c:v>
                </c:pt>
                <c:pt idx="7">
                  <c:v>0.0489816586430991</c:v>
                </c:pt>
                <c:pt idx="8">
                  <c:v>0.0489816586430991</c:v>
                </c:pt>
                <c:pt idx="9">
                  <c:v>0.0489816586430991</c:v>
                </c:pt>
                <c:pt idx="10">
                  <c:v>0.0489816586430991</c:v>
                </c:pt>
                <c:pt idx="11">
                  <c:v>0.0489816586430991</c:v>
                </c:pt>
                <c:pt idx="12">
                  <c:v>0.0489816586430991</c:v>
                </c:pt>
                <c:pt idx="13">
                  <c:v>0.0489816586430991</c:v>
                </c:pt>
                <c:pt idx="14">
                  <c:v>0.0489816586430991</c:v>
                </c:pt>
                <c:pt idx="15">
                  <c:v>0.0489816586430991</c:v>
                </c:pt>
                <c:pt idx="16">
                  <c:v>0.0489816586430991</c:v>
                </c:pt>
                <c:pt idx="17">
                  <c:v>0.0489816586430991</c:v>
                </c:pt>
                <c:pt idx="18">
                  <c:v>0.0489816586430991</c:v>
                </c:pt>
                <c:pt idx="19">
                  <c:v>0.0489816586430991</c:v>
                </c:pt>
                <c:pt idx="20">
                  <c:v>0.0489816586430991</c:v>
                </c:pt>
                <c:pt idx="21">
                  <c:v>0.0489816586430991</c:v>
                </c:pt>
                <c:pt idx="22">
                  <c:v>0.0489816586430991</c:v>
                </c:pt>
                <c:pt idx="23">
                  <c:v>0.0489816586430991</c:v>
                </c:pt>
                <c:pt idx="24">
                  <c:v>0.0489816586430991</c:v>
                </c:pt>
                <c:pt idx="25">
                  <c:v>0.0489816586430991</c:v>
                </c:pt>
                <c:pt idx="26">
                  <c:v>0.0489816586430991</c:v>
                </c:pt>
                <c:pt idx="27">
                  <c:v>0.0489816586430991</c:v>
                </c:pt>
                <c:pt idx="28">
                  <c:v>0.0489816586430991</c:v>
                </c:pt>
                <c:pt idx="29">
                  <c:v>0.0489816586430991</c:v>
                </c:pt>
                <c:pt idx="30">
                  <c:v>0.0489816586430991</c:v>
                </c:pt>
                <c:pt idx="31">
                  <c:v>0.0489816586430991</c:v>
                </c:pt>
                <c:pt idx="32">
                  <c:v>0.0489816586430991</c:v>
                </c:pt>
                <c:pt idx="33">
                  <c:v>0.0489816586430991</c:v>
                </c:pt>
                <c:pt idx="34">
                  <c:v>0.0489816586430991</c:v>
                </c:pt>
                <c:pt idx="35">
                  <c:v>0.0489816586430991</c:v>
                </c:pt>
                <c:pt idx="36">
                  <c:v>0.0489816586430991</c:v>
                </c:pt>
                <c:pt idx="37">
                  <c:v>0.0489816586430991</c:v>
                </c:pt>
                <c:pt idx="38">
                  <c:v>0.0489816586430991</c:v>
                </c:pt>
                <c:pt idx="39">
                  <c:v>0.0489816586430991</c:v>
                </c:pt>
                <c:pt idx="40">
                  <c:v>0.0489816586430991</c:v>
                </c:pt>
                <c:pt idx="41">
                  <c:v>0.0489816586430991</c:v>
                </c:pt>
                <c:pt idx="42">
                  <c:v>0.0489816586430991</c:v>
                </c:pt>
                <c:pt idx="43">
                  <c:v>0.0489816586430991</c:v>
                </c:pt>
                <c:pt idx="44">
                  <c:v>0.0489816586430991</c:v>
                </c:pt>
                <c:pt idx="45">
                  <c:v>0.0489816586430991</c:v>
                </c:pt>
                <c:pt idx="46">
                  <c:v>0.0489816586430991</c:v>
                </c:pt>
                <c:pt idx="47">
                  <c:v>0.0489816586430991</c:v>
                </c:pt>
                <c:pt idx="48">
                  <c:v>0.0489816586430991</c:v>
                </c:pt>
                <c:pt idx="49">
                  <c:v>0.0489816586430991</c:v>
                </c:pt>
                <c:pt idx="50">
                  <c:v>0.0489816586430991</c:v>
                </c:pt>
                <c:pt idx="51">
                  <c:v>0.0489816586430991</c:v>
                </c:pt>
                <c:pt idx="52">
                  <c:v>0.0489816586430991</c:v>
                </c:pt>
                <c:pt idx="53">
                  <c:v>0.0489816586430991</c:v>
                </c:pt>
                <c:pt idx="54">
                  <c:v>0.0489816586430991</c:v>
                </c:pt>
                <c:pt idx="55">
                  <c:v>0.0489816586430991</c:v>
                </c:pt>
                <c:pt idx="56">
                  <c:v>0.0489816586430991</c:v>
                </c:pt>
                <c:pt idx="57">
                  <c:v>0.0489816586430991</c:v>
                </c:pt>
                <c:pt idx="58">
                  <c:v>0.0489816586430991</c:v>
                </c:pt>
                <c:pt idx="59">
                  <c:v>0.0489816586430991</c:v>
                </c:pt>
                <c:pt idx="60">
                  <c:v>0.0489816586430991</c:v>
                </c:pt>
                <c:pt idx="61">
                  <c:v>0.0489816586430991</c:v>
                </c:pt>
                <c:pt idx="62">
                  <c:v>0.0489816586430991</c:v>
                </c:pt>
                <c:pt idx="63">
                  <c:v>0.0489816586430991</c:v>
                </c:pt>
                <c:pt idx="64">
                  <c:v>0.0489816586430991</c:v>
                </c:pt>
                <c:pt idx="65">
                  <c:v>0.0489816586430991</c:v>
                </c:pt>
                <c:pt idx="66">
                  <c:v>0.0489816586430991</c:v>
                </c:pt>
                <c:pt idx="67">
                  <c:v>0.0489816586430991</c:v>
                </c:pt>
                <c:pt idx="68">
                  <c:v>0.0489816586430991</c:v>
                </c:pt>
                <c:pt idx="69">
                  <c:v>0.0489816586430991</c:v>
                </c:pt>
                <c:pt idx="70">
                  <c:v>0.0489816586430991</c:v>
                </c:pt>
                <c:pt idx="71">
                  <c:v>0.0489816586430991</c:v>
                </c:pt>
                <c:pt idx="72">
                  <c:v>0.0489816586430991</c:v>
                </c:pt>
                <c:pt idx="73">
                  <c:v>0.0489816586430991</c:v>
                </c:pt>
                <c:pt idx="74">
                  <c:v>0.0489816586430991</c:v>
                </c:pt>
                <c:pt idx="75">
                  <c:v>0.0489816586430991</c:v>
                </c:pt>
                <c:pt idx="76">
                  <c:v>0.0489816586430991</c:v>
                </c:pt>
                <c:pt idx="77">
                  <c:v>0.0489816586430991</c:v>
                </c:pt>
                <c:pt idx="78">
                  <c:v>0.0489816586430991</c:v>
                </c:pt>
                <c:pt idx="79">
                  <c:v>0.0489816586430991</c:v>
                </c:pt>
                <c:pt idx="80">
                  <c:v>0.0489816586430991</c:v>
                </c:pt>
                <c:pt idx="81">
                  <c:v>0.0489816586430991</c:v>
                </c:pt>
                <c:pt idx="82">
                  <c:v>0.0489816586430991</c:v>
                </c:pt>
                <c:pt idx="83">
                  <c:v>0.0489816586430991</c:v>
                </c:pt>
                <c:pt idx="84">
                  <c:v>0.0489816586430991</c:v>
                </c:pt>
                <c:pt idx="85">
                  <c:v>0.0489816586430991</c:v>
                </c:pt>
                <c:pt idx="86">
                  <c:v>0.0489816586430991</c:v>
                </c:pt>
                <c:pt idx="87">
                  <c:v>0.0489816586430991</c:v>
                </c:pt>
                <c:pt idx="88">
                  <c:v>0.0489816586430991</c:v>
                </c:pt>
                <c:pt idx="89">
                  <c:v>0.0489816586430991</c:v>
                </c:pt>
                <c:pt idx="90">
                  <c:v>0.0489816586430991</c:v>
                </c:pt>
                <c:pt idx="91">
                  <c:v>0.0489816586430991</c:v>
                </c:pt>
                <c:pt idx="92">
                  <c:v>0.0489816586430991</c:v>
                </c:pt>
                <c:pt idx="93">
                  <c:v>0.0489816586430991</c:v>
                </c:pt>
                <c:pt idx="94">
                  <c:v>0.0489816586430991</c:v>
                </c:pt>
                <c:pt idx="95">
                  <c:v>0.0489816586430991</c:v>
                </c:pt>
                <c:pt idx="96">
                  <c:v>0.0489816586430991</c:v>
                </c:pt>
                <c:pt idx="97">
                  <c:v>0.0489816586430991</c:v>
                </c:pt>
                <c:pt idx="98">
                  <c:v>0.0489816586430991</c:v>
                </c:pt>
                <c:pt idx="99">
                  <c:v>0.0489816586430991</c:v>
                </c:pt>
                <c:pt idx="100">
                  <c:v>0.0489816586430991</c:v>
                </c:pt>
                <c:pt idx="101">
                  <c:v>0.0489816586430991</c:v>
                </c:pt>
                <c:pt idx="102">
                  <c:v>0.0489816586430991</c:v>
                </c:pt>
                <c:pt idx="103">
                  <c:v>0.0489816586430991</c:v>
                </c:pt>
                <c:pt idx="104">
                  <c:v>0.0489816586430991</c:v>
                </c:pt>
                <c:pt idx="105">
                  <c:v>0.0489816586430991</c:v>
                </c:pt>
                <c:pt idx="106">
                  <c:v>0.0489816586430991</c:v>
                </c:pt>
                <c:pt idx="107">
                  <c:v>0.0489816586430991</c:v>
                </c:pt>
                <c:pt idx="108">
                  <c:v>0.0489816586430991</c:v>
                </c:pt>
                <c:pt idx="109">
                  <c:v>0.0489816586430991</c:v>
                </c:pt>
                <c:pt idx="110">
                  <c:v>0.0489816586430991</c:v>
                </c:pt>
                <c:pt idx="111">
                  <c:v>0.0489816586430991</c:v>
                </c:pt>
                <c:pt idx="112">
                  <c:v>0.0489816586430991</c:v>
                </c:pt>
                <c:pt idx="113">
                  <c:v>0.0489816586430991</c:v>
                </c:pt>
                <c:pt idx="114">
                  <c:v>0.0489816586430991</c:v>
                </c:pt>
                <c:pt idx="115">
                  <c:v>0.0489816586430991</c:v>
                </c:pt>
                <c:pt idx="116">
                  <c:v>0.0489816586430991</c:v>
                </c:pt>
                <c:pt idx="117">
                  <c:v>0.0489816586430991</c:v>
                </c:pt>
                <c:pt idx="118">
                  <c:v>0.0489816586430991</c:v>
                </c:pt>
                <c:pt idx="119">
                  <c:v>0.0489816586430991</c:v>
                </c:pt>
                <c:pt idx="120">
                  <c:v>0.0489816586430991</c:v>
                </c:pt>
                <c:pt idx="121">
                  <c:v>0.0489816586430991</c:v>
                </c:pt>
                <c:pt idx="122">
                  <c:v>0.0489816586430991</c:v>
                </c:pt>
                <c:pt idx="123">
                  <c:v>0.0489816586430991</c:v>
                </c:pt>
                <c:pt idx="124">
                  <c:v>0.0489816586430991</c:v>
                </c:pt>
                <c:pt idx="125">
                  <c:v>0.0489816586430991</c:v>
                </c:pt>
                <c:pt idx="126">
                  <c:v>0.0489816586430991</c:v>
                </c:pt>
                <c:pt idx="127">
                  <c:v>0.0489816586430991</c:v>
                </c:pt>
                <c:pt idx="128">
                  <c:v>0.0489816586430991</c:v>
                </c:pt>
                <c:pt idx="129">
                  <c:v>0.0489816586430991</c:v>
                </c:pt>
                <c:pt idx="130">
                  <c:v>0.0489816586430991</c:v>
                </c:pt>
                <c:pt idx="131">
                  <c:v>0.0489816586430991</c:v>
                </c:pt>
                <c:pt idx="132">
                  <c:v>0.0489816586430991</c:v>
                </c:pt>
                <c:pt idx="133">
                  <c:v>0.0489816586430991</c:v>
                </c:pt>
                <c:pt idx="134">
                  <c:v>0.0489816586430991</c:v>
                </c:pt>
                <c:pt idx="135">
                  <c:v>0.0489816586430991</c:v>
                </c:pt>
                <c:pt idx="136">
                  <c:v>0.0489816586430991</c:v>
                </c:pt>
                <c:pt idx="137">
                  <c:v>0.0489816586430991</c:v>
                </c:pt>
                <c:pt idx="138">
                  <c:v>0.0489816586430991</c:v>
                </c:pt>
                <c:pt idx="139">
                  <c:v>0.0489816586430991</c:v>
                </c:pt>
                <c:pt idx="140">
                  <c:v>0.0489816586430991</c:v>
                </c:pt>
                <c:pt idx="141">
                  <c:v>0.0489816586430991</c:v>
                </c:pt>
                <c:pt idx="142">
                  <c:v>0.0489816586430991</c:v>
                </c:pt>
                <c:pt idx="143">
                  <c:v>0.0489816586430991</c:v>
                </c:pt>
                <c:pt idx="144">
                  <c:v>0.0489816586430991</c:v>
                </c:pt>
                <c:pt idx="145">
                  <c:v>0.0489816586430991</c:v>
                </c:pt>
                <c:pt idx="146">
                  <c:v>0.0489816586430991</c:v>
                </c:pt>
                <c:pt idx="147">
                  <c:v>0.0489816586430991</c:v>
                </c:pt>
                <c:pt idx="148">
                  <c:v>0.0489816586430991</c:v>
                </c:pt>
                <c:pt idx="149">
                  <c:v>0.0489816586430991</c:v>
                </c:pt>
                <c:pt idx="150">
                  <c:v>0.0489816586430991</c:v>
                </c:pt>
                <c:pt idx="151">
                  <c:v>0.0489816586430991</c:v>
                </c:pt>
                <c:pt idx="152">
                  <c:v>0.0489816586430991</c:v>
                </c:pt>
                <c:pt idx="153">
                  <c:v>0.0489816586430991</c:v>
                </c:pt>
                <c:pt idx="154">
                  <c:v>0.0489816586430991</c:v>
                </c:pt>
                <c:pt idx="155">
                  <c:v>0.0489816586430991</c:v>
                </c:pt>
                <c:pt idx="156">
                  <c:v>0.0489816586430991</c:v>
                </c:pt>
                <c:pt idx="157">
                  <c:v>0.0489816586430991</c:v>
                </c:pt>
                <c:pt idx="158">
                  <c:v>0.0489816586430991</c:v>
                </c:pt>
                <c:pt idx="159">
                  <c:v>0.0489816586430991</c:v>
                </c:pt>
                <c:pt idx="160">
                  <c:v>0.0489816586430991</c:v>
                </c:pt>
                <c:pt idx="161">
                  <c:v>0.0489816586430991</c:v>
                </c:pt>
                <c:pt idx="162">
                  <c:v>0.0489816586430991</c:v>
                </c:pt>
                <c:pt idx="163">
                  <c:v>0.0489816586430991</c:v>
                </c:pt>
                <c:pt idx="164">
                  <c:v>0.0489816586430991</c:v>
                </c:pt>
                <c:pt idx="165">
                  <c:v>0.0489816586430991</c:v>
                </c:pt>
                <c:pt idx="166">
                  <c:v>0.0489816586430991</c:v>
                </c:pt>
                <c:pt idx="167">
                  <c:v>0.0489816586430991</c:v>
                </c:pt>
                <c:pt idx="168">
                  <c:v>0.0489816586430991</c:v>
                </c:pt>
                <c:pt idx="169">
                  <c:v>0.0489816586430991</c:v>
                </c:pt>
                <c:pt idx="170">
                  <c:v>0.0489816586430991</c:v>
                </c:pt>
                <c:pt idx="171">
                  <c:v>0.0489816586430991</c:v>
                </c:pt>
                <c:pt idx="172">
                  <c:v>0.0489816586430991</c:v>
                </c:pt>
                <c:pt idx="173">
                  <c:v>0.0489816586430991</c:v>
                </c:pt>
                <c:pt idx="174">
                  <c:v>0.0489816586430991</c:v>
                </c:pt>
                <c:pt idx="175">
                  <c:v>0.0489816586430991</c:v>
                </c:pt>
                <c:pt idx="176">
                  <c:v>0.0489816586430991</c:v>
                </c:pt>
                <c:pt idx="177">
                  <c:v>0.0489816586430991</c:v>
                </c:pt>
                <c:pt idx="178">
                  <c:v>0.0489816586430991</c:v>
                </c:pt>
                <c:pt idx="179">
                  <c:v>0.0489816586430991</c:v>
                </c:pt>
                <c:pt idx="180">
                  <c:v>0.0489816586430991</c:v>
                </c:pt>
                <c:pt idx="181">
                  <c:v>0.0489816586430991</c:v>
                </c:pt>
                <c:pt idx="182">
                  <c:v>0.0489816586430991</c:v>
                </c:pt>
                <c:pt idx="183">
                  <c:v>0.0489816586430991</c:v>
                </c:pt>
                <c:pt idx="184">
                  <c:v>0.0489816586430991</c:v>
                </c:pt>
                <c:pt idx="185">
                  <c:v>0.0489816586430991</c:v>
                </c:pt>
                <c:pt idx="186">
                  <c:v>0.0489816586430991</c:v>
                </c:pt>
                <c:pt idx="187">
                  <c:v>0.0489816586430991</c:v>
                </c:pt>
                <c:pt idx="188">
                  <c:v>0.0489816586430991</c:v>
                </c:pt>
                <c:pt idx="189">
                  <c:v>0.0489816586430991</c:v>
                </c:pt>
                <c:pt idx="190">
                  <c:v>0.0489816586430991</c:v>
                </c:pt>
                <c:pt idx="191">
                  <c:v>0.0489816586430991</c:v>
                </c:pt>
                <c:pt idx="192">
                  <c:v>0.0489816586430991</c:v>
                </c:pt>
                <c:pt idx="193">
                  <c:v>0.0489816586430991</c:v>
                </c:pt>
                <c:pt idx="194">
                  <c:v>0.0489816586430991</c:v>
                </c:pt>
                <c:pt idx="195">
                  <c:v>0.0489816586430991</c:v>
                </c:pt>
                <c:pt idx="196">
                  <c:v>0.0489816586430991</c:v>
                </c:pt>
                <c:pt idx="197">
                  <c:v>0.0489816586430991</c:v>
                </c:pt>
                <c:pt idx="198">
                  <c:v>0.0489816586430991</c:v>
                </c:pt>
                <c:pt idx="199">
                  <c:v>0.0489816586430991</c:v>
                </c:pt>
                <c:pt idx="200">
                  <c:v>0.0489816586430991</c:v>
                </c:pt>
                <c:pt idx="201">
                  <c:v>0.0489816586430991</c:v>
                </c:pt>
                <c:pt idx="202">
                  <c:v>0.0489816586430991</c:v>
                </c:pt>
                <c:pt idx="203">
                  <c:v>0.0489816586430991</c:v>
                </c:pt>
                <c:pt idx="204">
                  <c:v>0.0489816586430991</c:v>
                </c:pt>
                <c:pt idx="205">
                  <c:v>0.0489816586430991</c:v>
                </c:pt>
                <c:pt idx="206">
                  <c:v>0.0489816586430991</c:v>
                </c:pt>
                <c:pt idx="207">
                  <c:v>0.0489816586430991</c:v>
                </c:pt>
                <c:pt idx="208">
                  <c:v>0.0489816586430991</c:v>
                </c:pt>
                <c:pt idx="209">
                  <c:v>0.0489816586430991</c:v>
                </c:pt>
                <c:pt idx="210">
                  <c:v>0.0489816586430991</c:v>
                </c:pt>
                <c:pt idx="211">
                  <c:v>0.0489816586430991</c:v>
                </c:pt>
                <c:pt idx="212">
                  <c:v>0.0489816586430991</c:v>
                </c:pt>
                <c:pt idx="213">
                  <c:v>0.0489816586430991</c:v>
                </c:pt>
                <c:pt idx="214">
                  <c:v>0.0489816586430991</c:v>
                </c:pt>
                <c:pt idx="215">
                  <c:v>0.0489816586430991</c:v>
                </c:pt>
                <c:pt idx="216">
                  <c:v>0.0489816586430991</c:v>
                </c:pt>
                <c:pt idx="217">
                  <c:v>0.0489816586430991</c:v>
                </c:pt>
                <c:pt idx="218">
                  <c:v>0.0489816586430991</c:v>
                </c:pt>
                <c:pt idx="219">
                  <c:v>0.0489816586430991</c:v>
                </c:pt>
                <c:pt idx="220">
                  <c:v>0.0489816586430991</c:v>
                </c:pt>
                <c:pt idx="221">
                  <c:v>0.0489816586430991</c:v>
                </c:pt>
                <c:pt idx="222">
                  <c:v>0.0489816586430991</c:v>
                </c:pt>
                <c:pt idx="223">
                  <c:v>0.0489816586430991</c:v>
                </c:pt>
                <c:pt idx="224">
                  <c:v>0.0489816586430991</c:v>
                </c:pt>
                <c:pt idx="225">
                  <c:v>0.0489816586430991</c:v>
                </c:pt>
                <c:pt idx="226">
                  <c:v>0.0489816586430991</c:v>
                </c:pt>
                <c:pt idx="227">
                  <c:v>0.0489816586430991</c:v>
                </c:pt>
                <c:pt idx="228">
                  <c:v>0.0489816586430991</c:v>
                </c:pt>
                <c:pt idx="229">
                  <c:v>0.0489816586430991</c:v>
                </c:pt>
                <c:pt idx="230">
                  <c:v>0.0489816586430991</c:v>
                </c:pt>
                <c:pt idx="231">
                  <c:v>0.0489816586430991</c:v>
                </c:pt>
                <c:pt idx="232">
                  <c:v>0.0489816586430991</c:v>
                </c:pt>
                <c:pt idx="233">
                  <c:v>0.0489816586430991</c:v>
                </c:pt>
                <c:pt idx="234">
                  <c:v>0.0489816586430991</c:v>
                </c:pt>
                <c:pt idx="235">
                  <c:v>0.0489816586430991</c:v>
                </c:pt>
                <c:pt idx="236">
                  <c:v>0.0489816586430991</c:v>
                </c:pt>
                <c:pt idx="237">
                  <c:v>0.0489816586430991</c:v>
                </c:pt>
                <c:pt idx="238">
                  <c:v>0.0489816586430991</c:v>
                </c:pt>
                <c:pt idx="239">
                  <c:v>0.0489816586430991</c:v>
                </c:pt>
                <c:pt idx="240">
                  <c:v>0.0489816586430991</c:v>
                </c:pt>
                <c:pt idx="241">
                  <c:v>0.0489816586430991</c:v>
                </c:pt>
                <c:pt idx="242">
                  <c:v>0.0489816586430991</c:v>
                </c:pt>
                <c:pt idx="243">
                  <c:v>0.0489816586430991</c:v>
                </c:pt>
                <c:pt idx="244">
                  <c:v>0.0489816586430991</c:v>
                </c:pt>
                <c:pt idx="245">
                  <c:v>0.0489816586430991</c:v>
                </c:pt>
                <c:pt idx="246">
                  <c:v>0.0489816586430991</c:v>
                </c:pt>
                <c:pt idx="247">
                  <c:v>0.0489816586430991</c:v>
                </c:pt>
                <c:pt idx="248">
                  <c:v>0.0489816586430991</c:v>
                </c:pt>
                <c:pt idx="249">
                  <c:v>0.0489816586430991</c:v>
                </c:pt>
                <c:pt idx="250">
                  <c:v>0.0489816586430991</c:v>
                </c:pt>
                <c:pt idx="251">
                  <c:v>0.0489816586430991</c:v>
                </c:pt>
                <c:pt idx="252">
                  <c:v>0.0489816586430991</c:v>
                </c:pt>
                <c:pt idx="253">
                  <c:v>0.0489816586430991</c:v>
                </c:pt>
                <c:pt idx="254">
                  <c:v>0.0489816586430991</c:v>
                </c:pt>
                <c:pt idx="255">
                  <c:v>0.0489816586430991</c:v>
                </c:pt>
                <c:pt idx="256">
                  <c:v>0.0489816586430991</c:v>
                </c:pt>
                <c:pt idx="257">
                  <c:v>0.0489816586430991</c:v>
                </c:pt>
                <c:pt idx="258">
                  <c:v>0.0489816586430991</c:v>
                </c:pt>
                <c:pt idx="259">
                  <c:v>0.0489816586430991</c:v>
                </c:pt>
                <c:pt idx="260">
                  <c:v>0.0489816586430991</c:v>
                </c:pt>
                <c:pt idx="261">
                  <c:v>0.0489816586430991</c:v>
                </c:pt>
                <c:pt idx="262">
                  <c:v>0.0489816586430991</c:v>
                </c:pt>
                <c:pt idx="263">
                  <c:v>0.0489816586430991</c:v>
                </c:pt>
                <c:pt idx="264">
                  <c:v>0.0489816586430991</c:v>
                </c:pt>
                <c:pt idx="265">
                  <c:v>0.0489816586430991</c:v>
                </c:pt>
                <c:pt idx="266">
                  <c:v>0.0489816586430991</c:v>
                </c:pt>
                <c:pt idx="267">
                  <c:v>0.0489816586430991</c:v>
                </c:pt>
                <c:pt idx="268">
                  <c:v>0.0489816586430991</c:v>
                </c:pt>
                <c:pt idx="269">
                  <c:v>0.0489816586430991</c:v>
                </c:pt>
                <c:pt idx="270">
                  <c:v>0.0489816586430991</c:v>
                </c:pt>
                <c:pt idx="271">
                  <c:v>0.0489816586430991</c:v>
                </c:pt>
                <c:pt idx="272">
                  <c:v>0.0489816586430991</c:v>
                </c:pt>
                <c:pt idx="273">
                  <c:v>0.0489816586430991</c:v>
                </c:pt>
                <c:pt idx="274">
                  <c:v>0.0489816586430991</c:v>
                </c:pt>
                <c:pt idx="275">
                  <c:v>0.0489816586430991</c:v>
                </c:pt>
                <c:pt idx="276">
                  <c:v>0.0489816586430991</c:v>
                </c:pt>
                <c:pt idx="277">
                  <c:v>0.0489816586430991</c:v>
                </c:pt>
                <c:pt idx="278">
                  <c:v>0.0489816586430991</c:v>
                </c:pt>
                <c:pt idx="279">
                  <c:v>0.0489816586430991</c:v>
                </c:pt>
                <c:pt idx="280">
                  <c:v>0.0489816586430991</c:v>
                </c:pt>
              </c:numCache>
            </c:numRef>
          </c:yVal>
          <c:smooth val="0"/>
        </c:ser>
        <c:axId val="76175341"/>
        <c:axId val="28980911"/>
      </c:scatterChart>
      <c:valAx>
        <c:axId val="76175341"/>
        <c:scaling>
          <c:orientation val="minMax"/>
          <c:max val="14"/>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pH</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980911"/>
        <c:crosses val="min"/>
        <c:crossBetween val="midCat"/>
      </c:valAx>
      <c:valAx>
        <c:axId val="28980911"/>
        <c:scaling>
          <c:orientation val="minMax"/>
          <c:max val="0.27"/>
          <c:min val="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Proportional gain Kc</a:t>
                </a:r>
              </a:p>
            </c:rich>
          </c:tx>
          <c:overlay val="0"/>
          <c:spPr>
            <a:noFill/>
            <a:ln w="0">
              <a:noFill/>
            </a:ln>
          </c:spPr>
        </c:title>
        <c:numFmt formatCode="0.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17534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IMC-scheduled Ti and Td vs pH</a:t>
            </a:r>
          </a:p>
        </c:rich>
      </c:tx>
      <c:overlay val="0"/>
      <c:spPr>
        <a:noFill/>
        <a:ln w="0">
          <a:noFill/>
        </a:ln>
      </c:spPr>
    </c:title>
    <c:autoTitleDeleted val="0"/>
    <c:plotArea>
      <c:scatterChart>
        <c:scatterStyle val="line"/>
        <c:varyColors val="0"/>
        <c:ser>
          <c:idx val="0"/>
          <c:order val="0"/>
          <c:tx>
            <c:strRef>
              <c:f>"Ti (s)"</c:f>
              <c:strCache>
                <c:ptCount val="1"/>
                <c:pt idx="0">
                  <c:v>Ti (s)</c:v>
                </c:pt>
              </c:strCache>
            </c:strRef>
          </c:tx>
          <c:spPr>
            <a:solidFill>
              <a:srgbClr val="2ca02c"/>
            </a:solidFill>
            <a:ln w="2196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05_Schedules!$C$5:$C$285</c:f>
              <c:numCache>
                <c:formatCode>0.00</c:formatCode>
                <c:ptCount val="281"/>
                <c:pt idx="0">
                  <c:v>1391.08635335777</c:v>
                </c:pt>
                <c:pt idx="1">
                  <c:v>1391.08635335777</c:v>
                </c:pt>
                <c:pt idx="2">
                  <c:v>1391.08635335777</c:v>
                </c:pt>
                <c:pt idx="3">
                  <c:v>1391.08635335777</c:v>
                </c:pt>
                <c:pt idx="4">
                  <c:v>1391.08635335777</c:v>
                </c:pt>
                <c:pt idx="5">
                  <c:v>1391.08635335777</c:v>
                </c:pt>
                <c:pt idx="6">
                  <c:v>1391.08635335777</c:v>
                </c:pt>
                <c:pt idx="7">
                  <c:v>1391.08635335777</c:v>
                </c:pt>
                <c:pt idx="8">
                  <c:v>1391.08635335777</c:v>
                </c:pt>
                <c:pt idx="9">
                  <c:v>1391.08635335777</c:v>
                </c:pt>
                <c:pt idx="10">
                  <c:v>1391.08635335777</c:v>
                </c:pt>
                <c:pt idx="11">
                  <c:v>1391.08635335777</c:v>
                </c:pt>
                <c:pt idx="12">
                  <c:v>1391.08635335777</c:v>
                </c:pt>
                <c:pt idx="13">
                  <c:v>1391.08635335777</c:v>
                </c:pt>
                <c:pt idx="14">
                  <c:v>1391.08635335777</c:v>
                </c:pt>
                <c:pt idx="15">
                  <c:v>1391.08635335777</c:v>
                </c:pt>
                <c:pt idx="16">
                  <c:v>1391.08635335777</c:v>
                </c:pt>
                <c:pt idx="17">
                  <c:v>1391.08635335777</c:v>
                </c:pt>
                <c:pt idx="18">
                  <c:v>1391.08635335777</c:v>
                </c:pt>
                <c:pt idx="19">
                  <c:v>1391.08635335777</c:v>
                </c:pt>
                <c:pt idx="20">
                  <c:v>1391.08635335777</c:v>
                </c:pt>
                <c:pt idx="21">
                  <c:v>1391.08635335777</c:v>
                </c:pt>
                <c:pt idx="22">
                  <c:v>1391.08635335777</c:v>
                </c:pt>
                <c:pt idx="23">
                  <c:v>1391.08635335777</c:v>
                </c:pt>
                <c:pt idx="24">
                  <c:v>1391.08635335777</c:v>
                </c:pt>
                <c:pt idx="25">
                  <c:v>1391.08635335777</c:v>
                </c:pt>
                <c:pt idx="26">
                  <c:v>1391.08635335777</c:v>
                </c:pt>
                <c:pt idx="27">
                  <c:v>1391.08635335777</c:v>
                </c:pt>
                <c:pt idx="28">
                  <c:v>1391.08635335777</c:v>
                </c:pt>
                <c:pt idx="29">
                  <c:v>1391.08635335777</c:v>
                </c:pt>
                <c:pt idx="30">
                  <c:v>1391.08635335777</c:v>
                </c:pt>
                <c:pt idx="31">
                  <c:v>1391.08635335777</c:v>
                </c:pt>
                <c:pt idx="32">
                  <c:v>1391.08635335777</c:v>
                </c:pt>
                <c:pt idx="33">
                  <c:v>1391.08635335777</c:v>
                </c:pt>
                <c:pt idx="34">
                  <c:v>1391.08635335777</c:v>
                </c:pt>
                <c:pt idx="35">
                  <c:v>1391.08635335777</c:v>
                </c:pt>
                <c:pt idx="36">
                  <c:v>1391.08635335777</c:v>
                </c:pt>
                <c:pt idx="37">
                  <c:v>1391.08635335777</c:v>
                </c:pt>
                <c:pt idx="38">
                  <c:v>1391.08635335777</c:v>
                </c:pt>
                <c:pt idx="39">
                  <c:v>1391.08635335777</c:v>
                </c:pt>
                <c:pt idx="40">
                  <c:v>1391.08635335777</c:v>
                </c:pt>
                <c:pt idx="41">
                  <c:v>1391.08635335777</c:v>
                </c:pt>
                <c:pt idx="42">
                  <c:v>1391.08635335777</c:v>
                </c:pt>
                <c:pt idx="43">
                  <c:v>1391.08635335777</c:v>
                </c:pt>
                <c:pt idx="44">
                  <c:v>1391.08635335777</c:v>
                </c:pt>
                <c:pt idx="45">
                  <c:v>1391.08635335777</c:v>
                </c:pt>
                <c:pt idx="46">
                  <c:v>1391.08635335777</c:v>
                </c:pt>
                <c:pt idx="47">
                  <c:v>1391.08635335777</c:v>
                </c:pt>
                <c:pt idx="48">
                  <c:v>1391.08635335777</c:v>
                </c:pt>
                <c:pt idx="49">
                  <c:v>1391.08635335777</c:v>
                </c:pt>
                <c:pt idx="50">
                  <c:v>1391.08635335777</c:v>
                </c:pt>
                <c:pt idx="51">
                  <c:v>1391.08635335777</c:v>
                </c:pt>
                <c:pt idx="52">
                  <c:v>1391.08635335777</c:v>
                </c:pt>
                <c:pt idx="53">
                  <c:v>1391.08635335777</c:v>
                </c:pt>
                <c:pt idx="54">
                  <c:v>1391.08635335777</c:v>
                </c:pt>
                <c:pt idx="55">
                  <c:v>1391.08635335777</c:v>
                </c:pt>
                <c:pt idx="56">
                  <c:v>1391.08635335777</c:v>
                </c:pt>
                <c:pt idx="57">
                  <c:v>1391.08635335777</c:v>
                </c:pt>
                <c:pt idx="58">
                  <c:v>1391.08635335777</c:v>
                </c:pt>
                <c:pt idx="59">
                  <c:v>1391.08635335777</c:v>
                </c:pt>
                <c:pt idx="60">
                  <c:v>1391.08635335777</c:v>
                </c:pt>
                <c:pt idx="61">
                  <c:v>1391.08635335777</c:v>
                </c:pt>
                <c:pt idx="62">
                  <c:v>1391.08635335777</c:v>
                </c:pt>
                <c:pt idx="63">
                  <c:v>1391.08635335777</c:v>
                </c:pt>
                <c:pt idx="64">
                  <c:v>1391.08635335777</c:v>
                </c:pt>
                <c:pt idx="65">
                  <c:v>1391.08635335777</c:v>
                </c:pt>
                <c:pt idx="66">
                  <c:v>1391.08635335777</c:v>
                </c:pt>
                <c:pt idx="67">
                  <c:v>1391.08635335777</c:v>
                </c:pt>
                <c:pt idx="68">
                  <c:v>1391.08635335777</c:v>
                </c:pt>
                <c:pt idx="69">
                  <c:v>1391.08635335777</c:v>
                </c:pt>
                <c:pt idx="70">
                  <c:v>1391.08635335777</c:v>
                </c:pt>
                <c:pt idx="71">
                  <c:v>1391.08635335777</c:v>
                </c:pt>
                <c:pt idx="72">
                  <c:v>1391.08635335777</c:v>
                </c:pt>
                <c:pt idx="73">
                  <c:v>1391.08635335777</c:v>
                </c:pt>
                <c:pt idx="74">
                  <c:v>1391.08635335777</c:v>
                </c:pt>
                <c:pt idx="75">
                  <c:v>1391.08635335777</c:v>
                </c:pt>
                <c:pt idx="76">
                  <c:v>1391.08635335777</c:v>
                </c:pt>
                <c:pt idx="77">
                  <c:v>1391.08635335777</c:v>
                </c:pt>
                <c:pt idx="78">
                  <c:v>1391.08635335777</c:v>
                </c:pt>
                <c:pt idx="79">
                  <c:v>1391.08635335777</c:v>
                </c:pt>
                <c:pt idx="80">
                  <c:v>1391.08635335777</c:v>
                </c:pt>
                <c:pt idx="81">
                  <c:v>1391.08635335777</c:v>
                </c:pt>
                <c:pt idx="82">
                  <c:v>1391.08635335777</c:v>
                </c:pt>
                <c:pt idx="83">
                  <c:v>1391.08635335777</c:v>
                </c:pt>
                <c:pt idx="84">
                  <c:v>1391.08635335777</c:v>
                </c:pt>
                <c:pt idx="85">
                  <c:v>1391.08635335777</c:v>
                </c:pt>
                <c:pt idx="86">
                  <c:v>1391.08635335777</c:v>
                </c:pt>
                <c:pt idx="87">
                  <c:v>1391.08635335777</c:v>
                </c:pt>
                <c:pt idx="88">
                  <c:v>1391.08635335777</c:v>
                </c:pt>
                <c:pt idx="89">
                  <c:v>1391.08635335777</c:v>
                </c:pt>
                <c:pt idx="90">
                  <c:v>1391.08635335777</c:v>
                </c:pt>
                <c:pt idx="91">
                  <c:v>1391.08635335777</c:v>
                </c:pt>
                <c:pt idx="92">
                  <c:v>1391.08635335777</c:v>
                </c:pt>
                <c:pt idx="93">
                  <c:v>1391.08635335777</c:v>
                </c:pt>
                <c:pt idx="94">
                  <c:v>1391.08635335777</c:v>
                </c:pt>
                <c:pt idx="95">
                  <c:v>1391.08635335777</c:v>
                </c:pt>
                <c:pt idx="96">
                  <c:v>1391.08635335777</c:v>
                </c:pt>
                <c:pt idx="97">
                  <c:v>1391.08635335777</c:v>
                </c:pt>
                <c:pt idx="98">
                  <c:v>1391.08635335777</c:v>
                </c:pt>
                <c:pt idx="99">
                  <c:v>1391.08635335777</c:v>
                </c:pt>
                <c:pt idx="100">
                  <c:v>1391.08635335777</c:v>
                </c:pt>
                <c:pt idx="101">
                  <c:v>1391.08635335777</c:v>
                </c:pt>
                <c:pt idx="102">
                  <c:v>1391.08635335777</c:v>
                </c:pt>
                <c:pt idx="103">
                  <c:v>1391.08635335777</c:v>
                </c:pt>
                <c:pt idx="104">
                  <c:v>1391.08635335777</c:v>
                </c:pt>
                <c:pt idx="105">
                  <c:v>1391.08635335777</c:v>
                </c:pt>
                <c:pt idx="106">
                  <c:v>1391.08635335777</c:v>
                </c:pt>
                <c:pt idx="107">
                  <c:v>1391.08635335777</c:v>
                </c:pt>
                <c:pt idx="108">
                  <c:v>1391.08635335777</c:v>
                </c:pt>
                <c:pt idx="109">
                  <c:v>1391.08635335777</c:v>
                </c:pt>
                <c:pt idx="110">
                  <c:v>1391.08635335777</c:v>
                </c:pt>
                <c:pt idx="111">
                  <c:v>1373.3957497975</c:v>
                </c:pt>
                <c:pt idx="112">
                  <c:v>1355.70514623724</c:v>
                </c:pt>
                <c:pt idx="113">
                  <c:v>1338.01454267697</c:v>
                </c:pt>
                <c:pt idx="114">
                  <c:v>1320.32393911671</c:v>
                </c:pt>
                <c:pt idx="115">
                  <c:v>1302.63333555644</c:v>
                </c:pt>
                <c:pt idx="116">
                  <c:v>1284.94273199618</c:v>
                </c:pt>
                <c:pt idx="117">
                  <c:v>1267.25212843591</c:v>
                </c:pt>
                <c:pt idx="118">
                  <c:v>1249.56152487565</c:v>
                </c:pt>
                <c:pt idx="119">
                  <c:v>1231.87092131538</c:v>
                </c:pt>
                <c:pt idx="120">
                  <c:v>1214.18031775512</c:v>
                </c:pt>
                <c:pt idx="121">
                  <c:v>1196.48971419485</c:v>
                </c:pt>
                <c:pt idx="122">
                  <c:v>1178.79911063458</c:v>
                </c:pt>
                <c:pt idx="123">
                  <c:v>1161.10850707432</c:v>
                </c:pt>
                <c:pt idx="124">
                  <c:v>1143.41790351405</c:v>
                </c:pt>
                <c:pt idx="125">
                  <c:v>1125.72729995379</c:v>
                </c:pt>
                <c:pt idx="126">
                  <c:v>1108.03669639352</c:v>
                </c:pt>
                <c:pt idx="127">
                  <c:v>1090.34609283326</c:v>
                </c:pt>
                <c:pt idx="128">
                  <c:v>1072.65548927299</c:v>
                </c:pt>
                <c:pt idx="129">
                  <c:v>1054.96488571273</c:v>
                </c:pt>
                <c:pt idx="130">
                  <c:v>1037.27428215246</c:v>
                </c:pt>
                <c:pt idx="131">
                  <c:v>1019.5836785922</c:v>
                </c:pt>
                <c:pt idx="132">
                  <c:v>1001.89307503193</c:v>
                </c:pt>
                <c:pt idx="133">
                  <c:v>984.202471471669</c:v>
                </c:pt>
                <c:pt idx="134">
                  <c:v>966.511867911403</c:v>
                </c:pt>
                <c:pt idx="135">
                  <c:v>948.821264351138</c:v>
                </c:pt>
                <c:pt idx="136">
                  <c:v>931.130660790873</c:v>
                </c:pt>
                <c:pt idx="137">
                  <c:v>913.440057230608</c:v>
                </c:pt>
                <c:pt idx="138">
                  <c:v>895.749453670343</c:v>
                </c:pt>
                <c:pt idx="139">
                  <c:v>878.058850110078</c:v>
                </c:pt>
                <c:pt idx="140">
                  <c:v>860.368246549813</c:v>
                </c:pt>
                <c:pt idx="141">
                  <c:v>842.677642989548</c:v>
                </c:pt>
                <c:pt idx="142">
                  <c:v>824.987039429283</c:v>
                </c:pt>
                <c:pt idx="143">
                  <c:v>807.296435869018</c:v>
                </c:pt>
                <c:pt idx="144">
                  <c:v>789.605832308753</c:v>
                </c:pt>
                <c:pt idx="145">
                  <c:v>771.915228748488</c:v>
                </c:pt>
                <c:pt idx="146">
                  <c:v>754.224625188222</c:v>
                </c:pt>
                <c:pt idx="147">
                  <c:v>736.534021627957</c:v>
                </c:pt>
                <c:pt idx="148">
                  <c:v>718.843418067692</c:v>
                </c:pt>
                <c:pt idx="149">
                  <c:v>701.152814507427</c:v>
                </c:pt>
                <c:pt idx="150">
                  <c:v>683.462210947162</c:v>
                </c:pt>
                <c:pt idx="151">
                  <c:v>683.462210947162</c:v>
                </c:pt>
                <c:pt idx="152">
                  <c:v>683.462210947162</c:v>
                </c:pt>
                <c:pt idx="153">
                  <c:v>683.462210947162</c:v>
                </c:pt>
                <c:pt idx="154">
                  <c:v>683.462210947162</c:v>
                </c:pt>
                <c:pt idx="155">
                  <c:v>683.462210947162</c:v>
                </c:pt>
                <c:pt idx="156">
                  <c:v>683.462210947162</c:v>
                </c:pt>
                <c:pt idx="157">
                  <c:v>683.462210947162</c:v>
                </c:pt>
                <c:pt idx="158">
                  <c:v>683.462210947162</c:v>
                </c:pt>
                <c:pt idx="159">
                  <c:v>683.462210947162</c:v>
                </c:pt>
                <c:pt idx="160">
                  <c:v>683.462210947162</c:v>
                </c:pt>
                <c:pt idx="161">
                  <c:v>683.462210947162</c:v>
                </c:pt>
                <c:pt idx="162">
                  <c:v>683.462210947162</c:v>
                </c:pt>
                <c:pt idx="163">
                  <c:v>683.462210947162</c:v>
                </c:pt>
                <c:pt idx="164">
                  <c:v>683.462210947162</c:v>
                </c:pt>
                <c:pt idx="165">
                  <c:v>683.462210947162</c:v>
                </c:pt>
                <c:pt idx="166">
                  <c:v>683.462210947162</c:v>
                </c:pt>
                <c:pt idx="167">
                  <c:v>683.462210947162</c:v>
                </c:pt>
                <c:pt idx="168">
                  <c:v>683.462210947162</c:v>
                </c:pt>
                <c:pt idx="169">
                  <c:v>683.462210947162</c:v>
                </c:pt>
                <c:pt idx="170">
                  <c:v>683.462210947162</c:v>
                </c:pt>
                <c:pt idx="171">
                  <c:v>668.612136277476</c:v>
                </c:pt>
                <c:pt idx="172">
                  <c:v>653.76206160779</c:v>
                </c:pt>
                <c:pt idx="173">
                  <c:v>638.911986938104</c:v>
                </c:pt>
                <c:pt idx="174">
                  <c:v>624.061912268418</c:v>
                </c:pt>
                <c:pt idx="175">
                  <c:v>609.211837598732</c:v>
                </c:pt>
                <c:pt idx="176">
                  <c:v>594.361762929046</c:v>
                </c:pt>
                <c:pt idx="177">
                  <c:v>579.51168825936</c:v>
                </c:pt>
                <c:pt idx="178">
                  <c:v>564.661613589674</c:v>
                </c:pt>
                <c:pt idx="179">
                  <c:v>549.811538919987</c:v>
                </c:pt>
                <c:pt idx="180">
                  <c:v>534.961464250302</c:v>
                </c:pt>
                <c:pt idx="181">
                  <c:v>520.111389580615</c:v>
                </c:pt>
                <c:pt idx="182">
                  <c:v>505.26131491093</c:v>
                </c:pt>
                <c:pt idx="183">
                  <c:v>490.411240241243</c:v>
                </c:pt>
                <c:pt idx="184">
                  <c:v>475.561165571557</c:v>
                </c:pt>
                <c:pt idx="185">
                  <c:v>460.711090901871</c:v>
                </c:pt>
                <c:pt idx="186">
                  <c:v>445.861016232185</c:v>
                </c:pt>
                <c:pt idx="187">
                  <c:v>431.010941562499</c:v>
                </c:pt>
                <c:pt idx="188">
                  <c:v>416.160866892813</c:v>
                </c:pt>
                <c:pt idx="189">
                  <c:v>401.310792223127</c:v>
                </c:pt>
                <c:pt idx="190">
                  <c:v>386.460717553441</c:v>
                </c:pt>
                <c:pt idx="191">
                  <c:v>386.460717553441</c:v>
                </c:pt>
                <c:pt idx="192">
                  <c:v>386.460717553441</c:v>
                </c:pt>
                <c:pt idx="193">
                  <c:v>386.460717553441</c:v>
                </c:pt>
                <c:pt idx="194">
                  <c:v>386.460717553441</c:v>
                </c:pt>
                <c:pt idx="195">
                  <c:v>386.460717553441</c:v>
                </c:pt>
                <c:pt idx="196">
                  <c:v>386.460717553441</c:v>
                </c:pt>
                <c:pt idx="197">
                  <c:v>386.460717553441</c:v>
                </c:pt>
                <c:pt idx="198">
                  <c:v>386.460717553441</c:v>
                </c:pt>
                <c:pt idx="199">
                  <c:v>386.460717553441</c:v>
                </c:pt>
                <c:pt idx="200">
                  <c:v>386.460717553441</c:v>
                </c:pt>
                <c:pt idx="201">
                  <c:v>386.460717553441</c:v>
                </c:pt>
                <c:pt idx="202">
                  <c:v>386.460717553441</c:v>
                </c:pt>
                <c:pt idx="203">
                  <c:v>386.460717553441</c:v>
                </c:pt>
                <c:pt idx="204">
                  <c:v>386.460717553441</c:v>
                </c:pt>
                <c:pt idx="205">
                  <c:v>386.460717553441</c:v>
                </c:pt>
                <c:pt idx="206">
                  <c:v>386.460717553441</c:v>
                </c:pt>
                <c:pt idx="207">
                  <c:v>386.460717553441</c:v>
                </c:pt>
                <c:pt idx="208">
                  <c:v>386.460717553441</c:v>
                </c:pt>
                <c:pt idx="209">
                  <c:v>386.460717553441</c:v>
                </c:pt>
                <c:pt idx="210">
                  <c:v>386.460717553441</c:v>
                </c:pt>
                <c:pt idx="211">
                  <c:v>386.460717553441</c:v>
                </c:pt>
                <c:pt idx="212">
                  <c:v>386.460717553441</c:v>
                </c:pt>
                <c:pt idx="213">
                  <c:v>386.460717553441</c:v>
                </c:pt>
                <c:pt idx="214">
                  <c:v>386.460717553441</c:v>
                </c:pt>
                <c:pt idx="215">
                  <c:v>386.460717553441</c:v>
                </c:pt>
                <c:pt idx="216">
                  <c:v>386.460717553441</c:v>
                </c:pt>
                <c:pt idx="217">
                  <c:v>386.460717553441</c:v>
                </c:pt>
                <c:pt idx="218">
                  <c:v>386.460717553441</c:v>
                </c:pt>
                <c:pt idx="219">
                  <c:v>386.460717553441</c:v>
                </c:pt>
                <c:pt idx="220">
                  <c:v>386.460717553441</c:v>
                </c:pt>
                <c:pt idx="221">
                  <c:v>386.460717553441</c:v>
                </c:pt>
                <c:pt idx="222">
                  <c:v>386.460717553441</c:v>
                </c:pt>
                <c:pt idx="223">
                  <c:v>386.460717553441</c:v>
                </c:pt>
                <c:pt idx="224">
                  <c:v>386.460717553441</c:v>
                </c:pt>
                <c:pt idx="225">
                  <c:v>386.460717553441</c:v>
                </c:pt>
                <c:pt idx="226">
                  <c:v>386.460717553441</c:v>
                </c:pt>
                <c:pt idx="227">
                  <c:v>386.460717553441</c:v>
                </c:pt>
                <c:pt idx="228">
                  <c:v>386.460717553441</c:v>
                </c:pt>
                <c:pt idx="229">
                  <c:v>386.460717553441</c:v>
                </c:pt>
                <c:pt idx="230">
                  <c:v>386.460717553441</c:v>
                </c:pt>
                <c:pt idx="231">
                  <c:v>386.460717553441</c:v>
                </c:pt>
                <c:pt idx="232">
                  <c:v>386.460717553441</c:v>
                </c:pt>
                <c:pt idx="233">
                  <c:v>386.460717553441</c:v>
                </c:pt>
                <c:pt idx="234">
                  <c:v>386.460717553441</c:v>
                </c:pt>
                <c:pt idx="235">
                  <c:v>386.460717553441</c:v>
                </c:pt>
                <c:pt idx="236">
                  <c:v>386.460717553441</c:v>
                </c:pt>
                <c:pt idx="237">
                  <c:v>386.460717553441</c:v>
                </c:pt>
                <c:pt idx="238">
                  <c:v>386.460717553441</c:v>
                </c:pt>
                <c:pt idx="239">
                  <c:v>386.460717553441</c:v>
                </c:pt>
                <c:pt idx="240">
                  <c:v>386.460717553441</c:v>
                </c:pt>
                <c:pt idx="241">
                  <c:v>386.460717553441</c:v>
                </c:pt>
                <c:pt idx="242">
                  <c:v>386.460717553441</c:v>
                </c:pt>
                <c:pt idx="243">
                  <c:v>386.460717553441</c:v>
                </c:pt>
                <c:pt idx="244">
                  <c:v>386.460717553441</c:v>
                </c:pt>
                <c:pt idx="245">
                  <c:v>386.460717553441</c:v>
                </c:pt>
                <c:pt idx="246">
                  <c:v>386.460717553441</c:v>
                </c:pt>
                <c:pt idx="247">
                  <c:v>386.460717553441</c:v>
                </c:pt>
                <c:pt idx="248">
                  <c:v>386.460717553441</c:v>
                </c:pt>
                <c:pt idx="249">
                  <c:v>386.460717553441</c:v>
                </c:pt>
                <c:pt idx="250">
                  <c:v>386.460717553441</c:v>
                </c:pt>
                <c:pt idx="251">
                  <c:v>386.460717553441</c:v>
                </c:pt>
                <c:pt idx="252">
                  <c:v>386.460717553441</c:v>
                </c:pt>
                <c:pt idx="253">
                  <c:v>386.460717553441</c:v>
                </c:pt>
                <c:pt idx="254">
                  <c:v>386.460717553441</c:v>
                </c:pt>
                <c:pt idx="255">
                  <c:v>386.460717553441</c:v>
                </c:pt>
                <c:pt idx="256">
                  <c:v>386.460717553441</c:v>
                </c:pt>
                <c:pt idx="257">
                  <c:v>386.460717553441</c:v>
                </c:pt>
                <c:pt idx="258">
                  <c:v>386.460717553441</c:v>
                </c:pt>
                <c:pt idx="259">
                  <c:v>386.460717553441</c:v>
                </c:pt>
                <c:pt idx="260">
                  <c:v>386.460717553441</c:v>
                </c:pt>
                <c:pt idx="261">
                  <c:v>386.460717553441</c:v>
                </c:pt>
                <c:pt idx="262">
                  <c:v>386.460717553441</c:v>
                </c:pt>
                <c:pt idx="263">
                  <c:v>386.460717553441</c:v>
                </c:pt>
                <c:pt idx="264">
                  <c:v>386.460717553441</c:v>
                </c:pt>
                <c:pt idx="265">
                  <c:v>386.460717553441</c:v>
                </c:pt>
                <c:pt idx="266">
                  <c:v>386.460717553441</c:v>
                </c:pt>
                <c:pt idx="267">
                  <c:v>386.460717553441</c:v>
                </c:pt>
                <c:pt idx="268">
                  <c:v>386.460717553441</c:v>
                </c:pt>
                <c:pt idx="269">
                  <c:v>386.460717553441</c:v>
                </c:pt>
                <c:pt idx="270">
                  <c:v>386.460717553441</c:v>
                </c:pt>
                <c:pt idx="271">
                  <c:v>386.460717553441</c:v>
                </c:pt>
                <c:pt idx="272">
                  <c:v>386.460717553441</c:v>
                </c:pt>
                <c:pt idx="273">
                  <c:v>386.460717553441</c:v>
                </c:pt>
                <c:pt idx="274">
                  <c:v>386.460717553441</c:v>
                </c:pt>
                <c:pt idx="275">
                  <c:v>386.460717553441</c:v>
                </c:pt>
                <c:pt idx="276">
                  <c:v>386.460717553441</c:v>
                </c:pt>
                <c:pt idx="277">
                  <c:v>386.460717553441</c:v>
                </c:pt>
                <c:pt idx="278">
                  <c:v>386.460717553441</c:v>
                </c:pt>
                <c:pt idx="279">
                  <c:v>386.460717553441</c:v>
                </c:pt>
                <c:pt idx="280">
                  <c:v>386.460717553441</c:v>
                </c:pt>
              </c:numCache>
            </c:numRef>
          </c:yVal>
          <c:smooth val="0"/>
        </c:ser>
        <c:ser>
          <c:idx val="1"/>
          <c:order val="1"/>
          <c:tx>
            <c:strRef>
              <c:f>"Td (s)"</c:f>
              <c:strCache>
                <c:ptCount val="1"/>
                <c:pt idx="0">
                  <c:v>Td (s)</c:v>
                </c:pt>
              </c:strCache>
            </c:strRef>
          </c:tx>
          <c:spPr>
            <a:solidFill>
              <a:srgbClr val="9467bd"/>
            </a:solidFill>
            <a:ln w="21960">
              <a:solidFill>
                <a:srgbClr val="9467bd"/>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05_Schedules!$A$5:$A$285</c:f>
              <c:numCache>
                <c:formatCode>0.00</c:formatCode>
                <c:ptCount val="281"/>
                <c:pt idx="0">
                  <c:v>0</c:v>
                </c:pt>
                <c:pt idx="1">
                  <c:v>0.05</c:v>
                </c:pt>
                <c:pt idx="2">
                  <c:v>0.1</c:v>
                </c:pt>
                <c:pt idx="3">
                  <c:v>0.15</c:v>
                </c:pt>
                <c:pt idx="4">
                  <c:v>0.2</c:v>
                </c:pt>
                <c:pt idx="5">
                  <c:v>0.25</c:v>
                </c:pt>
                <c:pt idx="6">
                  <c:v>0.3</c:v>
                </c:pt>
                <c:pt idx="7">
                  <c:v>0.35</c:v>
                </c:pt>
                <c:pt idx="8">
                  <c:v>0.4</c:v>
                </c:pt>
                <c:pt idx="9">
                  <c:v>0.45</c:v>
                </c:pt>
                <c:pt idx="10">
                  <c:v>0.5</c:v>
                </c:pt>
                <c:pt idx="11">
                  <c:v>0.55</c:v>
                </c:pt>
                <c:pt idx="12">
                  <c:v>0.6</c:v>
                </c:pt>
                <c:pt idx="13">
                  <c:v>0.65</c:v>
                </c:pt>
                <c:pt idx="14">
                  <c:v>0.7</c:v>
                </c:pt>
                <c:pt idx="15">
                  <c:v>0.75</c:v>
                </c:pt>
                <c:pt idx="16">
                  <c:v>0.8</c:v>
                </c:pt>
                <c:pt idx="17">
                  <c:v>0.85</c:v>
                </c:pt>
                <c:pt idx="18">
                  <c:v>0.9</c:v>
                </c:pt>
                <c:pt idx="19">
                  <c:v>0.95</c:v>
                </c:pt>
                <c:pt idx="20">
                  <c:v>1</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c:v>
                </c:pt>
                <c:pt idx="61">
                  <c:v>3.05</c:v>
                </c:pt>
                <c:pt idx="62">
                  <c:v>3.1</c:v>
                </c:pt>
                <c:pt idx="63">
                  <c:v>3.15</c:v>
                </c:pt>
                <c:pt idx="64">
                  <c:v>3.2</c:v>
                </c:pt>
                <c:pt idx="65">
                  <c:v>3.25</c:v>
                </c:pt>
                <c:pt idx="66">
                  <c:v>3.3</c:v>
                </c:pt>
                <c:pt idx="67">
                  <c:v>3.35</c:v>
                </c:pt>
                <c:pt idx="68">
                  <c:v>3.4</c:v>
                </c:pt>
                <c:pt idx="69">
                  <c:v>3.45</c:v>
                </c:pt>
                <c:pt idx="70">
                  <c:v>3.5</c:v>
                </c:pt>
                <c:pt idx="71">
                  <c:v>3.55</c:v>
                </c:pt>
                <c:pt idx="72">
                  <c:v>3.6</c:v>
                </c:pt>
                <c:pt idx="73">
                  <c:v>3.65</c:v>
                </c:pt>
                <c:pt idx="74">
                  <c:v>3.7</c:v>
                </c:pt>
                <c:pt idx="75">
                  <c:v>3.75</c:v>
                </c:pt>
                <c:pt idx="76">
                  <c:v>3.8</c:v>
                </c:pt>
                <c:pt idx="77">
                  <c:v>3.85</c:v>
                </c:pt>
                <c:pt idx="78">
                  <c:v>3.9</c:v>
                </c:pt>
                <c:pt idx="79">
                  <c:v>3.95</c:v>
                </c:pt>
                <c:pt idx="80">
                  <c:v>4</c:v>
                </c:pt>
                <c:pt idx="81">
                  <c:v>4.05</c:v>
                </c:pt>
                <c:pt idx="82">
                  <c:v>4.1</c:v>
                </c:pt>
                <c:pt idx="83">
                  <c:v>4.15</c:v>
                </c:pt>
                <c:pt idx="84">
                  <c:v>4.2</c:v>
                </c:pt>
                <c:pt idx="85">
                  <c:v>4.25</c:v>
                </c:pt>
                <c:pt idx="86">
                  <c:v>4.3</c:v>
                </c:pt>
                <c:pt idx="87">
                  <c:v>4.35</c:v>
                </c:pt>
                <c:pt idx="88">
                  <c:v>4.4</c:v>
                </c:pt>
                <c:pt idx="89">
                  <c:v>4.45</c:v>
                </c:pt>
                <c:pt idx="90">
                  <c:v>4.5</c:v>
                </c:pt>
                <c:pt idx="91">
                  <c:v>4.55</c:v>
                </c:pt>
                <c:pt idx="92">
                  <c:v>4.6</c:v>
                </c:pt>
                <c:pt idx="93">
                  <c:v>4.65</c:v>
                </c:pt>
                <c:pt idx="94">
                  <c:v>4.7</c:v>
                </c:pt>
                <c:pt idx="95">
                  <c:v>4.75</c:v>
                </c:pt>
                <c:pt idx="96">
                  <c:v>4.8</c:v>
                </c:pt>
                <c:pt idx="97">
                  <c:v>4.85</c:v>
                </c:pt>
                <c:pt idx="98">
                  <c:v>4.9</c:v>
                </c:pt>
                <c:pt idx="99">
                  <c:v>4.95</c:v>
                </c:pt>
                <c:pt idx="100">
                  <c:v>5</c:v>
                </c:pt>
                <c:pt idx="101">
                  <c:v>5.05</c:v>
                </c:pt>
                <c:pt idx="102">
                  <c:v>5.1</c:v>
                </c:pt>
                <c:pt idx="103">
                  <c:v>5.15</c:v>
                </c:pt>
                <c:pt idx="104">
                  <c:v>5.2</c:v>
                </c:pt>
                <c:pt idx="105">
                  <c:v>5.25</c:v>
                </c:pt>
                <c:pt idx="106">
                  <c:v>5.3</c:v>
                </c:pt>
                <c:pt idx="107">
                  <c:v>5.35</c:v>
                </c:pt>
                <c:pt idx="108">
                  <c:v>5.4</c:v>
                </c:pt>
                <c:pt idx="109">
                  <c:v>5.45</c:v>
                </c:pt>
                <c:pt idx="110">
                  <c:v>5.5</c:v>
                </c:pt>
                <c:pt idx="111">
                  <c:v>5.55</c:v>
                </c:pt>
                <c:pt idx="112">
                  <c:v>5.6</c:v>
                </c:pt>
                <c:pt idx="113">
                  <c:v>5.65</c:v>
                </c:pt>
                <c:pt idx="114">
                  <c:v>5.7</c:v>
                </c:pt>
                <c:pt idx="115">
                  <c:v>5.75</c:v>
                </c:pt>
                <c:pt idx="116">
                  <c:v>5.8</c:v>
                </c:pt>
                <c:pt idx="117">
                  <c:v>5.85</c:v>
                </c:pt>
                <c:pt idx="118">
                  <c:v>5.9</c:v>
                </c:pt>
                <c:pt idx="119">
                  <c:v>5.95</c:v>
                </c:pt>
                <c:pt idx="120">
                  <c:v>6</c:v>
                </c:pt>
                <c:pt idx="121">
                  <c:v>6.05</c:v>
                </c:pt>
                <c:pt idx="122">
                  <c:v>6.1</c:v>
                </c:pt>
                <c:pt idx="123">
                  <c:v>6.15</c:v>
                </c:pt>
                <c:pt idx="124">
                  <c:v>6.2</c:v>
                </c:pt>
                <c:pt idx="125">
                  <c:v>6.25</c:v>
                </c:pt>
                <c:pt idx="126">
                  <c:v>6.3</c:v>
                </c:pt>
                <c:pt idx="127">
                  <c:v>6.35</c:v>
                </c:pt>
                <c:pt idx="128">
                  <c:v>6.4</c:v>
                </c:pt>
                <c:pt idx="129">
                  <c:v>6.45</c:v>
                </c:pt>
                <c:pt idx="130">
                  <c:v>6.5</c:v>
                </c:pt>
                <c:pt idx="131">
                  <c:v>6.55</c:v>
                </c:pt>
                <c:pt idx="132">
                  <c:v>6.6</c:v>
                </c:pt>
                <c:pt idx="133">
                  <c:v>6.65</c:v>
                </c:pt>
                <c:pt idx="134">
                  <c:v>6.7</c:v>
                </c:pt>
                <c:pt idx="135">
                  <c:v>6.75</c:v>
                </c:pt>
                <c:pt idx="136">
                  <c:v>6.8</c:v>
                </c:pt>
                <c:pt idx="137">
                  <c:v>6.85</c:v>
                </c:pt>
                <c:pt idx="138">
                  <c:v>6.9</c:v>
                </c:pt>
                <c:pt idx="139">
                  <c:v>6.95</c:v>
                </c:pt>
                <c:pt idx="140">
                  <c:v>7</c:v>
                </c:pt>
                <c:pt idx="141">
                  <c:v>7.05</c:v>
                </c:pt>
                <c:pt idx="142">
                  <c:v>7.1</c:v>
                </c:pt>
                <c:pt idx="143">
                  <c:v>7.15</c:v>
                </c:pt>
                <c:pt idx="144">
                  <c:v>7.2</c:v>
                </c:pt>
                <c:pt idx="145">
                  <c:v>7.25</c:v>
                </c:pt>
                <c:pt idx="146">
                  <c:v>7.3</c:v>
                </c:pt>
                <c:pt idx="147">
                  <c:v>7.35</c:v>
                </c:pt>
                <c:pt idx="148">
                  <c:v>7.4</c:v>
                </c:pt>
                <c:pt idx="149">
                  <c:v>7.45</c:v>
                </c:pt>
                <c:pt idx="150">
                  <c:v>7.5</c:v>
                </c:pt>
                <c:pt idx="151">
                  <c:v>7.55</c:v>
                </c:pt>
                <c:pt idx="152">
                  <c:v>7.6</c:v>
                </c:pt>
                <c:pt idx="153">
                  <c:v>7.65</c:v>
                </c:pt>
                <c:pt idx="154">
                  <c:v>7.7</c:v>
                </c:pt>
                <c:pt idx="155">
                  <c:v>7.75</c:v>
                </c:pt>
                <c:pt idx="156">
                  <c:v>7.8</c:v>
                </c:pt>
                <c:pt idx="157">
                  <c:v>7.85</c:v>
                </c:pt>
                <c:pt idx="158">
                  <c:v>7.9</c:v>
                </c:pt>
                <c:pt idx="159">
                  <c:v>7.95</c:v>
                </c:pt>
                <c:pt idx="160">
                  <c:v>8</c:v>
                </c:pt>
                <c:pt idx="161">
                  <c:v>8.05</c:v>
                </c:pt>
                <c:pt idx="162">
                  <c:v>8.1</c:v>
                </c:pt>
                <c:pt idx="163">
                  <c:v>8.15</c:v>
                </c:pt>
                <c:pt idx="164">
                  <c:v>8.2</c:v>
                </c:pt>
                <c:pt idx="165">
                  <c:v>8.25</c:v>
                </c:pt>
                <c:pt idx="166">
                  <c:v>8.3</c:v>
                </c:pt>
                <c:pt idx="167">
                  <c:v>8.35</c:v>
                </c:pt>
                <c:pt idx="168">
                  <c:v>8.4</c:v>
                </c:pt>
                <c:pt idx="169">
                  <c:v>8.45</c:v>
                </c:pt>
                <c:pt idx="170">
                  <c:v>8.5</c:v>
                </c:pt>
                <c:pt idx="171">
                  <c:v>8.55</c:v>
                </c:pt>
                <c:pt idx="172">
                  <c:v>8.6</c:v>
                </c:pt>
                <c:pt idx="173">
                  <c:v>8.65</c:v>
                </c:pt>
                <c:pt idx="174">
                  <c:v>8.7</c:v>
                </c:pt>
                <c:pt idx="175">
                  <c:v>8.75</c:v>
                </c:pt>
                <c:pt idx="176">
                  <c:v>8.8</c:v>
                </c:pt>
                <c:pt idx="177">
                  <c:v>8.85</c:v>
                </c:pt>
                <c:pt idx="178">
                  <c:v>8.9</c:v>
                </c:pt>
                <c:pt idx="179">
                  <c:v>8.95</c:v>
                </c:pt>
                <c:pt idx="180">
                  <c:v>9</c:v>
                </c:pt>
                <c:pt idx="181">
                  <c:v>9.05</c:v>
                </c:pt>
                <c:pt idx="182">
                  <c:v>9.1</c:v>
                </c:pt>
                <c:pt idx="183">
                  <c:v>9.15</c:v>
                </c:pt>
                <c:pt idx="184">
                  <c:v>9.2</c:v>
                </c:pt>
                <c:pt idx="185">
                  <c:v>9.25</c:v>
                </c:pt>
                <c:pt idx="186">
                  <c:v>9.3</c:v>
                </c:pt>
                <c:pt idx="187">
                  <c:v>9.35</c:v>
                </c:pt>
                <c:pt idx="188">
                  <c:v>9.4</c:v>
                </c:pt>
                <c:pt idx="189">
                  <c:v>9.45</c:v>
                </c:pt>
                <c:pt idx="190">
                  <c:v>9.5</c:v>
                </c:pt>
                <c:pt idx="191">
                  <c:v>9.55</c:v>
                </c:pt>
                <c:pt idx="192">
                  <c:v>9.6</c:v>
                </c:pt>
                <c:pt idx="193">
                  <c:v>9.65</c:v>
                </c:pt>
                <c:pt idx="194">
                  <c:v>9.7</c:v>
                </c:pt>
                <c:pt idx="195">
                  <c:v>9.75</c:v>
                </c:pt>
                <c:pt idx="196">
                  <c:v>9.8</c:v>
                </c:pt>
                <c:pt idx="197">
                  <c:v>9.85</c:v>
                </c:pt>
                <c:pt idx="198">
                  <c:v>9.9</c:v>
                </c:pt>
                <c:pt idx="199">
                  <c:v>9.95</c:v>
                </c:pt>
                <c:pt idx="200">
                  <c:v>10</c:v>
                </c:pt>
                <c:pt idx="201">
                  <c:v>10.05</c:v>
                </c:pt>
                <c:pt idx="202">
                  <c:v>10.1</c:v>
                </c:pt>
                <c:pt idx="203">
                  <c:v>10.15</c:v>
                </c:pt>
                <c:pt idx="204">
                  <c:v>10.2</c:v>
                </c:pt>
                <c:pt idx="205">
                  <c:v>10.25</c:v>
                </c:pt>
                <c:pt idx="206">
                  <c:v>10.3</c:v>
                </c:pt>
                <c:pt idx="207">
                  <c:v>10.35</c:v>
                </c:pt>
                <c:pt idx="208">
                  <c:v>10.4</c:v>
                </c:pt>
                <c:pt idx="209">
                  <c:v>10.45</c:v>
                </c:pt>
                <c:pt idx="210">
                  <c:v>10.5</c:v>
                </c:pt>
                <c:pt idx="211">
                  <c:v>10.55</c:v>
                </c:pt>
                <c:pt idx="212">
                  <c:v>10.6</c:v>
                </c:pt>
                <c:pt idx="213">
                  <c:v>10.65</c:v>
                </c:pt>
                <c:pt idx="214">
                  <c:v>10.7</c:v>
                </c:pt>
                <c:pt idx="215">
                  <c:v>10.75</c:v>
                </c:pt>
                <c:pt idx="216">
                  <c:v>10.8</c:v>
                </c:pt>
                <c:pt idx="217">
                  <c:v>10.85</c:v>
                </c:pt>
                <c:pt idx="218">
                  <c:v>10.9</c:v>
                </c:pt>
                <c:pt idx="219">
                  <c:v>10.95</c:v>
                </c:pt>
                <c:pt idx="220">
                  <c:v>11</c:v>
                </c:pt>
                <c:pt idx="221">
                  <c:v>11.05</c:v>
                </c:pt>
                <c:pt idx="222">
                  <c:v>11.1</c:v>
                </c:pt>
                <c:pt idx="223">
                  <c:v>11.15</c:v>
                </c:pt>
                <c:pt idx="224">
                  <c:v>11.2</c:v>
                </c:pt>
                <c:pt idx="225">
                  <c:v>11.25</c:v>
                </c:pt>
                <c:pt idx="226">
                  <c:v>11.3</c:v>
                </c:pt>
                <c:pt idx="227">
                  <c:v>11.35</c:v>
                </c:pt>
                <c:pt idx="228">
                  <c:v>11.4</c:v>
                </c:pt>
                <c:pt idx="229">
                  <c:v>11.45</c:v>
                </c:pt>
                <c:pt idx="230">
                  <c:v>11.5</c:v>
                </c:pt>
                <c:pt idx="231">
                  <c:v>11.55</c:v>
                </c:pt>
                <c:pt idx="232">
                  <c:v>11.6</c:v>
                </c:pt>
                <c:pt idx="233">
                  <c:v>11.65</c:v>
                </c:pt>
                <c:pt idx="234">
                  <c:v>11.7</c:v>
                </c:pt>
                <c:pt idx="235">
                  <c:v>11.75</c:v>
                </c:pt>
                <c:pt idx="236">
                  <c:v>11.8</c:v>
                </c:pt>
                <c:pt idx="237">
                  <c:v>11.85</c:v>
                </c:pt>
                <c:pt idx="238">
                  <c:v>11.9</c:v>
                </c:pt>
                <c:pt idx="239">
                  <c:v>11.95</c:v>
                </c:pt>
                <c:pt idx="240">
                  <c:v>12</c:v>
                </c:pt>
                <c:pt idx="241">
                  <c:v>12.05</c:v>
                </c:pt>
                <c:pt idx="242">
                  <c:v>12.1</c:v>
                </c:pt>
                <c:pt idx="243">
                  <c:v>12.15</c:v>
                </c:pt>
                <c:pt idx="244">
                  <c:v>12.2</c:v>
                </c:pt>
                <c:pt idx="245">
                  <c:v>12.25</c:v>
                </c:pt>
                <c:pt idx="246">
                  <c:v>12.3</c:v>
                </c:pt>
                <c:pt idx="247">
                  <c:v>12.35</c:v>
                </c:pt>
                <c:pt idx="248">
                  <c:v>12.4</c:v>
                </c:pt>
                <c:pt idx="249">
                  <c:v>12.45</c:v>
                </c:pt>
                <c:pt idx="250">
                  <c:v>12.5</c:v>
                </c:pt>
                <c:pt idx="251">
                  <c:v>12.55</c:v>
                </c:pt>
                <c:pt idx="252">
                  <c:v>12.6</c:v>
                </c:pt>
                <c:pt idx="253">
                  <c:v>12.65</c:v>
                </c:pt>
                <c:pt idx="254">
                  <c:v>12.7</c:v>
                </c:pt>
                <c:pt idx="255">
                  <c:v>12.75</c:v>
                </c:pt>
                <c:pt idx="256">
                  <c:v>12.8</c:v>
                </c:pt>
                <c:pt idx="257">
                  <c:v>12.85</c:v>
                </c:pt>
                <c:pt idx="258">
                  <c:v>12.9</c:v>
                </c:pt>
                <c:pt idx="259">
                  <c:v>12.95</c:v>
                </c:pt>
                <c:pt idx="260">
                  <c:v>13</c:v>
                </c:pt>
                <c:pt idx="261">
                  <c:v>13.05</c:v>
                </c:pt>
                <c:pt idx="262">
                  <c:v>13.1</c:v>
                </c:pt>
                <c:pt idx="263">
                  <c:v>13.15</c:v>
                </c:pt>
                <c:pt idx="264">
                  <c:v>13.2</c:v>
                </c:pt>
                <c:pt idx="265">
                  <c:v>13.25</c:v>
                </c:pt>
                <c:pt idx="266">
                  <c:v>13.3</c:v>
                </c:pt>
                <c:pt idx="267">
                  <c:v>13.35</c:v>
                </c:pt>
                <c:pt idx="268">
                  <c:v>13.4</c:v>
                </c:pt>
                <c:pt idx="269">
                  <c:v>13.45</c:v>
                </c:pt>
                <c:pt idx="270">
                  <c:v>13.5</c:v>
                </c:pt>
                <c:pt idx="271">
                  <c:v>13.55</c:v>
                </c:pt>
                <c:pt idx="272">
                  <c:v>13.6</c:v>
                </c:pt>
                <c:pt idx="273">
                  <c:v>13.65</c:v>
                </c:pt>
                <c:pt idx="274">
                  <c:v>13.7</c:v>
                </c:pt>
                <c:pt idx="275">
                  <c:v>13.75</c:v>
                </c:pt>
                <c:pt idx="276">
                  <c:v>13.8</c:v>
                </c:pt>
                <c:pt idx="277">
                  <c:v>13.85</c:v>
                </c:pt>
                <c:pt idx="278">
                  <c:v>13.9</c:v>
                </c:pt>
                <c:pt idx="279">
                  <c:v>13.95</c:v>
                </c:pt>
                <c:pt idx="280">
                  <c:v>14</c:v>
                </c:pt>
              </c:numCache>
            </c:numRef>
          </c:xVal>
          <c:yVal>
            <c:numRef>
              <c:f>05_Schedules!$D$5:$D$285</c:f>
              <c:numCache>
                <c:formatCode>0.00</c:formatCode>
                <c:ptCount val="281"/>
                <c:pt idx="0">
                  <c:v>104.756264334892</c:v>
                </c:pt>
                <c:pt idx="1">
                  <c:v>104.756264334892</c:v>
                </c:pt>
                <c:pt idx="2">
                  <c:v>104.756264334892</c:v>
                </c:pt>
                <c:pt idx="3">
                  <c:v>104.756264334892</c:v>
                </c:pt>
                <c:pt idx="4">
                  <c:v>104.756264334892</c:v>
                </c:pt>
                <c:pt idx="5">
                  <c:v>104.756264334892</c:v>
                </c:pt>
                <c:pt idx="6">
                  <c:v>104.756264334892</c:v>
                </c:pt>
                <c:pt idx="7">
                  <c:v>104.756264334892</c:v>
                </c:pt>
                <c:pt idx="8">
                  <c:v>104.756264334892</c:v>
                </c:pt>
                <c:pt idx="9">
                  <c:v>104.756264334892</c:v>
                </c:pt>
                <c:pt idx="10">
                  <c:v>104.756264334892</c:v>
                </c:pt>
                <c:pt idx="11">
                  <c:v>104.756264334892</c:v>
                </c:pt>
                <c:pt idx="12">
                  <c:v>104.756264334892</c:v>
                </c:pt>
                <c:pt idx="13">
                  <c:v>104.756264334892</c:v>
                </c:pt>
                <c:pt idx="14">
                  <c:v>104.756264334892</c:v>
                </c:pt>
                <c:pt idx="15">
                  <c:v>104.756264334892</c:v>
                </c:pt>
                <c:pt idx="16">
                  <c:v>104.756264334892</c:v>
                </c:pt>
                <c:pt idx="17">
                  <c:v>104.756264334892</c:v>
                </c:pt>
                <c:pt idx="18">
                  <c:v>104.756264334892</c:v>
                </c:pt>
                <c:pt idx="19">
                  <c:v>104.756264334892</c:v>
                </c:pt>
                <c:pt idx="20">
                  <c:v>104.756264334892</c:v>
                </c:pt>
                <c:pt idx="21">
                  <c:v>104.756264334892</c:v>
                </c:pt>
                <c:pt idx="22">
                  <c:v>104.756264334892</c:v>
                </c:pt>
                <c:pt idx="23">
                  <c:v>104.756264334892</c:v>
                </c:pt>
                <c:pt idx="24">
                  <c:v>104.756264334892</c:v>
                </c:pt>
                <c:pt idx="25">
                  <c:v>104.756264334892</c:v>
                </c:pt>
                <c:pt idx="26">
                  <c:v>104.756264334892</c:v>
                </c:pt>
                <c:pt idx="27">
                  <c:v>104.756264334892</c:v>
                </c:pt>
                <c:pt idx="28">
                  <c:v>104.756264334892</c:v>
                </c:pt>
                <c:pt idx="29">
                  <c:v>104.756264334892</c:v>
                </c:pt>
                <c:pt idx="30">
                  <c:v>104.756264334892</c:v>
                </c:pt>
                <c:pt idx="31">
                  <c:v>104.756264334892</c:v>
                </c:pt>
                <c:pt idx="32">
                  <c:v>104.756264334892</c:v>
                </c:pt>
                <c:pt idx="33">
                  <c:v>104.756264334892</c:v>
                </c:pt>
                <c:pt idx="34">
                  <c:v>104.756264334892</c:v>
                </c:pt>
                <c:pt idx="35">
                  <c:v>104.756264334892</c:v>
                </c:pt>
                <c:pt idx="36">
                  <c:v>104.756264334892</c:v>
                </c:pt>
                <c:pt idx="37">
                  <c:v>104.756264334892</c:v>
                </c:pt>
                <c:pt idx="38">
                  <c:v>104.756264334892</c:v>
                </c:pt>
                <c:pt idx="39">
                  <c:v>104.756264334892</c:v>
                </c:pt>
                <c:pt idx="40">
                  <c:v>104.756264334892</c:v>
                </c:pt>
                <c:pt idx="41">
                  <c:v>104.756264334892</c:v>
                </c:pt>
                <c:pt idx="42">
                  <c:v>104.756264334892</c:v>
                </c:pt>
                <c:pt idx="43">
                  <c:v>104.756264334892</c:v>
                </c:pt>
                <c:pt idx="44">
                  <c:v>104.756264334892</c:v>
                </c:pt>
                <c:pt idx="45">
                  <c:v>104.756264334892</c:v>
                </c:pt>
                <c:pt idx="46">
                  <c:v>104.756264334892</c:v>
                </c:pt>
                <c:pt idx="47">
                  <c:v>104.756264334892</c:v>
                </c:pt>
                <c:pt idx="48">
                  <c:v>104.756264334892</c:v>
                </c:pt>
                <c:pt idx="49">
                  <c:v>104.756264334892</c:v>
                </c:pt>
                <c:pt idx="50">
                  <c:v>104.756264334892</c:v>
                </c:pt>
                <c:pt idx="51">
                  <c:v>104.756264334892</c:v>
                </c:pt>
                <c:pt idx="52">
                  <c:v>104.756264334892</c:v>
                </c:pt>
                <c:pt idx="53">
                  <c:v>104.756264334892</c:v>
                </c:pt>
                <c:pt idx="54">
                  <c:v>104.756264334892</c:v>
                </c:pt>
                <c:pt idx="55">
                  <c:v>104.756264334892</c:v>
                </c:pt>
                <c:pt idx="56">
                  <c:v>104.756264334892</c:v>
                </c:pt>
                <c:pt idx="57">
                  <c:v>104.756264334892</c:v>
                </c:pt>
                <c:pt idx="58">
                  <c:v>104.756264334892</c:v>
                </c:pt>
                <c:pt idx="59">
                  <c:v>104.756264334892</c:v>
                </c:pt>
                <c:pt idx="60">
                  <c:v>104.756264334892</c:v>
                </c:pt>
                <c:pt idx="61">
                  <c:v>104.756264334892</c:v>
                </c:pt>
                <c:pt idx="62">
                  <c:v>104.756264334892</c:v>
                </c:pt>
                <c:pt idx="63">
                  <c:v>104.756264334892</c:v>
                </c:pt>
                <c:pt idx="64">
                  <c:v>104.756264334892</c:v>
                </c:pt>
                <c:pt idx="65">
                  <c:v>104.756264334892</c:v>
                </c:pt>
                <c:pt idx="66">
                  <c:v>104.756264334892</c:v>
                </c:pt>
                <c:pt idx="67">
                  <c:v>104.756264334892</c:v>
                </c:pt>
                <c:pt idx="68">
                  <c:v>104.756264334892</c:v>
                </c:pt>
                <c:pt idx="69">
                  <c:v>104.756264334892</c:v>
                </c:pt>
                <c:pt idx="70">
                  <c:v>104.756264334892</c:v>
                </c:pt>
                <c:pt idx="71">
                  <c:v>104.756264334892</c:v>
                </c:pt>
                <c:pt idx="72">
                  <c:v>104.756264334892</c:v>
                </c:pt>
                <c:pt idx="73">
                  <c:v>104.756264334892</c:v>
                </c:pt>
                <c:pt idx="74">
                  <c:v>104.756264334892</c:v>
                </c:pt>
                <c:pt idx="75">
                  <c:v>104.756264334892</c:v>
                </c:pt>
                <c:pt idx="76">
                  <c:v>104.756264334892</c:v>
                </c:pt>
                <c:pt idx="77">
                  <c:v>104.756264334892</c:v>
                </c:pt>
                <c:pt idx="78">
                  <c:v>104.756264334892</c:v>
                </c:pt>
                <c:pt idx="79">
                  <c:v>104.756264334892</c:v>
                </c:pt>
                <c:pt idx="80">
                  <c:v>104.756264334892</c:v>
                </c:pt>
                <c:pt idx="81">
                  <c:v>104.756264334892</c:v>
                </c:pt>
                <c:pt idx="82">
                  <c:v>104.756264334892</c:v>
                </c:pt>
                <c:pt idx="83">
                  <c:v>104.756264334892</c:v>
                </c:pt>
                <c:pt idx="84">
                  <c:v>104.756264334892</c:v>
                </c:pt>
                <c:pt idx="85">
                  <c:v>104.756264334892</c:v>
                </c:pt>
                <c:pt idx="86">
                  <c:v>104.756264334892</c:v>
                </c:pt>
                <c:pt idx="87">
                  <c:v>104.756264334892</c:v>
                </c:pt>
                <c:pt idx="88">
                  <c:v>104.756264334892</c:v>
                </c:pt>
                <c:pt idx="89">
                  <c:v>104.756264334892</c:v>
                </c:pt>
                <c:pt idx="90">
                  <c:v>104.756264334892</c:v>
                </c:pt>
                <c:pt idx="91">
                  <c:v>104.756264334892</c:v>
                </c:pt>
                <c:pt idx="92">
                  <c:v>104.756264334892</c:v>
                </c:pt>
                <c:pt idx="93">
                  <c:v>104.756264334892</c:v>
                </c:pt>
                <c:pt idx="94">
                  <c:v>104.756264334892</c:v>
                </c:pt>
                <c:pt idx="95">
                  <c:v>104.756264334892</c:v>
                </c:pt>
                <c:pt idx="96">
                  <c:v>104.756264334892</c:v>
                </c:pt>
                <c:pt idx="97">
                  <c:v>104.756264334892</c:v>
                </c:pt>
                <c:pt idx="98">
                  <c:v>104.756264334892</c:v>
                </c:pt>
                <c:pt idx="99">
                  <c:v>104.756264334892</c:v>
                </c:pt>
                <c:pt idx="100">
                  <c:v>104.756264334892</c:v>
                </c:pt>
                <c:pt idx="101">
                  <c:v>104.756264334892</c:v>
                </c:pt>
                <c:pt idx="102">
                  <c:v>104.756264334892</c:v>
                </c:pt>
                <c:pt idx="103">
                  <c:v>104.756264334892</c:v>
                </c:pt>
                <c:pt idx="104">
                  <c:v>104.756264334892</c:v>
                </c:pt>
                <c:pt idx="105">
                  <c:v>104.756264334892</c:v>
                </c:pt>
                <c:pt idx="106">
                  <c:v>104.756264334892</c:v>
                </c:pt>
                <c:pt idx="107">
                  <c:v>104.756264334892</c:v>
                </c:pt>
                <c:pt idx="108">
                  <c:v>104.756264334892</c:v>
                </c:pt>
                <c:pt idx="109">
                  <c:v>104.756264334892</c:v>
                </c:pt>
                <c:pt idx="110">
                  <c:v>104.756264334892</c:v>
                </c:pt>
                <c:pt idx="111">
                  <c:v>102.881168244327</c:v>
                </c:pt>
                <c:pt idx="112">
                  <c:v>101.006072153761</c:v>
                </c:pt>
                <c:pt idx="113">
                  <c:v>99.1309760631957</c:v>
                </c:pt>
                <c:pt idx="114">
                  <c:v>97.2558799726302</c:v>
                </c:pt>
                <c:pt idx="115">
                  <c:v>95.3807838820647</c:v>
                </c:pt>
                <c:pt idx="116">
                  <c:v>93.5056877914992</c:v>
                </c:pt>
                <c:pt idx="117">
                  <c:v>91.6305917009337</c:v>
                </c:pt>
                <c:pt idx="118">
                  <c:v>89.7554956103682</c:v>
                </c:pt>
                <c:pt idx="119">
                  <c:v>87.8803995198028</c:v>
                </c:pt>
                <c:pt idx="120">
                  <c:v>86.0053034292373</c:v>
                </c:pt>
                <c:pt idx="121">
                  <c:v>84.1302073386717</c:v>
                </c:pt>
                <c:pt idx="122">
                  <c:v>82.2551112481063</c:v>
                </c:pt>
                <c:pt idx="123">
                  <c:v>80.3800151575408</c:v>
                </c:pt>
                <c:pt idx="124">
                  <c:v>78.5049190669753</c:v>
                </c:pt>
                <c:pt idx="125">
                  <c:v>76.6298229764098</c:v>
                </c:pt>
                <c:pt idx="126">
                  <c:v>74.7547268858443</c:v>
                </c:pt>
                <c:pt idx="127">
                  <c:v>72.8796307952788</c:v>
                </c:pt>
                <c:pt idx="128">
                  <c:v>71.0045347047133</c:v>
                </c:pt>
                <c:pt idx="129">
                  <c:v>69.1294386141478</c:v>
                </c:pt>
                <c:pt idx="130">
                  <c:v>67.2543425235823</c:v>
                </c:pt>
                <c:pt idx="131">
                  <c:v>65.3792464330168</c:v>
                </c:pt>
                <c:pt idx="132">
                  <c:v>63.5041503424513</c:v>
                </c:pt>
                <c:pt idx="133">
                  <c:v>61.6290542518858</c:v>
                </c:pt>
                <c:pt idx="134">
                  <c:v>59.7539581613203</c:v>
                </c:pt>
                <c:pt idx="135">
                  <c:v>57.8788620707549</c:v>
                </c:pt>
                <c:pt idx="136">
                  <c:v>56.0037659801893</c:v>
                </c:pt>
                <c:pt idx="137">
                  <c:v>54.1286698896239</c:v>
                </c:pt>
                <c:pt idx="138">
                  <c:v>52.2535737990584</c:v>
                </c:pt>
                <c:pt idx="139">
                  <c:v>50.3784777084929</c:v>
                </c:pt>
                <c:pt idx="140">
                  <c:v>48.5033816179274</c:v>
                </c:pt>
                <c:pt idx="141">
                  <c:v>46.6282855273619</c:v>
                </c:pt>
                <c:pt idx="142">
                  <c:v>44.7531894367964</c:v>
                </c:pt>
                <c:pt idx="143">
                  <c:v>42.8780933462309</c:v>
                </c:pt>
                <c:pt idx="144">
                  <c:v>41.0029972556654</c:v>
                </c:pt>
                <c:pt idx="145">
                  <c:v>39.1279011650999</c:v>
                </c:pt>
                <c:pt idx="146">
                  <c:v>37.2528050745344</c:v>
                </c:pt>
                <c:pt idx="147">
                  <c:v>35.3777089839689</c:v>
                </c:pt>
                <c:pt idx="148">
                  <c:v>33.5026128934034</c:v>
                </c:pt>
                <c:pt idx="149">
                  <c:v>31.627516802838</c:v>
                </c:pt>
                <c:pt idx="150">
                  <c:v>29.7524207122725</c:v>
                </c:pt>
                <c:pt idx="151">
                  <c:v>29.7524207122725</c:v>
                </c:pt>
                <c:pt idx="152">
                  <c:v>29.7524207122725</c:v>
                </c:pt>
                <c:pt idx="153">
                  <c:v>29.7524207122725</c:v>
                </c:pt>
                <c:pt idx="154">
                  <c:v>29.7524207122725</c:v>
                </c:pt>
                <c:pt idx="155">
                  <c:v>29.7524207122725</c:v>
                </c:pt>
                <c:pt idx="156">
                  <c:v>29.7524207122725</c:v>
                </c:pt>
                <c:pt idx="157">
                  <c:v>29.7524207122725</c:v>
                </c:pt>
                <c:pt idx="158">
                  <c:v>29.7524207122725</c:v>
                </c:pt>
                <c:pt idx="159">
                  <c:v>29.7524207122725</c:v>
                </c:pt>
                <c:pt idx="160">
                  <c:v>29.7524207122725</c:v>
                </c:pt>
                <c:pt idx="161">
                  <c:v>29.7524207122725</c:v>
                </c:pt>
                <c:pt idx="162">
                  <c:v>29.7524207122725</c:v>
                </c:pt>
                <c:pt idx="163">
                  <c:v>29.7524207122725</c:v>
                </c:pt>
                <c:pt idx="164">
                  <c:v>29.7524207122725</c:v>
                </c:pt>
                <c:pt idx="165">
                  <c:v>29.7524207122725</c:v>
                </c:pt>
                <c:pt idx="166">
                  <c:v>29.7524207122725</c:v>
                </c:pt>
                <c:pt idx="167">
                  <c:v>29.7524207122725</c:v>
                </c:pt>
                <c:pt idx="168">
                  <c:v>29.7524207122725</c:v>
                </c:pt>
                <c:pt idx="169">
                  <c:v>29.7524207122725</c:v>
                </c:pt>
                <c:pt idx="170">
                  <c:v>29.7524207122725</c:v>
                </c:pt>
                <c:pt idx="171">
                  <c:v>29.1727609402986</c:v>
                </c:pt>
                <c:pt idx="172">
                  <c:v>28.5931011683248</c:v>
                </c:pt>
                <c:pt idx="173">
                  <c:v>28.013441396351</c:v>
                </c:pt>
                <c:pt idx="174">
                  <c:v>27.4337816243771</c:v>
                </c:pt>
                <c:pt idx="175">
                  <c:v>26.8541218524033</c:v>
                </c:pt>
                <c:pt idx="176">
                  <c:v>26.2744620804294</c:v>
                </c:pt>
                <c:pt idx="177">
                  <c:v>25.6948023084556</c:v>
                </c:pt>
                <c:pt idx="178">
                  <c:v>25.1151425364818</c:v>
                </c:pt>
                <c:pt idx="179">
                  <c:v>24.5354827645079</c:v>
                </c:pt>
                <c:pt idx="180">
                  <c:v>23.9558229925341</c:v>
                </c:pt>
                <c:pt idx="181">
                  <c:v>23.3761632205603</c:v>
                </c:pt>
                <c:pt idx="182">
                  <c:v>22.7965034485865</c:v>
                </c:pt>
                <c:pt idx="183">
                  <c:v>22.2168436766126</c:v>
                </c:pt>
                <c:pt idx="184">
                  <c:v>21.6371839046388</c:v>
                </c:pt>
                <c:pt idx="185">
                  <c:v>21.057524132665</c:v>
                </c:pt>
                <c:pt idx="186">
                  <c:v>20.4778643606911</c:v>
                </c:pt>
                <c:pt idx="187">
                  <c:v>19.8982045887173</c:v>
                </c:pt>
                <c:pt idx="188">
                  <c:v>19.3185448167434</c:v>
                </c:pt>
                <c:pt idx="189">
                  <c:v>18.7388850447696</c:v>
                </c:pt>
                <c:pt idx="190">
                  <c:v>18.1592252727958</c:v>
                </c:pt>
                <c:pt idx="191">
                  <c:v>18.1592252727958</c:v>
                </c:pt>
                <c:pt idx="192">
                  <c:v>18.1592252727958</c:v>
                </c:pt>
                <c:pt idx="193">
                  <c:v>18.1592252727958</c:v>
                </c:pt>
                <c:pt idx="194">
                  <c:v>18.1592252727958</c:v>
                </c:pt>
                <c:pt idx="195">
                  <c:v>18.1592252727958</c:v>
                </c:pt>
                <c:pt idx="196">
                  <c:v>18.1592252727958</c:v>
                </c:pt>
                <c:pt idx="197">
                  <c:v>18.1592252727958</c:v>
                </c:pt>
                <c:pt idx="198">
                  <c:v>18.1592252727958</c:v>
                </c:pt>
                <c:pt idx="199">
                  <c:v>18.1592252727958</c:v>
                </c:pt>
                <c:pt idx="200">
                  <c:v>18.1592252727958</c:v>
                </c:pt>
                <c:pt idx="201">
                  <c:v>18.1592252727958</c:v>
                </c:pt>
                <c:pt idx="202">
                  <c:v>18.1592252727958</c:v>
                </c:pt>
                <c:pt idx="203">
                  <c:v>18.1592252727958</c:v>
                </c:pt>
                <c:pt idx="204">
                  <c:v>18.1592252727958</c:v>
                </c:pt>
                <c:pt idx="205">
                  <c:v>18.1592252727958</c:v>
                </c:pt>
                <c:pt idx="206">
                  <c:v>18.1592252727958</c:v>
                </c:pt>
                <c:pt idx="207">
                  <c:v>18.1592252727958</c:v>
                </c:pt>
                <c:pt idx="208">
                  <c:v>18.1592252727958</c:v>
                </c:pt>
                <c:pt idx="209">
                  <c:v>18.1592252727958</c:v>
                </c:pt>
                <c:pt idx="210">
                  <c:v>18.1592252727958</c:v>
                </c:pt>
                <c:pt idx="211">
                  <c:v>18.1592252727958</c:v>
                </c:pt>
                <c:pt idx="212">
                  <c:v>18.1592252727958</c:v>
                </c:pt>
                <c:pt idx="213">
                  <c:v>18.1592252727958</c:v>
                </c:pt>
                <c:pt idx="214">
                  <c:v>18.1592252727958</c:v>
                </c:pt>
                <c:pt idx="215">
                  <c:v>18.1592252727958</c:v>
                </c:pt>
                <c:pt idx="216">
                  <c:v>18.1592252727958</c:v>
                </c:pt>
                <c:pt idx="217">
                  <c:v>18.1592252727958</c:v>
                </c:pt>
                <c:pt idx="218">
                  <c:v>18.1592252727958</c:v>
                </c:pt>
                <c:pt idx="219">
                  <c:v>18.1592252727958</c:v>
                </c:pt>
                <c:pt idx="220">
                  <c:v>18.1592252727958</c:v>
                </c:pt>
                <c:pt idx="221">
                  <c:v>18.1592252727958</c:v>
                </c:pt>
                <c:pt idx="222">
                  <c:v>18.1592252727958</c:v>
                </c:pt>
                <c:pt idx="223">
                  <c:v>18.1592252727958</c:v>
                </c:pt>
                <c:pt idx="224">
                  <c:v>18.1592252727958</c:v>
                </c:pt>
                <c:pt idx="225">
                  <c:v>18.1592252727958</c:v>
                </c:pt>
                <c:pt idx="226">
                  <c:v>18.1592252727958</c:v>
                </c:pt>
                <c:pt idx="227">
                  <c:v>18.1592252727958</c:v>
                </c:pt>
                <c:pt idx="228">
                  <c:v>18.1592252727958</c:v>
                </c:pt>
                <c:pt idx="229">
                  <c:v>18.1592252727958</c:v>
                </c:pt>
                <c:pt idx="230">
                  <c:v>18.1592252727958</c:v>
                </c:pt>
                <c:pt idx="231">
                  <c:v>18.1592252727958</c:v>
                </c:pt>
                <c:pt idx="232">
                  <c:v>18.1592252727958</c:v>
                </c:pt>
                <c:pt idx="233">
                  <c:v>18.1592252727958</c:v>
                </c:pt>
                <c:pt idx="234">
                  <c:v>18.1592252727958</c:v>
                </c:pt>
                <c:pt idx="235">
                  <c:v>18.1592252727958</c:v>
                </c:pt>
                <c:pt idx="236">
                  <c:v>18.1592252727958</c:v>
                </c:pt>
                <c:pt idx="237">
                  <c:v>18.1592252727958</c:v>
                </c:pt>
                <c:pt idx="238">
                  <c:v>18.1592252727958</c:v>
                </c:pt>
                <c:pt idx="239">
                  <c:v>18.1592252727958</c:v>
                </c:pt>
                <c:pt idx="240">
                  <c:v>18.1592252727958</c:v>
                </c:pt>
                <c:pt idx="241">
                  <c:v>18.1592252727958</c:v>
                </c:pt>
                <c:pt idx="242">
                  <c:v>18.1592252727958</c:v>
                </c:pt>
                <c:pt idx="243">
                  <c:v>18.1592252727958</c:v>
                </c:pt>
                <c:pt idx="244">
                  <c:v>18.1592252727958</c:v>
                </c:pt>
                <c:pt idx="245">
                  <c:v>18.1592252727958</c:v>
                </c:pt>
                <c:pt idx="246">
                  <c:v>18.1592252727958</c:v>
                </c:pt>
                <c:pt idx="247">
                  <c:v>18.1592252727958</c:v>
                </c:pt>
                <c:pt idx="248">
                  <c:v>18.1592252727958</c:v>
                </c:pt>
                <c:pt idx="249">
                  <c:v>18.1592252727958</c:v>
                </c:pt>
                <c:pt idx="250">
                  <c:v>18.1592252727958</c:v>
                </c:pt>
                <c:pt idx="251">
                  <c:v>18.1592252727958</c:v>
                </c:pt>
                <c:pt idx="252">
                  <c:v>18.1592252727958</c:v>
                </c:pt>
                <c:pt idx="253">
                  <c:v>18.1592252727958</c:v>
                </c:pt>
                <c:pt idx="254">
                  <c:v>18.1592252727958</c:v>
                </c:pt>
                <c:pt idx="255">
                  <c:v>18.1592252727958</c:v>
                </c:pt>
                <c:pt idx="256">
                  <c:v>18.1592252727958</c:v>
                </c:pt>
                <c:pt idx="257">
                  <c:v>18.1592252727958</c:v>
                </c:pt>
                <c:pt idx="258">
                  <c:v>18.1592252727958</c:v>
                </c:pt>
                <c:pt idx="259">
                  <c:v>18.1592252727958</c:v>
                </c:pt>
                <c:pt idx="260">
                  <c:v>18.1592252727958</c:v>
                </c:pt>
                <c:pt idx="261">
                  <c:v>18.1592252727958</c:v>
                </c:pt>
                <c:pt idx="262">
                  <c:v>18.1592252727958</c:v>
                </c:pt>
                <c:pt idx="263">
                  <c:v>18.1592252727958</c:v>
                </c:pt>
                <c:pt idx="264">
                  <c:v>18.1592252727958</c:v>
                </c:pt>
                <c:pt idx="265">
                  <c:v>18.1592252727958</c:v>
                </c:pt>
                <c:pt idx="266">
                  <c:v>18.1592252727958</c:v>
                </c:pt>
                <c:pt idx="267">
                  <c:v>18.1592252727958</c:v>
                </c:pt>
                <c:pt idx="268">
                  <c:v>18.1592252727958</c:v>
                </c:pt>
                <c:pt idx="269">
                  <c:v>18.1592252727958</c:v>
                </c:pt>
                <c:pt idx="270">
                  <c:v>18.1592252727958</c:v>
                </c:pt>
                <c:pt idx="271">
                  <c:v>18.1592252727958</c:v>
                </c:pt>
                <c:pt idx="272">
                  <c:v>18.1592252727958</c:v>
                </c:pt>
                <c:pt idx="273">
                  <c:v>18.1592252727958</c:v>
                </c:pt>
                <c:pt idx="274">
                  <c:v>18.1592252727958</c:v>
                </c:pt>
                <c:pt idx="275">
                  <c:v>18.1592252727958</c:v>
                </c:pt>
                <c:pt idx="276">
                  <c:v>18.1592252727958</c:v>
                </c:pt>
                <c:pt idx="277">
                  <c:v>18.1592252727958</c:v>
                </c:pt>
                <c:pt idx="278">
                  <c:v>18.1592252727958</c:v>
                </c:pt>
                <c:pt idx="279">
                  <c:v>18.1592252727958</c:v>
                </c:pt>
                <c:pt idx="280">
                  <c:v>18.1592252727958</c:v>
                </c:pt>
              </c:numCache>
            </c:numRef>
          </c:yVal>
          <c:smooth val="0"/>
        </c:ser>
        <c:axId val="78711110"/>
        <c:axId val="11294371"/>
      </c:scatterChart>
      <c:valAx>
        <c:axId val="78711110"/>
        <c:scaling>
          <c:orientation val="minMax"/>
          <c:max val="14"/>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pH</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94371"/>
        <c:crosses val="min"/>
        <c:crossBetween val="midCat"/>
      </c:valAx>
      <c:valAx>
        <c:axId val="11294371"/>
        <c:scaling>
          <c:orientation val="minMax"/>
          <c:max val="1500"/>
          <c:min val="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Time (s)</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1111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Open-loop magnitude by region</a:t>
            </a:r>
          </a:p>
        </c:rich>
      </c:tx>
      <c:overlay val="0"/>
      <c:spPr>
        <a:noFill/>
        <a:ln w="0">
          <a:noFill/>
        </a:ln>
      </c:spPr>
    </c:title>
    <c:autoTitleDeleted val="0"/>
    <c:plotArea>
      <c:scatterChart>
        <c:scatterStyle val="line"/>
        <c:varyColors val="0"/>
        <c:ser>
          <c:idx val="0"/>
          <c:order val="0"/>
          <c:tx>
            <c:strRef>
              <c:f>"Acidic"</c:f>
              <c:strCache>
                <c:ptCount val="1"/>
                <c:pt idx="0">
                  <c:v>Acidic</c:v>
                </c:pt>
              </c:strCache>
            </c:strRef>
          </c:tx>
          <c:spPr>
            <a:solidFill>
              <a:srgbClr val="1f77b4"/>
            </a:solidFill>
            <a:ln w="2016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06_Bode!$B$5:$B$254</c:f>
              <c:numCache>
                <c:formatCode>0.00</c:formatCode>
                <c:ptCount val="250"/>
                <c:pt idx="0">
                  <c:v>12.5367749636941</c:v>
                </c:pt>
                <c:pt idx="1">
                  <c:v>12.3352483741655</c:v>
                </c:pt>
                <c:pt idx="2">
                  <c:v>12.128249461726</c:v>
                </c:pt>
                <c:pt idx="3">
                  <c:v>11.915894533127</c:v>
                </c:pt>
                <c:pt idx="4">
                  <c:v>11.6983103309941</c:v>
                </c:pt>
                <c:pt idx="5">
                  <c:v>11.4756328735154</c:v>
                </c:pt>
                <c:pt idx="6">
                  <c:v>11.2480062583331</c:v>
                </c:pt>
                <c:pt idx="7">
                  <c:v>11.0155814508712</c:v>
                </c:pt>
                <c:pt idx="8">
                  <c:v>10.7785150761606</c:v>
                </c:pt>
                <c:pt idx="9">
                  <c:v>10.5369682316265</c:v>
                </c:pt>
                <c:pt idx="10">
                  <c:v>10.2911053363854</c:v>
                </c:pt>
                <c:pt idx="11">
                  <c:v>10.0410930304597</c:v>
                </c:pt>
                <c:pt idx="12">
                  <c:v>9.78709913505335</c:v>
                </c:pt>
                <c:pt idx="13">
                  <c:v>9.52929168273153</c:v>
                </c:pt>
                <c:pt idx="14">
                  <c:v>9.26783802409455</c:v>
                </c:pt>
                <c:pt idx="15">
                  <c:v>9.00290401538862</c:v>
                </c:pt>
                <c:pt idx="16">
                  <c:v>8.73465328951584</c:v>
                </c:pt>
                <c:pt idx="17">
                  <c:v>8.46324661112211</c:v>
                </c:pt>
                <c:pt idx="18">
                  <c:v>8.18884131488342</c:v>
                </c:pt>
                <c:pt idx="19">
                  <c:v>7.91159082478842</c:v>
                </c:pt>
                <c:pt idx="20">
                  <c:v>7.63164425112979</c:v>
                </c:pt>
                <c:pt idx="21">
                  <c:v>7.34914606106192</c:v>
                </c:pt>
                <c:pt idx="22">
                  <c:v>7.06423581794319</c:v>
                </c:pt>
                <c:pt idx="23">
                  <c:v>6.77704798423966</c:v>
                </c:pt>
                <c:pt idx="24">
                  <c:v>6.48771178250099</c:v>
                </c:pt>
                <c:pt idx="25">
                  <c:v>6.19635110880558</c:v>
                </c:pt>
                <c:pt idx="26">
                  <c:v>5.90308449308703</c:v>
                </c:pt>
                <c:pt idx="27">
                  <c:v>5.60802510087374</c:v>
                </c:pt>
                <c:pt idx="28">
                  <c:v>5.3112807711777</c:v>
                </c:pt>
                <c:pt idx="29">
                  <c:v>5.01295408553567</c:v>
                </c:pt>
                <c:pt idx="30">
                  <c:v>4.7131424635191</c:v>
                </c:pt>
                <c:pt idx="31">
                  <c:v>4.41193828037293</c:v>
                </c:pt>
                <c:pt idx="32">
                  <c:v>4.1094290028039</c:v>
                </c:pt>
                <c:pt idx="33">
                  <c:v>3.80569733930559</c:v>
                </c:pt>
                <c:pt idx="34">
                  <c:v>3.50082140177199</c:v>
                </c:pt>
                <c:pt idx="35">
                  <c:v>3.19487487550504</c:v>
                </c:pt>
                <c:pt idx="36">
                  <c:v>2.88792719506141</c:v>
                </c:pt>
                <c:pt idx="37">
                  <c:v>2.58004372370411</c:v>
                </c:pt>
                <c:pt idx="38">
                  <c:v>2.27128593452354</c:v>
                </c:pt>
                <c:pt idx="39">
                  <c:v>1.96171159156889</c:v>
                </c:pt>
                <c:pt idx="40">
                  <c:v>1.65137492958321</c:v>
                </c:pt>
                <c:pt idx="41">
                  <c:v>1.34032683116432</c:v>
                </c:pt>
                <c:pt idx="42">
                  <c:v>1.0286150003796</c:v>
                </c:pt>
                <c:pt idx="43">
                  <c:v>0.71628413204606</c:v>
                </c:pt>
                <c:pt idx="44">
                  <c:v>0.403376076049419</c:v>
                </c:pt>
                <c:pt idx="45">
                  <c:v>0.0899299962185691</c:v>
                </c:pt>
                <c:pt idx="46">
                  <c:v>-0.224017476603706</c:v>
                </c:pt>
                <c:pt idx="47">
                  <c:v>-0.538432097545522</c:v>
                </c:pt>
                <c:pt idx="48">
                  <c:v>-0.853281866905427</c:v>
                </c:pt>
                <c:pt idx="49">
                  <c:v>-1.16853689564742</c:v>
                </c:pt>
                <c:pt idx="50">
                  <c:v>-1.48416927720586</c:v>
                </c:pt>
                <c:pt idx="51">
                  <c:v>-1.80015296555931</c:v>
                </c:pt>
                <c:pt idx="52">
                  <c:v>-2.11646365948688</c:v>
                </c:pt>
                <c:pt idx="53">
                  <c:v>-2.43307869288342</c:v>
                </c:pt>
                <c:pt idx="54">
                  <c:v>-2.74997693098015</c:v>
                </c:pt>
                <c:pt idx="55">
                  <c:v>-3.06713867229439</c:v>
                </c:pt>
                <c:pt idx="56">
                  <c:v>-3.38454555611416</c:v>
                </c:pt>
                <c:pt idx="57">
                  <c:v>-3.70218047531068</c:v>
                </c:pt>
                <c:pt idx="58">
                  <c:v>-4.02002749426308</c:v>
                </c:pt>
                <c:pt idx="59">
                  <c:v>-4.33807177167407</c:v>
                </c:pt>
                <c:pt idx="60">
                  <c:v>-4.65629948805327</c:v>
                </c:pt>
                <c:pt idx="61">
                  <c:v>-4.97469777764433</c:v>
                </c:pt>
                <c:pt idx="62">
                  <c:v>-5.29325466457439</c:v>
                </c:pt>
                <c:pt idx="63">
                  <c:v>-5.61195900300771</c:v>
                </c:pt>
                <c:pt idx="64">
                  <c:v>-5.93080042109001</c:v>
                </c:pt>
                <c:pt idx="65">
                  <c:v>-6.24976926847625</c:v>
                </c:pt>
                <c:pt idx="66">
                  <c:v>-6.56885656724078</c:v>
                </c:pt>
                <c:pt idx="67">
                  <c:v>-6.88805396597631</c:v>
                </c:pt>
                <c:pt idx="68">
                  <c:v>-7.20735369689547</c:v>
                </c:pt>
                <c:pt idx="69">
                  <c:v>-7.52674853575674</c:v>
                </c:pt>
                <c:pt idx="70">
                  <c:v>-7.84623176444445</c:v>
                </c:pt>
                <c:pt idx="71">
                  <c:v>-8.16579713604063</c:v>
                </c:pt>
                <c:pt idx="72">
                  <c:v>-8.48543884223438</c:v>
                </c:pt>
                <c:pt idx="73">
                  <c:v>-8.80515148292251</c:v>
                </c:pt>
                <c:pt idx="74">
                  <c:v>-9.12493003786272</c:v>
                </c:pt>
                <c:pt idx="75">
                  <c:v>-9.44476984024831</c:v>
                </c:pt>
                <c:pt idx="76">
                  <c:v>-9.76466655208069</c:v>
                </c:pt>
                <c:pt idx="77">
                  <c:v>-10.0846161412228</c:v>
                </c:pt>
                <c:pt idx="78">
                  <c:v>-10.4046148600239</c:v>
                </c:pt>
                <c:pt idx="79">
                  <c:v>-10.7246592254116</c:v>
                </c:pt>
                <c:pt idx="80">
                  <c:v>-11.0447460003552</c:v>
                </c:pt>
                <c:pt idx="81">
                  <c:v>-11.3648721766077</c:v>
                </c:pt>
                <c:pt idx="82">
                  <c:v>-11.6850349586415</c:v>
                </c:pt>
                <c:pt idx="83">
                  <c:v>-12.0052317486981</c:v>
                </c:pt>
                <c:pt idx="84">
                  <c:v>-12.3254601328755</c:v>
                </c:pt>
                <c:pt idx="85">
                  <c:v>-12.6457178681837</c:v>
                </c:pt>
                <c:pt idx="86">
                  <c:v>-12.9660028705022</c:v>
                </c:pt>
                <c:pt idx="87">
                  <c:v>-13.2863132033782</c:v>
                </c:pt>
                <c:pt idx="88">
                  <c:v>-13.6066470676072</c:v>
                </c:pt>
                <c:pt idx="89">
                  <c:v>-13.9270027915432</c:v>
                </c:pt>
                <c:pt idx="90">
                  <c:v>-14.247378822088</c:v>
                </c:pt>
                <c:pt idx="91">
                  <c:v>-14.5677737163115</c:v>
                </c:pt>
                <c:pt idx="92">
                  <c:v>-14.8881861336621</c:v>
                </c:pt>
                <c:pt idx="93">
                  <c:v>-15.2086148287231</c:v>
                </c:pt>
                <c:pt idx="94">
                  <c:v>-15.5290586444795</c:v>
                </c:pt>
                <c:pt idx="95">
                  <c:v>-15.8495165060586</c:v>
                </c:pt>
                <c:pt idx="96">
                  <c:v>-16.1699874149119</c:v>
                </c:pt>
                <c:pt idx="97">
                  <c:v>-16.4904704434069</c:v>
                </c:pt>
                <c:pt idx="98">
                  <c:v>-16.8109647298009</c:v>
                </c:pt>
                <c:pt idx="99">
                  <c:v>-17.1314694735694</c:v>
                </c:pt>
                <c:pt idx="100">
                  <c:v>-17.4519839310644</c:v>
                </c:pt>
                <c:pt idx="101">
                  <c:v>-17.7725074114802</c:v>
                </c:pt>
                <c:pt idx="102">
                  <c:v>-18.0930392731039</c:v>
                </c:pt>
                <c:pt idx="103">
                  <c:v>-18.4135789198312</c:v>
                </c:pt>
                <c:pt idx="104">
                  <c:v>-18.7341257979292</c:v>
                </c:pt>
                <c:pt idx="105">
                  <c:v>-19.0546793930279</c:v>
                </c:pt>
                <c:pt idx="106">
                  <c:v>-19.3752392273257</c:v>
                </c:pt>
                <c:pt idx="107">
                  <c:v>-19.6958048569914</c:v>
                </c:pt>
                <c:pt idx="108">
                  <c:v>-20.0163758697521</c:v>
                </c:pt>
                <c:pt idx="109">
                  <c:v>-20.3369518826507</c:v>
                </c:pt>
                <c:pt idx="110">
                  <c:v>-20.6575325399633</c:v>
                </c:pt>
                <c:pt idx="111">
                  <c:v>-20.9781175112641</c:v>
                </c:pt>
                <c:pt idx="112">
                  <c:v>-21.2987064896271</c:v>
                </c:pt>
                <c:pt idx="113">
                  <c:v>-21.6192991899565</c:v>
                </c:pt>
                <c:pt idx="114">
                  <c:v>-21.9398953474344</c:v>
                </c:pt>
                <c:pt idx="115">
                  <c:v>-22.2604947160797</c:v>
                </c:pt>
                <c:pt idx="116">
                  <c:v>-22.5810970674088</c:v>
                </c:pt>
                <c:pt idx="117">
                  <c:v>-22.9017021891916</c:v>
                </c:pt>
                <c:pt idx="118">
                  <c:v>-23.2223098842955</c:v>
                </c:pt>
                <c:pt idx="119">
                  <c:v>-23.5429199696124</c:v>
                </c:pt>
                <c:pt idx="120">
                  <c:v>-23.8635322750609</c:v>
                </c:pt>
                <c:pt idx="121">
                  <c:v>-24.18414664266</c:v>
                </c:pt>
                <c:pt idx="122">
                  <c:v>-24.5047629256687</c:v>
                </c:pt>
                <c:pt idx="123">
                  <c:v>-24.8253809877863</c:v>
                </c:pt>
                <c:pt idx="124">
                  <c:v>-25.14600070241</c:v>
                </c:pt>
                <c:pt idx="125">
                  <c:v>-25.4666219519448</c:v>
                </c:pt>
                <c:pt idx="126">
                  <c:v>-25.7872446271631</c:v>
                </c:pt>
                <c:pt idx="127">
                  <c:v>-26.1078686266093</c:v>
                </c:pt>
                <c:pt idx="128">
                  <c:v>-26.4284938560468</c:v>
                </c:pt>
                <c:pt idx="129">
                  <c:v>-26.7491202279448</c:v>
                </c:pt>
                <c:pt idx="130">
                  <c:v>-27.0697476610006</c:v>
                </c:pt>
                <c:pt idx="131">
                  <c:v>-27.3903760796971</c:v>
                </c:pt>
                <c:pt idx="132">
                  <c:v>-27.7110054138911</c:v>
                </c:pt>
                <c:pt idx="133">
                  <c:v>-28.0316355984304</c:v>
                </c:pt>
                <c:pt idx="134">
                  <c:v>-28.3522665727994</c:v>
                </c:pt>
                <c:pt idx="135">
                  <c:v>-28.6728982807888</c:v>
                </c:pt>
                <c:pt idx="136">
                  <c:v>-28.9935306701892</c:v>
                </c:pt>
                <c:pt idx="137">
                  <c:v>-29.3141636925068</c:v>
                </c:pt>
                <c:pt idx="138">
                  <c:v>-29.6347973026985</c:v>
                </c:pt>
                <c:pt idx="139">
                  <c:v>-29.9554314589269</c:v>
                </c:pt>
                <c:pt idx="140">
                  <c:v>-30.2760661223317</c:v>
                </c:pt>
                <c:pt idx="141">
                  <c:v>-30.5967012568182</c:v>
                </c:pt>
                <c:pt idx="142">
                  <c:v>-30.9173368288604</c:v>
                </c:pt>
                <c:pt idx="143">
                  <c:v>-31.2379728073182</c:v>
                </c:pt>
                <c:pt idx="144">
                  <c:v>-31.5586091632677</c:v>
                </c:pt>
                <c:pt idx="145">
                  <c:v>-31.8792458698432</c:v>
                </c:pt>
                <c:pt idx="146">
                  <c:v>-32.1998829020912</c:v>
                </c:pt>
                <c:pt idx="147">
                  <c:v>-32.5205202368337</c:v>
                </c:pt>
                <c:pt idx="148">
                  <c:v>-32.8411578525427</c:v>
                </c:pt>
                <c:pt idx="149">
                  <c:v>-33.1617957292219</c:v>
                </c:pt>
                <c:pt idx="150">
                  <c:v>-33.4824338482982</c:v>
                </c:pt>
                <c:pt idx="151">
                  <c:v>-33.8030721925204</c:v>
                </c:pt>
                <c:pt idx="152">
                  <c:v>-34.123710745865</c:v>
                </c:pt>
                <c:pt idx="153">
                  <c:v>-34.4443494934487</c:v>
                </c:pt>
                <c:pt idx="154">
                  <c:v>-34.7649884214478</c:v>
                </c:pt>
                <c:pt idx="155">
                  <c:v>-35.085627517022</c:v>
                </c:pt>
                <c:pt idx="156">
                  <c:v>-35.406266768245</c:v>
                </c:pt>
                <c:pt idx="157">
                  <c:v>-35.7269061640394</c:v>
                </c:pt>
                <c:pt idx="158">
                  <c:v>-36.047545694116</c:v>
                </c:pt>
                <c:pt idx="159">
                  <c:v>-36.3681853489179</c:v>
                </c:pt>
                <c:pt idx="160">
                  <c:v>-36.6888251195684</c:v>
                </c:pt>
                <c:pt idx="161">
                  <c:v>-37.0094649978226</c:v>
                </c:pt>
                <c:pt idx="162">
                  <c:v>-37.3301049760223</c:v>
                </c:pt>
                <c:pt idx="163">
                  <c:v>-37.6507450470544</c:v>
                </c:pt>
                <c:pt idx="164">
                  <c:v>-37.9713852043118</c:v>
                </c:pt>
                <c:pt idx="165">
                  <c:v>-38.2920254416581</c:v>
                </c:pt>
                <c:pt idx="166">
                  <c:v>-38.6126657533931</c:v>
                </c:pt>
                <c:pt idx="167">
                  <c:v>-38.9333061342227</c:v>
                </c:pt>
                <c:pt idx="168">
                  <c:v>-39.2539465792294</c:v>
                </c:pt>
                <c:pt idx="169">
                  <c:v>-39.5745870838455</c:v>
                </c:pt>
                <c:pt idx="170">
                  <c:v>-39.8952276438288</c:v>
                </c:pt>
                <c:pt idx="171">
                  <c:v>-40.2158682552387</c:v>
                </c:pt>
                <c:pt idx="172">
                  <c:v>-40.5365089144152</c:v>
                </c:pt>
                <c:pt idx="173">
                  <c:v>-40.8571496179586</c:v>
                </c:pt>
                <c:pt idx="174">
                  <c:v>-41.1777903627113</c:v>
                </c:pt>
                <c:pt idx="175">
                  <c:v>-41.4984311457406</c:v>
                </c:pt>
                <c:pt idx="176">
                  <c:v>-41.8190719643221</c:v>
                </c:pt>
                <c:pt idx="177">
                  <c:v>-42.1397128159257</c:v>
                </c:pt>
                <c:pt idx="178">
                  <c:v>-42.4603536982011</c:v>
                </c:pt>
                <c:pt idx="179">
                  <c:v>-42.7809946089653</c:v>
                </c:pt>
                <c:pt idx="180">
                  <c:v>-43.101635546191</c:v>
                </c:pt>
                <c:pt idx="181">
                  <c:v>-43.4222765079946</c:v>
                </c:pt>
                <c:pt idx="182">
                  <c:v>-43.7429174926271</c:v>
                </c:pt>
                <c:pt idx="183">
                  <c:v>-44.0635584984637</c:v>
                </c:pt>
                <c:pt idx="184">
                  <c:v>-44.3841995239952</c:v>
                </c:pt>
                <c:pt idx="185">
                  <c:v>-44.7048405678201</c:v>
                </c:pt>
                <c:pt idx="186">
                  <c:v>-45.0254816286362</c:v>
                </c:pt>
                <c:pt idx="187">
                  <c:v>-45.3461227052343</c:v>
                </c:pt>
                <c:pt idx="188">
                  <c:v>-45.6667637964913</c:v>
                </c:pt>
                <c:pt idx="189">
                  <c:v>-45.9874049013639</c:v>
                </c:pt>
                <c:pt idx="190">
                  <c:v>-46.3080460188829</c:v>
                </c:pt>
                <c:pt idx="191">
                  <c:v>-46.6286871481484</c:v>
                </c:pt>
                <c:pt idx="192">
                  <c:v>-46.9493282883243</c:v>
                </c:pt>
                <c:pt idx="193">
                  <c:v>-47.2699694386342</c:v>
                </c:pt>
                <c:pt idx="194">
                  <c:v>-47.5906105983568</c:v>
                </c:pt>
                <c:pt idx="195">
                  <c:v>-47.9112517668222</c:v>
                </c:pt>
                <c:pt idx="196">
                  <c:v>-48.2318929434082</c:v>
                </c:pt>
                <c:pt idx="197">
                  <c:v>-48.5525341275367</c:v>
                </c:pt>
                <c:pt idx="198">
                  <c:v>-48.8731753186711</c:v>
                </c:pt>
                <c:pt idx="199">
                  <c:v>-49.1938165163127</c:v>
                </c:pt>
                <c:pt idx="200">
                  <c:v>-49.5144577199983</c:v>
                </c:pt>
                <c:pt idx="201">
                  <c:v>-49.8350989292979</c:v>
                </c:pt>
                <c:pt idx="202">
                  <c:v>-50.1557401438118</c:v>
                </c:pt>
                <c:pt idx="203">
                  <c:v>-50.476381363169</c:v>
                </c:pt>
                <c:pt idx="204">
                  <c:v>-50.7970225870247</c:v>
                </c:pt>
                <c:pt idx="205">
                  <c:v>-51.1176638150589</c:v>
                </c:pt>
                <c:pt idx="206">
                  <c:v>-51.438305046974</c:v>
                </c:pt>
                <c:pt idx="207">
                  <c:v>-51.7589462824939</c:v>
                </c:pt>
                <c:pt idx="208">
                  <c:v>-52.0795875213621</c:v>
                </c:pt>
                <c:pt idx="209">
                  <c:v>-52.4002287633402</c:v>
                </c:pt>
                <c:pt idx="210">
                  <c:v>-52.720870008207</c:v>
                </c:pt>
                <c:pt idx="211">
                  <c:v>-53.0415112557568</c:v>
                </c:pt>
                <c:pt idx="212">
                  <c:v>-53.3621525057986</c:v>
                </c:pt>
                <c:pt idx="213">
                  <c:v>-53.6827937581551</c:v>
                </c:pt>
                <c:pt idx="214">
                  <c:v>-54.0034350126616</c:v>
                </c:pt>
                <c:pt idx="215">
                  <c:v>-54.3240762691651</c:v>
                </c:pt>
                <c:pt idx="216">
                  <c:v>-54.6447175275234</c:v>
                </c:pt>
                <c:pt idx="217">
                  <c:v>-54.9653587876045</c:v>
                </c:pt>
                <c:pt idx="218">
                  <c:v>-55.2860000492858</c:v>
                </c:pt>
                <c:pt idx="219">
                  <c:v>-55.6066413124534</c:v>
                </c:pt>
                <c:pt idx="220">
                  <c:v>-55.9272825770016</c:v>
                </c:pt>
                <c:pt idx="221">
                  <c:v>-56.247923842832</c:v>
                </c:pt>
                <c:pt idx="222">
                  <c:v>-56.5685651098535</c:v>
                </c:pt>
                <c:pt idx="223">
                  <c:v>-56.8892063779812</c:v>
                </c:pt>
                <c:pt idx="224">
                  <c:v>-57.2098476471365</c:v>
                </c:pt>
                <c:pt idx="225">
                  <c:v>-57.5304889172461</c:v>
                </c:pt>
                <c:pt idx="226">
                  <c:v>-57.8511301882422</c:v>
                </c:pt>
                <c:pt idx="227">
                  <c:v>-58.1717714600617</c:v>
                </c:pt>
                <c:pt idx="228">
                  <c:v>-58.492412732646</c:v>
                </c:pt>
                <c:pt idx="229">
                  <c:v>-58.8130540059406</c:v>
                </c:pt>
                <c:pt idx="230">
                  <c:v>-59.133695279895</c:v>
                </c:pt>
                <c:pt idx="231">
                  <c:v>-59.4543365544622</c:v>
                </c:pt>
                <c:pt idx="232">
                  <c:v>-59.7749778295986</c:v>
                </c:pt>
                <c:pt idx="233">
                  <c:v>-60.0956191052638</c:v>
                </c:pt>
                <c:pt idx="234">
                  <c:v>-60.41626038142</c:v>
                </c:pt>
                <c:pt idx="235">
                  <c:v>-60.7369016580324</c:v>
                </c:pt>
                <c:pt idx="236">
                  <c:v>-61.0575429350684</c:v>
                </c:pt>
                <c:pt idx="237">
                  <c:v>-61.3781842124979</c:v>
                </c:pt>
                <c:pt idx="238">
                  <c:v>-61.6988254902929</c:v>
                </c:pt>
                <c:pt idx="239">
                  <c:v>-62.0194667684275</c:v>
                </c:pt>
                <c:pt idx="240">
                  <c:v>-62.3401080468773</c:v>
                </c:pt>
                <c:pt idx="241">
                  <c:v>-62.6607493256201</c:v>
                </c:pt>
                <c:pt idx="242">
                  <c:v>-62.9813906046348</c:v>
                </c:pt>
                <c:pt idx="243">
                  <c:v>-63.3020318839023</c:v>
                </c:pt>
                <c:pt idx="244">
                  <c:v>-63.6226731634045</c:v>
                </c:pt>
                <c:pt idx="245">
                  <c:v>-63.9433144431246</c:v>
                </c:pt>
                <c:pt idx="246">
                  <c:v>-64.2639557230473</c:v>
                </c:pt>
                <c:pt idx="247">
                  <c:v>-64.5845970031579</c:v>
                </c:pt>
                <c:pt idx="248">
                  <c:v>-64.9052382834433</c:v>
                </c:pt>
                <c:pt idx="249">
                  <c:v>-65.225879563891</c:v>
                </c:pt>
              </c:numCache>
            </c:numRef>
          </c:yVal>
          <c:smooth val="0"/>
        </c:ser>
        <c:ser>
          <c:idx val="1"/>
          <c:order val="1"/>
          <c:tx>
            <c:strRef>
              <c:f>"Near-neutral"</c:f>
              <c:strCache>
                <c:ptCount val="1"/>
                <c:pt idx="0">
                  <c:v>Near-neutral</c:v>
                </c:pt>
              </c:strCache>
            </c:strRef>
          </c:tx>
          <c:spPr>
            <a:solidFill>
              <a:srgbClr val="d62728"/>
            </a:solidFill>
            <a:ln w="20160">
              <a:solidFill>
                <a:srgbClr val="d6272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06_Bode!$C$5:$C$254</c:f>
              <c:numCache>
                <c:formatCode>0.00</c:formatCode>
                <c:ptCount val="250"/>
                <c:pt idx="0">
                  <c:v>42.2237318292048</c:v>
                </c:pt>
                <c:pt idx="1">
                  <c:v>42.1255235524943</c:v>
                </c:pt>
                <c:pt idx="2">
                  <c:v>42.0222152081143</c:v>
                </c:pt>
                <c:pt idx="3">
                  <c:v>41.9136712015549</c:v>
                </c:pt>
                <c:pt idx="4">
                  <c:v>41.7997652712993</c:v>
                </c:pt>
                <c:pt idx="5">
                  <c:v>41.6803816468641</c:v>
                </c:pt>
                <c:pt idx="6">
                  <c:v>41.5554161491194</c:v>
                </c:pt>
                <c:pt idx="7">
                  <c:v>41.4247772119197</c:v>
                </c:pt>
                <c:pt idx="8">
                  <c:v>41.2883868046645</c:v>
                </c:pt>
                <c:pt idx="9">
                  <c:v>41.1461812366587</c:v>
                </c:pt>
                <c:pt idx="10">
                  <c:v>40.9981118260483</c:v>
                </c:pt>
                <c:pt idx="11">
                  <c:v>40.8441454186305</c:v>
                </c:pt>
                <c:pt idx="12">
                  <c:v>40.684264744909</c:v>
                </c:pt>
                <c:pt idx="13">
                  <c:v>40.5184686072738</c:v>
                </c:pt>
                <c:pt idx="14">
                  <c:v>40.3467718930116</c:v>
                </c:pt>
                <c:pt idx="15">
                  <c:v>40.1692054128492</c:v>
                </c:pt>
                <c:pt idx="16">
                  <c:v>39.9858155687346</c:v>
                </c:pt>
                <c:pt idx="17">
                  <c:v>39.7966638584235</c:v>
                </c:pt>
                <c:pt idx="18">
                  <c:v>39.6018262280055</c:v>
                </c:pt>
                <c:pt idx="19">
                  <c:v>39.4013922866461</c:v>
                </c:pt>
                <c:pt idx="20">
                  <c:v>39.1954644004295</c:v>
                </c:pt>
                <c:pt idx="21">
                  <c:v>38.9841566841926</c:v>
                </c:pt>
                <c:pt idx="22">
                  <c:v>38.7675939115856</c:v>
                </c:pt>
                <c:pt idx="23">
                  <c:v>38.5459103642827</c:v>
                </c:pt>
                <c:pt idx="24">
                  <c:v>38.3192486413059</c:v>
                </c:pt>
                <c:pt idx="25">
                  <c:v>38.0877584488712</c:v>
                </c:pt>
                <c:pt idx="26">
                  <c:v>37.8515953900845</c:v>
                </c:pt>
                <c:pt idx="27">
                  <c:v>37.6109197722969</c:v>
                </c:pt>
                <c:pt idx="28">
                  <c:v>37.3658954480648</c:v>
                </c:pt>
                <c:pt idx="29">
                  <c:v>37.1166887035591</c:v>
                </c:pt>
                <c:pt idx="30">
                  <c:v>36.8634672060181</c:v>
                </c:pt>
                <c:pt idx="31">
                  <c:v>36.606399019541</c:v>
                </c:pt>
                <c:pt idx="32">
                  <c:v>36.345651696249</c:v>
                </c:pt>
                <c:pt idx="33">
                  <c:v>36.081391447669</c:v>
                </c:pt>
                <c:pt idx="34">
                  <c:v>35.8137823991789</c:v>
                </c:pt>
                <c:pt idx="35">
                  <c:v>35.542985928528</c:v>
                </c:pt>
                <c:pt idx="36">
                  <c:v>35.2691600878409</c:v>
                </c:pt>
                <c:pt idx="37">
                  <c:v>34.9924591071459</c:v>
                </c:pt>
                <c:pt idx="38">
                  <c:v>34.7130329763361</c:v>
                </c:pt>
                <c:pt idx="39">
                  <c:v>34.431027101571</c:v>
                </c:pt>
                <c:pt idx="40">
                  <c:v>34.1465820314475</c:v>
                </c:pt>
                <c:pt idx="41">
                  <c:v>33.8598332477894</c:v>
                </c:pt>
                <c:pt idx="42">
                  <c:v>33.5709110156053</c:v>
                </c:pt>
                <c:pt idx="43">
                  <c:v>33.2799402866249</c:v>
                </c:pt>
                <c:pt idx="44">
                  <c:v>32.9870406508115</c:v>
                </c:pt>
                <c:pt idx="45">
                  <c:v>32.6923263303544</c:v>
                </c:pt>
                <c:pt idx="46">
                  <c:v>32.3959062108287</c:v>
                </c:pt>
                <c:pt idx="47">
                  <c:v>32.0978839044703</c:v>
                </c:pt>
                <c:pt idx="48">
                  <c:v>31.7983578408176</c:v>
                </c:pt>
                <c:pt idx="49">
                  <c:v>31.4974213803101</c:v>
                </c:pt>
                <c:pt idx="50">
                  <c:v>31.195162946793</c:v>
                </c:pt>
                <c:pt idx="51">
                  <c:v>30.8916661752419</c:v>
                </c:pt>
                <c:pt idx="52">
                  <c:v>30.5870100713897</c:v>
                </c:pt>
                <c:pt idx="53">
                  <c:v>30.2812691802896</c:v>
                </c:pt>
                <c:pt idx="54">
                  <c:v>29.9745137611973</c:v>
                </c:pt>
                <c:pt idx="55">
                  <c:v>29.6668099664729</c:v>
                </c:pt>
                <c:pt idx="56">
                  <c:v>29.3582200225127</c:v>
                </c:pt>
                <c:pt idx="57">
                  <c:v>29.0488024109977</c:v>
                </c:pt>
                <c:pt idx="58">
                  <c:v>28.7386120490038</c:v>
                </c:pt>
                <c:pt idx="59">
                  <c:v>28.4277004667547</c:v>
                </c:pt>
                <c:pt idx="60">
                  <c:v>28.1161159820038</c:v>
                </c:pt>
                <c:pt idx="61">
                  <c:v>27.8039038702243</c:v>
                </c:pt>
                <c:pt idx="62">
                  <c:v>27.4911065299496</c:v>
                </c:pt>
                <c:pt idx="63">
                  <c:v>27.1777636427547</c:v>
                </c:pt>
                <c:pt idx="64">
                  <c:v>26.8639123274952</c:v>
                </c:pt>
                <c:pt idx="65">
                  <c:v>26.5495872885324</c:v>
                </c:pt>
                <c:pt idx="66">
                  <c:v>26.2348209577695</c:v>
                </c:pt>
                <c:pt idx="67">
                  <c:v>25.9196436304015</c:v>
                </c:pt>
                <c:pt idx="68">
                  <c:v>25.604083594354</c:v>
                </c:pt>
                <c:pt idx="69">
                  <c:v>25.2881672534409</c:v>
                </c:pt>
                <c:pt idx="70">
                  <c:v>24.9719192443192</c:v>
                </c:pt>
                <c:pt idx="71">
                  <c:v>24.6553625473586</c:v>
                </c:pt>
                <c:pt idx="72">
                  <c:v>24.3385185915723</c:v>
                </c:pt>
                <c:pt idx="73">
                  <c:v>24.0214073537833</c:v>
                </c:pt>
                <c:pt idx="74">
                  <c:v>23.7040474522159</c:v>
                </c:pt>
                <c:pt idx="75">
                  <c:v>23.3864562347178</c:v>
                </c:pt>
                <c:pt idx="76">
                  <c:v>23.0686498618268</c:v>
                </c:pt>
                <c:pt idx="77">
                  <c:v>22.7506433849022</c:v>
                </c:pt>
                <c:pt idx="78">
                  <c:v>22.4324508195457</c:v>
                </c:pt>
                <c:pt idx="79">
                  <c:v>22.1140852145329</c:v>
                </c:pt>
                <c:pt idx="80">
                  <c:v>21.7955587164796</c:v>
                </c:pt>
                <c:pt idx="81">
                  <c:v>21.476882630462</c:v>
                </c:pt>
                <c:pt idx="82">
                  <c:v>21.1580674768027</c:v>
                </c:pt>
                <c:pt idx="83">
                  <c:v>20.839123044235</c:v>
                </c:pt>
                <c:pt idx="84">
                  <c:v>20.5200584396439</c:v>
                </c:pt>
                <c:pt idx="85">
                  <c:v>20.2008821345818</c:v>
                </c:pt>
                <c:pt idx="86">
                  <c:v>19.8816020087449</c:v>
                </c:pt>
                <c:pt idx="87">
                  <c:v>19.5622253905909</c:v>
                </c:pt>
                <c:pt idx="88">
                  <c:v>19.2427590952697</c:v>
                </c:pt>
                <c:pt idx="89">
                  <c:v>18.923209460031</c:v>
                </c:pt>
                <c:pt idx="90">
                  <c:v>18.6035823772639</c:v>
                </c:pt>
                <c:pt idx="91">
                  <c:v>18.2838833253178</c:v>
                </c:pt>
                <c:pt idx="92">
                  <c:v>17.9641173972436</c:v>
                </c:pt>
                <c:pt idx="93">
                  <c:v>17.6442893275882</c:v>
                </c:pt>
                <c:pt idx="94">
                  <c:v>17.3244035173671</c:v>
                </c:pt>
                <c:pt idx="95">
                  <c:v>17.004464057334</c:v>
                </c:pt>
                <c:pt idx="96">
                  <c:v>16.6844747496574</c:v>
                </c:pt>
                <c:pt idx="97">
                  <c:v>16.3644391281105</c:v>
                </c:pt>
                <c:pt idx="98">
                  <c:v>16.0443604768711</c:v>
                </c:pt>
                <c:pt idx="99">
                  <c:v>15.7242418480247</c:v>
                </c:pt>
                <c:pt idx="100">
                  <c:v>15.404086077858</c:v>
                </c:pt>
                <c:pt idx="101">
                  <c:v>15.083895802023</c:v>
                </c:pt>
                <c:pt idx="102">
                  <c:v>14.7636734696484</c:v>
                </c:pt>
                <c:pt idx="103">
                  <c:v>14.44342135647</c:v>
                </c:pt>
                <c:pt idx="104">
                  <c:v>14.1231415770461</c:v>
                </c:pt>
                <c:pt idx="105">
                  <c:v>13.8028360961206</c:v>
                </c:pt>
                <c:pt idx="106">
                  <c:v>13.4825067391924</c:v>
                </c:pt>
                <c:pt idx="107">
                  <c:v>13.1621552023448</c:v>
                </c:pt>
                <c:pt idx="108">
                  <c:v>12.8417830613872</c:v>
                </c:pt>
                <c:pt idx="109">
                  <c:v>12.5213917803545</c:v>
                </c:pt>
                <c:pt idx="110">
                  <c:v>12.2009827194112</c:v>
                </c:pt>
                <c:pt idx="111">
                  <c:v>11.8805571421986</c:v>
                </c:pt>
                <c:pt idx="112">
                  <c:v>11.5601162226664</c:v>
                </c:pt>
                <c:pt idx="113">
                  <c:v>11.2396610514226</c:v>
                </c:pt>
                <c:pt idx="114">
                  <c:v>10.9191926416364</c:v>
                </c:pt>
                <c:pt idx="115">
                  <c:v>10.5987119345249</c:v>
                </c:pt>
                <c:pt idx="116">
                  <c:v>10.2782198044525</c:v>
                </c:pt>
                <c:pt idx="117">
                  <c:v>9.95771706367021</c:v>
                </c:pt>
                <c:pt idx="118">
                  <c:v>9.63720446672094</c:v>
                </c:pt>
                <c:pt idx="119">
                  <c:v>9.31668271453242</c:v>
                </c:pt>
                <c:pt idx="120">
                  <c:v>8.9961524582214</c:v>
                </c:pt>
                <c:pt idx="121">
                  <c:v>8.67561430262841</c:v>
                </c:pt>
                <c:pt idx="122">
                  <c:v>8.35506880960257</c:v>
                </c:pt>
                <c:pt idx="123">
                  <c:v>8.03451650105358</c:v>
                </c:pt>
                <c:pt idx="124">
                  <c:v>7.71395786178777</c:v>
                </c:pt>
                <c:pt idx="125">
                  <c:v>7.39339334214307</c:v>
                </c:pt>
                <c:pt idx="126">
                  <c:v>7.07282336043725</c:v>
                </c:pt>
                <c:pt idx="127">
                  <c:v>6.75224830524262</c:v>
                </c:pt>
                <c:pt idx="128">
                  <c:v>6.43166853749939</c:v>
                </c:pt>
                <c:pt idx="129">
                  <c:v>6.11108439247913</c:v>
                </c:pt>
                <c:pt idx="130">
                  <c:v>5.7904961816089</c:v>
                </c:pt>
                <c:pt idx="131">
                  <c:v>5.46990419416598</c:v>
                </c:pt>
                <c:pt idx="132">
                  <c:v>5.14930869885223</c:v>
                </c:pt>
                <c:pt idx="133">
                  <c:v>4.82870994525673</c:v>
                </c:pt>
                <c:pt idx="134">
                  <c:v>4.50810816521458</c:v>
                </c:pt>
                <c:pt idx="135">
                  <c:v>4.18750357406911</c:v>
                </c:pt>
                <c:pt idx="136">
                  <c:v>3.86689637184455</c:v>
                </c:pt>
                <c:pt idx="137">
                  <c:v>3.54628674433531</c:v>
                </c:pt>
                <c:pt idx="138">
                  <c:v>3.22567486411789</c:v>
                </c:pt>
                <c:pt idx="139">
                  <c:v>2.90506089149092</c:v>
                </c:pt>
                <c:pt idx="140">
                  <c:v>2.58444497534831</c:v>
                </c:pt>
                <c:pt idx="141">
                  <c:v>2.26382725399049</c:v>
                </c:pt>
                <c:pt idx="142">
                  <c:v>1.94320785587777</c:v>
                </c:pt>
                <c:pt idx="143">
                  <c:v>1.6225869003304</c:v>
                </c:pt>
                <c:pt idx="144">
                  <c:v>1.30196449817865</c:v>
                </c:pt>
                <c:pt idx="145">
                  <c:v>0.981340752366771</c:v>
                </c:pt>
                <c:pt idx="146">
                  <c:v>0.660715758514003</c:v>
                </c:pt>
                <c:pt idx="147">
                  <c:v>0.340089605435684</c:v>
                </c:pt>
                <c:pt idx="148">
                  <c:v>0.019462375627272</c:v>
                </c:pt>
                <c:pt idx="149">
                  <c:v>-0.301165854285991</c:v>
                </c:pt>
                <c:pt idx="150">
                  <c:v>-0.621795013131462</c:v>
                </c:pt>
                <c:pt idx="151">
                  <c:v>-0.942425034801142</c:v>
                </c:pt>
                <c:pt idx="152">
                  <c:v>-1.26305585789132</c:v>
                </c:pt>
                <c:pt idx="153">
                  <c:v>-1.58368742536787</c:v>
                </c:pt>
                <c:pt idx="154">
                  <c:v>-1.90431968425534</c:v>
                </c:pt>
                <c:pt idx="155">
                  <c:v>-2.22495258534815</c:v>
                </c:pt>
                <c:pt idx="156">
                  <c:v>-2.54558608294234</c:v>
                </c:pt>
                <c:pt idx="157">
                  <c:v>-2.86622013458645</c:v>
                </c:pt>
                <c:pt idx="158">
                  <c:v>-3.18685470085003</c:v>
                </c:pt>
                <c:pt idx="159">
                  <c:v>-3.50748974510869</c:v>
                </c:pt>
                <c:pt idx="160">
                  <c:v>-3.82812523334444</c:v>
                </c:pt>
                <c:pt idx="161">
                  <c:v>-4.14876113396017</c:v>
                </c:pt>
                <c:pt idx="162">
                  <c:v>-4.46939741760743</c:v>
                </c:pt>
                <c:pt idx="163">
                  <c:v>-4.7900340570264</c:v>
                </c:pt>
                <c:pt idx="164">
                  <c:v>-5.11067102689723</c:v>
                </c:pt>
                <c:pt idx="165">
                  <c:v>-5.43130830370202</c:v>
                </c:pt>
                <c:pt idx="166">
                  <c:v>-5.75194586559657</c:v>
                </c:pt>
                <c:pt idx="167">
                  <c:v>-6.07258369229126</c:v>
                </c:pt>
                <c:pt idx="168">
                  <c:v>-6.39322176494048</c:v>
                </c:pt>
                <c:pt idx="169">
                  <c:v>-6.71386006603978</c:v>
                </c:pt>
                <c:pt idx="170">
                  <c:v>-7.03449857933047</c:v>
                </c:pt>
                <c:pt idx="171">
                  <c:v>-7.35513728971099</c:v>
                </c:pt>
                <c:pt idx="172">
                  <c:v>-7.67577618315452</c:v>
                </c:pt>
                <c:pt idx="173">
                  <c:v>-7.9964152466325</c:v>
                </c:pt>
                <c:pt idx="174">
                  <c:v>-8.31705446804363</c:v>
                </c:pt>
                <c:pt idx="175">
                  <c:v>-8.6376938361478</c:v>
                </c:pt>
                <c:pt idx="176">
                  <c:v>-8.95833334050489</c:v>
                </c:pt>
                <c:pt idx="177">
                  <c:v>-9.27897297141777</c:v>
                </c:pt>
                <c:pt idx="178">
                  <c:v>-9.59961271987946</c:v>
                </c:pt>
                <c:pt idx="179">
                  <c:v>-9.92025257752399</c:v>
                </c:pt>
                <c:pt idx="180">
                  <c:v>-10.2408925365808</c:v>
                </c:pt>
                <c:pt idx="181">
                  <c:v>-10.5615325898324</c:v>
                </c:pt>
                <c:pt idx="182">
                  <c:v>-10.8821727305748</c:v>
                </c:pt>
                <c:pt idx="183">
                  <c:v>-11.2028129525814</c:v>
                </c:pt>
                <c:pt idx="184">
                  <c:v>-11.5234532500686</c:v>
                </c:pt>
                <c:pt idx="185">
                  <c:v>-11.8440936176643</c:v>
                </c:pt>
                <c:pt idx="186">
                  <c:v>-12.1647340503789</c:v>
                </c:pt>
                <c:pt idx="187">
                  <c:v>-12.4853745435779</c:v>
                </c:pt>
                <c:pt idx="188">
                  <c:v>-12.8060150929565</c:v>
                </c:pt>
                <c:pt idx="189">
                  <c:v>-13.1266556945165</c:v>
                </c:pt>
                <c:pt idx="190">
                  <c:v>-13.4472963445441</c:v>
                </c:pt>
                <c:pt idx="191">
                  <c:v>-13.7679370395897</c:v>
                </c:pt>
                <c:pt idx="192">
                  <c:v>-14.0885777764495</c:v>
                </c:pt>
                <c:pt idx="193">
                  <c:v>-14.4092185521475</c:v>
                </c:pt>
                <c:pt idx="194">
                  <c:v>-14.7298593639196</c:v>
                </c:pt>
                <c:pt idx="195">
                  <c:v>-15.0505002091984</c:v>
                </c:pt>
                <c:pt idx="196">
                  <c:v>-15.3711410855991</c:v>
                </c:pt>
                <c:pt idx="197">
                  <c:v>-15.6917819909068</c:v>
                </c:pt>
                <c:pt idx="198">
                  <c:v>-16.0124229230642</c:v>
                </c:pt>
                <c:pt idx="199">
                  <c:v>-16.3330638801604</c:v>
                </c:pt>
                <c:pt idx="200">
                  <c:v>-16.6537048604204</c:v>
                </c:pt>
                <c:pt idx="201">
                  <c:v>-16.9743458621957</c:v>
                </c:pt>
                <c:pt idx="202">
                  <c:v>-17.294986883955</c:v>
                </c:pt>
                <c:pt idx="203">
                  <c:v>-17.615627924276</c:v>
                </c:pt>
                <c:pt idx="204">
                  <c:v>-17.9362689818378</c:v>
                </c:pt>
                <c:pt idx="205">
                  <c:v>-18.2569100554132</c:v>
                </c:pt>
                <c:pt idx="206">
                  <c:v>-18.5775511438625</c:v>
                </c:pt>
                <c:pt idx="207">
                  <c:v>-18.8981922461272</c:v>
                </c:pt>
                <c:pt idx="208">
                  <c:v>-19.218833361224</c:v>
                </c:pt>
                <c:pt idx="209">
                  <c:v>-19.5394744882397</c:v>
                </c:pt>
                <c:pt idx="210">
                  <c:v>-19.8601156263259</c:v>
                </c:pt>
                <c:pt idx="211">
                  <c:v>-20.1807567746948</c:v>
                </c:pt>
                <c:pt idx="212">
                  <c:v>-20.5013979326146</c:v>
                </c:pt>
                <c:pt idx="213">
                  <c:v>-20.8220390994054</c:v>
                </c:pt>
                <c:pt idx="214">
                  <c:v>-21.142680274436</c:v>
                </c:pt>
                <c:pt idx="215">
                  <c:v>-21.4633214571199</c:v>
                </c:pt>
                <c:pt idx="216">
                  <c:v>-21.7839626469124</c:v>
                </c:pt>
                <c:pt idx="217">
                  <c:v>-22.1046038433077</c:v>
                </c:pt>
                <c:pt idx="218">
                  <c:v>-22.4252450458357</c:v>
                </c:pt>
                <c:pt idx="219">
                  <c:v>-22.74588625406</c:v>
                </c:pt>
                <c:pt idx="220">
                  <c:v>-23.0665274675752</c:v>
                </c:pt>
                <c:pt idx="221">
                  <c:v>-23.3871686860047</c:v>
                </c:pt>
                <c:pt idx="222">
                  <c:v>-23.7078099089988</c:v>
                </c:pt>
                <c:pt idx="223">
                  <c:v>-24.0284511362327</c:v>
                </c:pt>
                <c:pt idx="224">
                  <c:v>-24.3490923674045</c:v>
                </c:pt>
                <c:pt idx="225">
                  <c:v>-24.669733602234</c:v>
                </c:pt>
                <c:pt idx="226">
                  <c:v>-24.9903748404609</c:v>
                </c:pt>
                <c:pt idx="227">
                  <c:v>-25.3110160818433</c:v>
                </c:pt>
                <c:pt idx="228">
                  <c:v>-25.6316573261568</c:v>
                </c:pt>
                <c:pt idx="229">
                  <c:v>-25.9522985731927</c:v>
                </c:pt>
                <c:pt idx="230">
                  <c:v>-26.2729398227572</c:v>
                </c:pt>
                <c:pt idx="231">
                  <c:v>-26.5935810746704</c:v>
                </c:pt>
                <c:pt idx="232">
                  <c:v>-26.9142223287651</c:v>
                </c:pt>
                <c:pt idx="233">
                  <c:v>-27.2348635848861</c:v>
                </c:pt>
                <c:pt idx="234">
                  <c:v>-27.5555048428891</c:v>
                </c:pt>
                <c:pt idx="235">
                  <c:v>-27.8761461026402</c:v>
                </c:pt>
                <c:pt idx="236">
                  <c:v>-28.1967873640151</c:v>
                </c:pt>
                <c:pt idx="237">
                  <c:v>-28.517428626898</c:v>
                </c:pt>
                <c:pt idx="238">
                  <c:v>-28.8380698911818</c:v>
                </c:pt>
                <c:pt idx="239">
                  <c:v>-29.1587111567666</c:v>
                </c:pt>
                <c:pt idx="240">
                  <c:v>-29.47935242356</c:v>
                </c:pt>
                <c:pt idx="241">
                  <c:v>-29.7999936914758</c:v>
                </c:pt>
                <c:pt idx="242">
                  <c:v>-30.1206349604342</c:v>
                </c:pt>
                <c:pt idx="243">
                  <c:v>-30.4412762303611</c:v>
                </c:pt>
                <c:pt idx="244">
                  <c:v>-30.7619175011874</c:v>
                </c:pt>
                <c:pt idx="245">
                  <c:v>-31.0825587728492</c:v>
                </c:pt>
                <c:pt idx="246">
                  <c:v>-31.4032000452869</c:v>
                </c:pt>
                <c:pt idx="247">
                  <c:v>-31.7238413184455</c:v>
                </c:pt>
                <c:pt idx="248">
                  <c:v>-32.0444825922735</c:v>
                </c:pt>
                <c:pt idx="249">
                  <c:v>-32.3651238667234</c:v>
                </c:pt>
              </c:numCache>
            </c:numRef>
          </c:yVal>
          <c:smooth val="0"/>
        </c:ser>
        <c:ser>
          <c:idx val="2"/>
          <c:order val="2"/>
          <c:tx>
            <c:strRef>
              <c:f>"Alkaline"</c:f>
              <c:strCache>
                <c:ptCount val="1"/>
                <c:pt idx="0">
                  <c:v>Alkaline</c:v>
                </c:pt>
              </c:strCache>
            </c:strRef>
          </c:tx>
          <c:spPr>
            <a:solidFill>
              <a:srgbClr val="2ca02c"/>
            </a:solidFill>
            <a:ln w="2016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06_Bode!$D$5:$D$254</c:f>
              <c:numCache>
                <c:formatCode>0.00</c:formatCode>
                <c:ptCount val="250"/>
                <c:pt idx="0">
                  <c:v>14.4241547678478</c:v>
                </c:pt>
                <c:pt idx="1">
                  <c:v>14.384765402461</c:v>
                </c:pt>
                <c:pt idx="2">
                  <c:v>14.3427534523116</c:v>
                </c:pt>
                <c:pt idx="3">
                  <c:v>14.2979721133662</c:v>
                </c:pt>
                <c:pt idx="4">
                  <c:v>14.2502700927453</c:v>
                </c:pt>
                <c:pt idx="5">
                  <c:v>14.1994919740469</c:v>
                </c:pt>
                <c:pt idx="6">
                  <c:v>14.1454786583805</c:v>
                </c:pt>
                <c:pt idx="7">
                  <c:v>14.0880678848601</c:v>
                </c:pt>
                <c:pt idx="8">
                  <c:v>14.0270948333347</c:v>
                </c:pt>
                <c:pt idx="9">
                  <c:v>13.9623928109325</c:v>
                </c:pt>
                <c:pt idx="10">
                  <c:v>13.893794022557</c:v>
                </c:pt>
                <c:pt idx="11">
                  <c:v>13.821130423797</c:v>
                </c:pt>
                <c:pt idx="12">
                  <c:v>13.7442346528333</c:v>
                </c:pt>
                <c:pt idx="13">
                  <c:v>13.6629410358499</c:v>
                </c:pt>
                <c:pt idx="14">
                  <c:v>13.5770866582557</c:v>
                </c:pt>
                <c:pt idx="15">
                  <c:v>13.4865124917338</c:v>
                </c:pt>
                <c:pt idx="16">
                  <c:v>13.3910645648438</c:v>
                </c:pt>
                <c:pt idx="17">
                  <c:v>13.2905951626882</c:v>
                </c:pt>
                <c:pt idx="18">
                  <c:v>13.1849640391109</c:v>
                </c:pt>
                <c:pt idx="19">
                  <c:v>13.0740396231254</c:v>
                </c:pt>
                <c:pt idx="20">
                  <c:v>12.957700199874</c:v>
                </c:pt>
                <c:pt idx="21">
                  <c:v>12.8358350454841</c:v>
                </c:pt>
                <c:pt idx="22">
                  <c:v>12.7083454948052</c:v>
                </c:pt>
                <c:pt idx="23">
                  <c:v>12.5751459212409</c:v>
                </c:pt>
                <c:pt idx="24">
                  <c:v>12.4361646087695</c:v>
                </c:pt>
                <c:pt idx="25">
                  <c:v>12.2913444977954</c:v>
                </c:pt>
                <c:pt idx="26">
                  <c:v>12.1406437886629</c:v>
                </c:pt>
                <c:pt idx="27">
                  <c:v>11.9840363894395</c:v>
                </c:pt>
                <c:pt idx="28">
                  <c:v>11.8215121978616</c:v>
                </c:pt>
                <c:pt idx="29">
                  <c:v>11.6530772109993</c:v>
                </c:pt>
                <c:pt idx="30">
                  <c:v>11.4787534601219</c:v>
                </c:pt>
                <c:pt idx="31">
                  <c:v>11.2985787722599</c:v>
                </c:pt>
                <c:pt idx="32">
                  <c:v>11.1126063639242</c:v>
                </c:pt>
                <c:pt idx="33">
                  <c:v>10.9209042761858</c:v>
                </c:pt>
                <c:pt idx="34">
                  <c:v>10.7235546637144</c:v>
                </c:pt>
                <c:pt idx="35">
                  <c:v>10.5206529532885</c:v>
                </c:pt>
                <c:pt idx="36">
                  <c:v>10.312306889636</c:v>
                </c:pt>
                <c:pt idx="37">
                  <c:v>10.0986354881792</c:v>
                </c:pt>
                <c:pt idx="38">
                  <c:v>9.87976791530871</c:v>
                </c:pt>
                <c:pt idx="39">
                  <c:v>9.65584231720386</c:v>
                </c:pt>
                <c:pt idx="40">
                  <c:v>9.42700461798615</c:v>
                </c:pt>
                <c:pt idx="41">
                  <c:v>9.19340730719108</c:v>
                </c:pt>
                <c:pt idx="42">
                  <c:v>8.95520823525665</c:v>
                </c:pt>
                <c:pt idx="43">
                  <c:v>8.71256943404157</c:v>
                </c:pt>
                <c:pt idx="44">
                  <c:v>8.46565597740416</c:v>
                </c:pt>
                <c:pt idx="45">
                  <c:v>8.21463489469273</c:v>
                </c:pt>
                <c:pt idx="46">
                  <c:v>7.95967414771727</c:v>
                </c:pt>
                <c:pt idx="47">
                  <c:v>7.70094167947689</c:v>
                </c:pt>
                <c:pt idx="48">
                  <c:v>7.43860454068433</c:v>
                </c:pt>
                <c:pt idx="49">
                  <c:v>7.17282809802003</c:v>
                </c:pt>
                <c:pt idx="50">
                  <c:v>6.90377532611309</c:v>
                </c:pt>
                <c:pt idx="51">
                  <c:v>6.63160618351751</c:v>
                </c:pt>
                <c:pt idx="52">
                  <c:v>6.35647707145221</c:v>
                </c:pt>
                <c:pt idx="53">
                  <c:v>6.07854037280967</c:v>
                </c:pt>
                <c:pt idx="54">
                  <c:v>5.79794406791166</c:v>
                </c:pt>
                <c:pt idx="55">
                  <c:v>5.51483142269042</c:v>
                </c:pt>
                <c:pt idx="56">
                  <c:v>5.22934074438582</c:v>
                </c:pt>
                <c:pt idx="57">
                  <c:v>4.9416051994534</c:v>
                </c:pt>
                <c:pt idx="58">
                  <c:v>4.65175268815249</c:v>
                </c:pt>
                <c:pt idx="59">
                  <c:v>4.35990577020398</c:v>
                </c:pt>
                <c:pt idx="60">
                  <c:v>4.06618163595068</c:v>
                </c:pt>
                <c:pt idx="61">
                  <c:v>3.77069211759616</c:v>
                </c:pt>
                <c:pt idx="62">
                  <c:v>3.47354373531934</c:v>
                </c:pt>
                <c:pt idx="63">
                  <c:v>3.1748377733426</c:v>
                </c:pt>
                <c:pt idx="64">
                  <c:v>2.87467038135325</c:v>
                </c:pt>
                <c:pt idx="65">
                  <c:v>2.57313269702719</c:v>
                </c:pt>
                <c:pt idx="66">
                  <c:v>2.27031098576662</c:v>
                </c:pt>
                <c:pt idx="67">
                  <c:v>1.96628679413067</c:v>
                </c:pt>
                <c:pt idx="68">
                  <c:v>1.66113711379976</c:v>
                </c:pt>
                <c:pt idx="69">
                  <c:v>1.35493455326592</c:v>
                </c:pt>
                <c:pt idx="70">
                  <c:v>1.0477475147757</c:v>
                </c:pt>
                <c:pt idx="71">
                  <c:v>0.739640374368152</c:v>
                </c:pt>
                <c:pt idx="72">
                  <c:v>0.430673663143506</c:v>
                </c:pt>
                <c:pt idx="73">
                  <c:v>0.120904248168663</c:v>
                </c:pt>
                <c:pt idx="74">
                  <c:v>-0.189614488327946</c:v>
                </c:pt>
                <c:pt idx="75">
                  <c:v>-0.500832472596378</c:v>
                </c:pt>
                <c:pt idx="76">
                  <c:v>-0.812702766764391</c:v>
                </c:pt>
                <c:pt idx="77">
                  <c:v>-1.12518140074198</c:v>
                </c:pt>
                <c:pt idx="78">
                  <c:v>-1.43822720922009</c:v>
                </c:pt>
                <c:pt idx="79">
                  <c:v>-1.75180167421451</c:v>
                </c:pt>
                <c:pt idx="80">
                  <c:v>-2.06586877348575</c:v>
                </c:pt>
                <c:pt idx="81">
                  <c:v>-2.38039483506222</c:v>
                </c:pt>
                <c:pt idx="82">
                  <c:v>-2.69534839800511</c:v>
                </c:pt>
                <c:pt idx="83">
                  <c:v>-3.01070007947822</c:v>
                </c:pt>
                <c:pt idx="84">
                  <c:v>-3.32642244812204</c:v>
                </c:pt>
                <c:pt idx="85">
                  <c:v>-3.64248990367937</c:v>
                </c:pt>
                <c:pt idx="86">
                  <c:v>-3.95887856277558</c:v>
                </c:pt>
                <c:pt idx="87">
                  <c:v>-4.27556615072199</c:v>
                </c:pt>
                <c:pt idx="88">
                  <c:v>-4.59253189918277</c:v>
                </c:pt>
                <c:pt idx="89">
                  <c:v>-4.90975644952382</c:v>
                </c:pt>
                <c:pt idx="90">
                  <c:v>-5.22722176164597</c:v>
                </c:pt>
                <c:pt idx="91">
                  <c:v>-5.54491102809298</c:v>
                </c:pt>
                <c:pt idx="92">
                  <c:v>-5.86280859321694</c:v>
                </c:pt>
                <c:pt idx="93">
                  <c:v>-6.18089987717906</c:v>
                </c:pt>
                <c:pt idx="94">
                  <c:v>-6.49917130456217</c:v>
                </c:pt>
                <c:pt idx="95">
                  <c:v>-6.81761023737163</c:v>
                </c:pt>
                <c:pt idx="96">
                  <c:v>-7.13620491220367</c:v>
                </c:pt>
                <c:pt idx="97">
                  <c:v>-7.45494438136421</c:v>
                </c:pt>
                <c:pt idx="98">
                  <c:v>-7.77381845772613</c:v>
                </c:pt>
                <c:pt idx="99">
                  <c:v>-8.09281766311917</c:v>
                </c:pt>
                <c:pt idx="100">
                  <c:v>-8.41193318005325</c:v>
                </c:pt>
                <c:pt idx="101">
                  <c:v>-8.73115680658345</c:v>
                </c:pt>
                <c:pt idx="102">
                  <c:v>-9.0504809141323</c:v>
                </c:pt>
                <c:pt idx="103">
                  <c:v>-9.36989840809338</c:v>
                </c:pt>
                <c:pt idx="104">
                  <c:v>-9.68940269104759</c:v>
                </c:pt>
                <c:pt idx="105">
                  <c:v>-10.0089876284322</c:v>
                </c:pt>
                <c:pt idx="106">
                  <c:v>-10.3286475165101</c:v>
                </c:pt>
                <c:pt idx="107">
                  <c:v>-10.648377052495</c:v>
                </c:pt>
                <c:pt idx="108">
                  <c:v>-10.9681713066961</c:v>
                </c:pt>
                <c:pt idx="109">
                  <c:v>-11.2880256965519</c:v>
                </c:pt>
                <c:pt idx="110">
                  <c:v>-11.6079359624333</c:v>
                </c:pt>
                <c:pt idx="111">
                  <c:v>-11.9278981450986</c:v>
                </c:pt>
                <c:pt idx="112">
                  <c:v>-12.2479085646934</c:v>
                </c:pt>
                <c:pt idx="113">
                  <c:v>-12.5679638011943</c:v>
                </c:pt>
                <c:pt idx="114">
                  <c:v>-12.8880606761986</c:v>
                </c:pt>
                <c:pt idx="115">
                  <c:v>-13.2081962359724</c:v>
                </c:pt>
                <c:pt idx="116">
                  <c:v>-13.5283677356711</c:v>
                </c:pt>
                <c:pt idx="117">
                  <c:v>-13.848572624655</c:v>
                </c:pt>
                <c:pt idx="118">
                  <c:v>-14.1688085328244</c:v>
                </c:pt>
                <c:pt idx="119">
                  <c:v>-14.4890732579064</c:v>
                </c:pt>
                <c:pt idx="120">
                  <c:v>-14.809364753627</c:v>
                </c:pt>
                <c:pt idx="121">
                  <c:v>-15.1296811187105</c:v>
                </c:pt>
                <c:pt idx="122">
                  <c:v>-15.4500205866461</c:v>
                </c:pt>
                <c:pt idx="123">
                  <c:v>-15.770381516173</c:v>
                </c:pt>
                <c:pt idx="124">
                  <c:v>-16.0907623824302</c:v>
                </c:pt>
                <c:pt idx="125">
                  <c:v>-16.4111617687293</c:v>
                </c:pt>
                <c:pt idx="126">
                  <c:v>-16.7315783589033</c:v>
                </c:pt>
                <c:pt idx="127">
                  <c:v>-17.0520109301951</c:v>
                </c:pt>
                <c:pt idx="128">
                  <c:v>-17.3724583466447</c:v>
                </c:pt>
                <c:pt idx="129">
                  <c:v>-17.6929195529436</c:v>
                </c:pt>
                <c:pt idx="130">
                  <c:v>-18.0133935687212</c:v>
                </c:pt>
                <c:pt idx="131">
                  <c:v>-18.3338794832347</c:v>
                </c:pt>
                <c:pt idx="132">
                  <c:v>-18.6543764504337</c:v>
                </c:pt>
                <c:pt idx="133">
                  <c:v>-18.9748836843732</c:v>
                </c:pt>
                <c:pt idx="134">
                  <c:v>-19.2954004549509</c:v>
                </c:pt>
                <c:pt idx="135">
                  <c:v>-19.6159260839454</c:v>
                </c:pt>
                <c:pt idx="136">
                  <c:v>-19.9364599413353</c:v>
                </c:pt>
                <c:pt idx="137">
                  <c:v>-20.2570014418778</c:v>
                </c:pt>
                <c:pt idx="138">
                  <c:v>-20.5775500419305</c:v>
                </c:pt>
                <c:pt idx="139">
                  <c:v>-20.8981052364976</c:v>
                </c:pt>
                <c:pt idx="140">
                  <c:v>-21.2186665564856</c:v>
                </c:pt>
                <c:pt idx="141">
                  <c:v>-21.5392335661533</c:v>
                </c:pt>
                <c:pt idx="142">
                  <c:v>-21.8598058607429</c:v>
                </c:pt>
                <c:pt idx="143">
                  <c:v>-22.1803830642785</c:v>
                </c:pt>
                <c:pt idx="144">
                  <c:v>-22.5009648275213</c:v>
                </c:pt>
                <c:pt idx="145">
                  <c:v>-22.8215508260697</c:v>
                </c:pt>
                <c:pt idx="146">
                  <c:v>-23.142140758594</c:v>
                </c:pt>
                <c:pt idx="147">
                  <c:v>-23.4627343451967</c:v>
                </c:pt>
                <c:pt idx="148">
                  <c:v>-23.7833313258887</c:v>
                </c:pt>
                <c:pt idx="149">
                  <c:v>-24.1039314591746</c:v>
                </c:pt>
                <c:pt idx="150">
                  <c:v>-24.4245345207372</c:v>
                </c:pt>
                <c:pt idx="151">
                  <c:v>-24.745140302217</c:v>
                </c:pt>
                <c:pt idx="152">
                  <c:v>-25.0657486100765</c:v>
                </c:pt>
                <c:pt idx="153">
                  <c:v>-25.3863592645472</c:v>
                </c:pt>
                <c:pt idx="154">
                  <c:v>-25.7069720986495</c:v>
                </c:pt>
                <c:pt idx="155">
                  <c:v>-26.0275869572841</c:v>
                </c:pt>
                <c:pt idx="156">
                  <c:v>-26.3482036963862</c:v>
                </c:pt>
                <c:pt idx="157">
                  <c:v>-26.6688221821414</c:v>
                </c:pt>
                <c:pt idx="158">
                  <c:v>-26.9894422902561</c:v>
                </c:pt>
                <c:pt idx="159">
                  <c:v>-27.3100639052803</c:v>
                </c:pt>
                <c:pt idx="160">
                  <c:v>-27.6306869199788</c:v>
                </c:pt>
                <c:pt idx="161">
                  <c:v>-27.9513112347468</c:v>
                </c:pt>
                <c:pt idx="162">
                  <c:v>-28.2719367570666</c:v>
                </c:pt>
                <c:pt idx="163">
                  <c:v>-28.5925634010041</c:v>
                </c:pt>
                <c:pt idx="164">
                  <c:v>-28.9131910867398</c:v>
                </c:pt>
                <c:pt idx="165">
                  <c:v>-29.2338197401343</c:v>
                </c:pt>
                <c:pt idx="166">
                  <c:v>-29.5544492923238</c:v>
                </c:pt>
                <c:pt idx="167">
                  <c:v>-29.8750796793448</c:v>
                </c:pt>
                <c:pt idx="168">
                  <c:v>-30.1957108417856</c:v>
                </c:pt>
                <c:pt idx="169">
                  <c:v>-30.5163427244624</c:v>
                </c:pt>
                <c:pt idx="170">
                  <c:v>-30.8369752761184</c:v>
                </c:pt>
                <c:pt idx="171">
                  <c:v>-31.1576084491441</c:v>
                </c:pt>
                <c:pt idx="172">
                  <c:v>-31.4782421993185</c:v>
                </c:pt>
                <c:pt idx="173">
                  <c:v>-31.7988764855673</c:v>
                </c:pt>
                <c:pt idx="174">
                  <c:v>-32.1195112697393</c:v>
                </c:pt>
                <c:pt idx="175">
                  <c:v>-32.4401465163982</c:v>
                </c:pt>
                <c:pt idx="176">
                  <c:v>-32.7607821926297</c:v>
                </c:pt>
                <c:pt idx="177">
                  <c:v>-33.0814182678619</c:v>
                </c:pt>
                <c:pt idx="178">
                  <c:v>-33.4020547136984</c:v>
                </c:pt>
                <c:pt idx="179">
                  <c:v>-33.7226915037637</c:v>
                </c:pt>
                <c:pt idx="180">
                  <c:v>-34.0433286135596</c:v>
                </c:pt>
                <c:pt idx="181">
                  <c:v>-34.3639660203312</c:v>
                </c:pt>
                <c:pt idx="182">
                  <c:v>-34.6846037029429</c:v>
                </c:pt>
                <c:pt idx="183">
                  <c:v>-35.0052416417633</c:v>
                </c:pt>
                <c:pt idx="184">
                  <c:v>-35.3258798185584</c:v>
                </c:pt>
                <c:pt idx="185">
                  <c:v>-35.6465182163915</c:v>
                </c:pt>
                <c:pt idx="186">
                  <c:v>-35.9671568195316</c:v>
                </c:pt>
                <c:pt idx="187">
                  <c:v>-36.2877956133669</c:v>
                </c:pt>
                <c:pt idx="188">
                  <c:v>-36.6084345843258</c:v>
                </c:pt>
                <c:pt idx="189">
                  <c:v>-36.9290737198023</c:v>
                </c:pt>
                <c:pt idx="190">
                  <c:v>-37.2497130080879</c:v>
                </c:pt>
                <c:pt idx="191">
                  <c:v>-37.5703524383071</c:v>
                </c:pt>
                <c:pt idx="192">
                  <c:v>-37.8909920003585</c:v>
                </c:pt>
                <c:pt idx="193">
                  <c:v>-38.2116316848595</c:v>
                </c:pt>
                <c:pt idx="194">
                  <c:v>-38.5322714830955</c:v>
                </c:pt>
                <c:pt idx="195">
                  <c:v>-38.8529113869719</c:v>
                </c:pt>
                <c:pt idx="196">
                  <c:v>-39.1735513889702</c:v>
                </c:pt>
                <c:pt idx="197">
                  <c:v>-39.4941914821072</c:v>
                </c:pt>
                <c:pt idx="198">
                  <c:v>-39.8148316598964</c:v>
                </c:pt>
                <c:pt idx="199">
                  <c:v>-40.135471916313</c:v>
                </c:pt>
                <c:pt idx="200">
                  <c:v>-40.4561122457613</c:v>
                </c:pt>
                <c:pt idx="201">
                  <c:v>-40.7767526430434</c:v>
                </c:pt>
                <c:pt idx="202">
                  <c:v>-41.0973931033316</c:v>
                </c:pt>
                <c:pt idx="203">
                  <c:v>-41.4180336221418</c:v>
                </c:pt>
                <c:pt idx="204">
                  <c:v>-41.7386741953089</c:v>
                </c:pt>
                <c:pt idx="205">
                  <c:v>-42.0593148189643</c:v>
                </c:pt>
                <c:pt idx="206">
                  <c:v>-42.3799554895147</c:v>
                </c:pt>
                <c:pt idx="207">
                  <c:v>-42.7005962036227</c:v>
                </c:pt>
                <c:pt idx="208">
                  <c:v>-43.021236958188</c:v>
                </c:pt>
                <c:pt idx="209">
                  <c:v>-43.3418777503315</c:v>
                </c:pt>
                <c:pt idx="210">
                  <c:v>-43.6625185773786</c:v>
                </c:pt>
                <c:pt idx="211">
                  <c:v>-43.9831594368453</c:v>
                </c:pt>
                <c:pt idx="212">
                  <c:v>-44.3038003264241</c:v>
                </c:pt>
                <c:pt idx="213">
                  <c:v>-44.6244412439721</c:v>
                </c:pt>
                <c:pt idx="214">
                  <c:v>-44.9450821874986</c:v>
                </c:pt>
                <c:pt idx="215">
                  <c:v>-45.2657231551547</c:v>
                </c:pt>
                <c:pt idx="216">
                  <c:v>-45.5863641452231</c:v>
                </c:pt>
                <c:pt idx="217">
                  <c:v>-45.9070051561087</c:v>
                </c:pt>
                <c:pt idx="218">
                  <c:v>-46.2276461863299</c:v>
                </c:pt>
                <c:pt idx="219">
                  <c:v>-46.5482872345107</c:v>
                </c:pt>
                <c:pt idx="220">
                  <c:v>-46.8689282993727</c:v>
                </c:pt>
                <c:pt idx="221">
                  <c:v>-47.1895693797288</c:v>
                </c:pt>
                <c:pt idx="222">
                  <c:v>-47.5102104744763</c:v>
                </c:pt>
                <c:pt idx="223">
                  <c:v>-47.8308515825909</c:v>
                </c:pt>
                <c:pt idx="224">
                  <c:v>-48.1514927031213</c:v>
                </c:pt>
                <c:pt idx="225">
                  <c:v>-48.4721338351838</c:v>
                </c:pt>
                <c:pt idx="226">
                  <c:v>-48.7927749779577</c:v>
                </c:pt>
                <c:pt idx="227">
                  <c:v>-49.1134161306807</c:v>
                </c:pt>
                <c:pt idx="228">
                  <c:v>-49.4340572926446</c:v>
                </c:pt>
                <c:pt idx="229">
                  <c:v>-49.7546984631918</c:v>
                </c:pt>
                <c:pt idx="230">
                  <c:v>-50.0753396417114</c:v>
                </c:pt>
                <c:pt idx="231">
                  <c:v>-50.395980827636</c:v>
                </c:pt>
                <c:pt idx="232">
                  <c:v>-50.7166220204385</c:v>
                </c:pt>
                <c:pt idx="233">
                  <c:v>-51.0372632196296</c:v>
                </c:pt>
                <c:pt idx="234">
                  <c:v>-51.3579044247544</c:v>
                </c:pt>
                <c:pt idx="235">
                  <c:v>-51.6785456353907</c:v>
                </c:pt>
                <c:pt idx="236">
                  <c:v>-51.9991868511463</c:v>
                </c:pt>
                <c:pt idx="237">
                  <c:v>-52.3198280716567</c:v>
                </c:pt>
                <c:pt idx="238">
                  <c:v>-52.6404692965836</c:v>
                </c:pt>
                <c:pt idx="239">
                  <c:v>-52.9611105256127</c:v>
                </c:pt>
                <c:pt idx="240">
                  <c:v>-53.281751758452</c:v>
                </c:pt>
                <c:pt idx="241">
                  <c:v>-53.6023929948303</c:v>
                </c:pt>
                <c:pt idx="242">
                  <c:v>-53.9230342344957</c:v>
                </c:pt>
                <c:pt idx="243">
                  <c:v>-54.2436754772144</c:v>
                </c:pt>
                <c:pt idx="244">
                  <c:v>-54.5643167227689</c:v>
                </c:pt>
                <c:pt idx="245">
                  <c:v>-54.8849579709576</c:v>
                </c:pt>
                <c:pt idx="246">
                  <c:v>-55.2055992215928</c:v>
                </c:pt>
                <c:pt idx="247">
                  <c:v>-55.5262404745005</c:v>
                </c:pt>
                <c:pt idx="248">
                  <c:v>-55.846881729519</c:v>
                </c:pt>
                <c:pt idx="249">
                  <c:v>-56.1675229864979</c:v>
                </c:pt>
              </c:numCache>
            </c:numRef>
          </c:yVal>
          <c:smooth val="0"/>
        </c:ser>
        <c:axId val="80428484"/>
        <c:axId val="36971518"/>
      </c:scatterChart>
      <c:valAx>
        <c:axId val="80428484"/>
        <c:scaling>
          <c:logBase val="10"/>
          <c:orientation val="minMax"/>
          <c:max val="10"/>
          <c:min val="0.001"/>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Frequency (rad/s)</a:t>
                </a:r>
              </a:p>
            </c:rich>
          </c:tx>
          <c:overlay val="0"/>
          <c:spPr>
            <a:noFill/>
            <a:ln w="0">
              <a:noFill/>
            </a:ln>
          </c:spPr>
        </c:title>
        <c:numFmt formatCode="0.00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971518"/>
        <c:crosses val="min"/>
        <c:crossBetween val="midCat"/>
      </c:valAx>
      <c:valAx>
        <c:axId val="36971518"/>
        <c:scaling>
          <c:orientation val="minMax"/>
          <c:max val="47"/>
          <c:min val="-7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Magnitude (dB)</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2848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Open-loop phase by region</a:t>
            </a:r>
          </a:p>
        </c:rich>
      </c:tx>
      <c:overlay val="0"/>
      <c:spPr>
        <a:noFill/>
        <a:ln w="0">
          <a:noFill/>
        </a:ln>
      </c:spPr>
    </c:title>
    <c:autoTitleDeleted val="0"/>
    <c:plotArea>
      <c:scatterChart>
        <c:scatterStyle val="line"/>
        <c:varyColors val="0"/>
        <c:ser>
          <c:idx val="0"/>
          <c:order val="0"/>
          <c:tx>
            <c:strRef>
              <c:f>"Acidic"</c:f>
              <c:strCache>
                <c:ptCount val="1"/>
                <c:pt idx="0">
                  <c:v>Acidic</c:v>
                </c:pt>
              </c:strCache>
            </c:strRef>
          </c:tx>
          <c:spPr>
            <a:solidFill>
              <a:srgbClr val="1f77b4"/>
            </a:solidFill>
            <a:ln w="2016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06_Bode!$E$5:$E$254</c:f>
              <c:numCache>
                <c:formatCode>0.00</c:formatCode>
                <c:ptCount val="250"/>
                <c:pt idx="0">
                  <c:v>-64.9559622438128</c:v>
                </c:pt>
                <c:pt idx="1">
                  <c:v>-66.4631188019543</c:v>
                </c:pt>
                <c:pt idx="2">
                  <c:v>-67.9777181514821</c:v>
                </c:pt>
                <c:pt idx="3">
                  <c:v>-69.4992238803637</c:v>
                </c:pt>
                <c:pt idx="4">
                  <c:v>-71.0271846800355</c:v>
                </c:pt>
                <c:pt idx="5">
                  <c:v>-72.5612385212355</c:v>
                </c:pt>
                <c:pt idx="6">
                  <c:v>-74.1011157850296</c:v>
                </c:pt>
                <c:pt idx="7">
                  <c:v>-75.646641346882</c:v>
                </c:pt>
                <c:pt idx="8">
                  <c:v>-77.1977356300856</c:v>
                </c:pt>
                <c:pt idx="9">
                  <c:v>-78.7544146608564</c:v>
                </c:pt>
                <c:pt idx="10">
                  <c:v>-80.3167891705654</c:v>
                </c:pt>
                <c:pt idx="11">
                  <c:v>-81.8850628007676</c:v>
                </c:pt>
                <c:pt idx="12">
                  <c:v>-83.4595294738592</c:v>
                </c:pt>
                <c:pt idx="13">
                  <c:v>-85.0405699964669</c:v>
                </c:pt>
                <c:pt idx="14">
                  <c:v>-86.6286479642602</c:v>
                </c:pt>
                <c:pt idx="15">
                  <c:v>-88.2243050360832</c:v>
                </c:pt>
                <c:pt idx="16">
                  <c:v>-89.8281556424943</c:v>
                </c:pt>
                <c:pt idx="17">
                  <c:v>-91.4408811893709</c:v>
                </c:pt>
                <c:pt idx="18">
                  <c:v>-93.0632238115935</c:v>
                </c:pt>
                <c:pt idx="19">
                  <c:v>-94.6959797253888</c:v>
                </c:pt>
                <c:pt idx="20">
                  <c:v>-96.3399922210602</c:v>
                </c:pt>
                <c:pt idx="21">
                  <c:v>-97.9961443309467</c:v>
                </c:pt>
                <c:pt idx="22">
                  <c:v>-99.6653512008502</c:v>
                </c:pt>
                <c:pt idx="23">
                  <c:v>-101.34855218716</c:v>
                </c:pt>
                <c:pt idx="24">
                  <c:v>-103.046702696739</c:v>
                </c:pt>
                <c:pt idx="25">
                  <c:v>-104.76076578254</c:v>
                </c:pt>
                <c:pt idx="26">
                  <c:v>-106.491703505099</c:v>
                </c:pt>
                <c:pt idx="27">
                  <c:v>-108.240468068639</c:v>
                </c:pt>
                <c:pt idx="28">
                  <c:v>-110.007992740629</c:v>
                </c:pt>
                <c:pt idx="29">
                  <c:v>-111.795182565476</c:v>
                </c:pt>
                <c:pt idx="30">
                  <c:v>-113.602904886434</c:v>
                </c:pt>
                <c:pt idx="31">
                  <c:v>-115.431979695075</c:v>
                </c:pt>
                <c:pt idx="32">
                  <c:v>-117.283169834601</c:v>
                </c:pt>
                <c:pt idx="33">
                  <c:v>-119.157171091847</c:v>
                </c:pt>
                <c:pt idx="34">
                  <c:v>-121.054602223072</c:v>
                </c:pt>
                <c:pt idx="35">
                  <c:v>-122.975994970151</c:v>
                </c:pt>
                <c:pt idx="36">
                  <c:v>-124.921784136656</c:v>
                </c:pt>
                <c:pt idx="37">
                  <c:v>-126.892297806906</c:v>
                </c:pt>
                <c:pt idx="38">
                  <c:v>-128.887747805328</c:v>
                </c:pt>
                <c:pt idx="39">
                  <c:v>-130.908220507681</c:v>
                </c:pt>
                <c:pt idx="40">
                  <c:v>-132.953668129469</c:v>
                </c:pt>
                <c:pt idx="41">
                  <c:v>-135.023900629538</c:v>
                </c:pt>
                <c:pt idx="42">
                  <c:v>-137.118578377701</c:v>
                </c:pt>
                <c:pt idx="43">
                  <c:v>-139.237205743565</c:v>
                </c:pt>
                <c:pt idx="44">
                  <c:v>-141.37912576878</c:v>
                </c:pt>
                <c:pt idx="45">
                  <c:v>-143.543516085929</c:v>
                </c:pt>
                <c:pt idx="46">
                  <c:v>-145.729386243552</c:v>
                </c:pt>
                <c:pt idx="47">
                  <c:v>-147.935576587742</c:v>
                </c:pt>
                <c:pt idx="48">
                  <c:v>-150.160758835937</c:v>
                </c:pt>
                <c:pt idx="49">
                  <c:v>-152.403438457742</c:v>
                </c:pt>
                <c:pt idx="50">
                  <c:v>-154.661958950806</c:v>
                </c:pt>
                <c:pt idx="51">
                  <c:v>-156.934508067363</c:v>
                </c:pt>
                <c:pt idx="52">
                  <c:v>-159.219126009505</c:v>
                </c:pt>
                <c:pt idx="53">
                  <c:v>-161.513715569708</c:v>
                </c:pt>
                <c:pt idx="54">
                  <c:v>-163.816054148657</c:v>
                </c:pt>
                <c:pt idx="55">
                  <c:v>-166.123807536661</c:v>
                </c:pt>
                <c:pt idx="56">
                  <c:v>-168.434545299574</c:v>
                </c:pt>
                <c:pt idx="57">
                  <c:v>-170.745757566999</c:v>
                </c:pt>
                <c:pt idx="58">
                  <c:v>-173.054872981498</c:v>
                </c:pt>
                <c:pt idx="59">
                  <c:v>-175.359277534347</c:v>
                </c:pt>
                <c:pt idx="60">
                  <c:v>-177.656333987574</c:v>
                </c:pt>
                <c:pt idx="61">
                  <c:v>-179.943401564878</c:v>
                </c:pt>
                <c:pt idx="62">
                  <c:v>-182.217855586354</c:v>
                </c:pt>
                <c:pt idx="63">
                  <c:v>-184.477106724198</c:v>
                </c:pt>
                <c:pt idx="64">
                  <c:v>-186.718619568525</c:v>
                </c:pt>
                <c:pt idx="65">
                  <c:v>-188.939930213649</c:v>
                </c:pt>
                <c:pt idx="66">
                  <c:v>-191.138662604584</c:v>
                </c:pt>
                <c:pt idx="67">
                  <c:v>-193.312543419681</c:v>
                </c:pt>
                <c:pt idx="68">
                  <c:v>-195.459415306762</c:v>
                </c:pt>
                <c:pt idx="69">
                  <c:v>-197.577248334773</c:v>
                </c:pt>
                <c:pt idx="70">
                  <c:v>-199.664149569261</c:v>
                </c:pt>
                <c:pt idx="71">
                  <c:v>-201.718370725875</c:v>
                </c:pt>
                <c:pt idx="72">
                  <c:v>-203.738313900048</c:v>
                </c:pt>
                <c:pt idx="73">
                  <c:v>-205.722535411625</c:v>
                </c:pt>
                <c:pt idx="74">
                  <c:v>-207.669747839263</c:v>
                </c:pt>
                <c:pt idx="75">
                  <c:v>-209.578820350193</c:v>
                </c:pt>
                <c:pt idx="76">
                  <c:v>-211.448777455861</c:v>
                </c:pt>
                <c:pt idx="77">
                  <c:v>-213.278796342872</c:v>
                </c:pt>
                <c:pt idx="78">
                  <c:v>-215.068202941648</c:v>
                </c:pt>
                <c:pt idx="79">
                  <c:v>-216.816466902572</c:v>
                </c:pt>
                <c:pt idx="80">
                  <c:v>-218.523195651612</c:v>
                </c:pt>
                <c:pt idx="81">
                  <c:v>-220.18812769516</c:v>
                </c:pt>
                <c:pt idx="82">
                  <c:v>-221.811125337788</c:v>
                </c:pt>
                <c:pt idx="83">
                  <c:v>-223.392166967446</c:v>
                </c:pt>
                <c:pt idx="84">
                  <c:v>-224.931339051251</c:v>
                </c:pt>
                <c:pt idx="85">
                  <c:v>-226.428827971882</c:v>
                </c:pt>
                <c:pt idx="86">
                  <c:v>-227.884911820534</c:v>
                </c:pt>
                <c:pt idx="87">
                  <c:v>-229.299952247856</c:v>
                </c:pt>
                <c:pt idx="88">
                  <c:v>-230.674386459778</c:v>
                </c:pt>
                <c:pt idx="89">
                  <c:v>-232.008719431038</c:v>
                </c:pt>
                <c:pt idx="90">
                  <c:v>-233.303516395828</c:v>
                </c:pt>
                <c:pt idx="91">
                  <c:v>-234.55939566251</c:v>
                </c:pt>
                <c:pt idx="92">
                  <c:v>-235.777021787952</c:v>
                </c:pt>
                <c:pt idx="93">
                  <c:v>-236.957099136816</c:v>
                </c:pt>
                <c:pt idx="94">
                  <c:v>-238.100365842082</c:v>
                </c:pt>
                <c:pt idx="95">
                  <c:v>-239.207588175249</c:v>
                </c:pt>
                <c:pt idx="96">
                  <c:v>-240.279555327964</c:v>
                </c:pt>
                <c:pt idx="97">
                  <c:v>-241.317074601213</c:v>
                </c:pt>
                <c:pt idx="98">
                  <c:v>-242.320966993609</c:v>
                </c:pt>
                <c:pt idx="99">
                  <c:v>-243.292063176613</c:v>
                </c:pt>
                <c:pt idx="100">
                  <c:v>-244.23119984168</c:v>
                </c:pt>
                <c:pt idx="101">
                  <c:v>-245.139216402163</c:v>
                </c:pt>
                <c:pt idx="102">
                  <c:v>-246.016952031277</c:v>
                </c:pt>
                <c:pt idx="103">
                  <c:v>-246.865243016505</c:v>
                </c:pt>
                <c:pt idx="104">
                  <c:v>-247.684920410235</c:v>
                </c:pt>
                <c:pt idx="105">
                  <c:v>-248.476807956346</c:v>
                </c:pt>
                <c:pt idx="106">
                  <c:v>-249.241720272573</c:v>
                </c:pt>
                <c:pt idx="107">
                  <c:v>-249.980461268932</c:v>
                </c:pt>
                <c:pt idx="108">
                  <c:v>-250.693822783082</c:v>
                </c:pt>
                <c:pt idx="109">
                  <c:v>-251.382583414241</c:v>
                </c:pt>
                <c:pt idx="110">
                  <c:v>-252.047507538155</c:v>
                </c:pt>
                <c:pt idx="111">
                  <c:v>-252.689344486544</c:v>
                </c:pt>
                <c:pt idx="112">
                  <c:v>-253.308827875403</c:v>
                </c:pt>
                <c:pt idx="113">
                  <c:v>-253.906675067575</c:v>
                </c:pt>
                <c:pt idx="114">
                  <c:v>-254.483586755962</c:v>
                </c:pt>
                <c:pt idx="115">
                  <c:v>-255.040246654763</c:v>
                </c:pt>
                <c:pt idx="116">
                  <c:v>-255.577321287071</c:v>
                </c:pt>
                <c:pt idx="117">
                  <c:v>-256.095459858086</c:v>
                </c:pt>
                <c:pt idx="118">
                  <c:v>-256.595294204091</c:v>
                </c:pt>
                <c:pt idx="119">
                  <c:v>-257.077438808192</c:v>
                </c:pt>
                <c:pt idx="120">
                  <c:v>-257.542490874579</c:v>
                </c:pt>
                <c:pt idx="121">
                  <c:v>-257.991030453872</c:v>
                </c:pt>
                <c:pt idx="122">
                  <c:v>-258.423620612746</c:v>
                </c:pt>
                <c:pt idx="123">
                  <c:v>-258.840807641728</c:v>
                </c:pt>
                <c:pt idx="124">
                  <c:v>-259.243121295635</c:v>
                </c:pt>
                <c:pt idx="125">
                  <c:v>-259.63107506167</c:v>
                </c:pt>
                <c:pt idx="126">
                  <c:v>-260.005166450731</c:v>
                </c:pt>
                <c:pt idx="127">
                  <c:v>-260.365877307919</c:v>
                </c:pt>
                <c:pt idx="128">
                  <c:v>-260.713674138687</c:v>
                </c:pt>
                <c:pt idx="129">
                  <c:v>-261.049008447447</c:v>
                </c:pt>
                <c:pt idx="130">
                  <c:v>-261.372317085813</c:v>
                </c:pt>
                <c:pt idx="131">
                  <c:v>-261.684022607978</c:v>
                </c:pt>
                <c:pt idx="132">
                  <c:v>-261.984533631019</c:v>
                </c:pt>
                <c:pt idx="133">
                  <c:v>-262.274245198181</c:v>
                </c:pt>
                <c:pt idx="134">
                  <c:v>-262.553539143441</c:v>
                </c:pt>
                <c:pt idx="135">
                  <c:v>-262.822784455859</c:v>
                </c:pt>
                <c:pt idx="136">
                  <c:v>-263.082337642418</c:v>
                </c:pt>
                <c:pt idx="137">
                  <c:v>-263.332543088233</c:v>
                </c:pt>
                <c:pt idx="138">
                  <c:v>-263.573733413164</c:v>
                </c:pt>
                <c:pt idx="139">
                  <c:v>-263.806229824006</c:v>
                </c:pt>
                <c:pt idx="140">
                  <c:v>-264.030342461545</c:v>
                </c:pt>
                <c:pt idx="141">
                  <c:v>-264.246370741908</c:v>
                </c:pt>
                <c:pt idx="142">
                  <c:v>-264.45460369169</c:v>
                </c:pt>
                <c:pt idx="143">
                  <c:v>-264.655320276476</c:v>
                </c:pt>
                <c:pt idx="144">
                  <c:v>-264.848789722422</c:v>
                </c:pt>
                <c:pt idx="145">
                  <c:v>-265.035271830632</c:v>
                </c:pt>
                <c:pt idx="146">
                  <c:v>-265.215017284141</c:v>
                </c:pt>
                <c:pt idx="147">
                  <c:v>-265.388267947371</c:v>
                </c:pt>
                <c:pt idx="148">
                  <c:v>-265.555257157934</c:v>
                </c:pt>
                <c:pt idx="149">
                  <c:v>-265.716210010759</c:v>
                </c:pt>
                <c:pt idx="150">
                  <c:v>-265.871343634508</c:v>
                </c:pt>
                <c:pt idx="151">
                  <c:v>-266.02086746029</c:v>
                </c:pt>
                <c:pt idx="152">
                  <c:v>-266.164983482721</c:v>
                </c:pt>
                <c:pt idx="153">
                  <c:v>-266.303886513384</c:v>
                </c:pt>
                <c:pt idx="154">
                  <c:v>-266.437764426783</c:v>
                </c:pt>
                <c:pt idx="155">
                  <c:v>-266.566798398871</c:v>
                </c:pt>
                <c:pt idx="156">
                  <c:v>-266.691163138283</c:v>
                </c:pt>
                <c:pt idx="157">
                  <c:v>-266.811027110388</c:v>
                </c:pt>
                <c:pt idx="158">
                  <c:v>-266.926552754307</c:v>
                </c:pt>
                <c:pt idx="159">
                  <c:v>-267.037896693018</c:v>
                </c:pt>
                <c:pt idx="160">
                  <c:v>-267.145209936726</c:v>
                </c:pt>
                <c:pt idx="161">
                  <c:v>-267.24863807963</c:v>
                </c:pt>
                <c:pt idx="162">
                  <c:v>-267.348321490255</c:v>
                </c:pt>
                <c:pt idx="163">
                  <c:v>-267.444395495508</c:v>
                </c:pt>
                <c:pt idx="164">
                  <c:v>-267.536990558623</c:v>
                </c:pt>
                <c:pt idx="165">
                  <c:v>-267.626232451152</c:v>
                </c:pt>
                <c:pt idx="166">
                  <c:v>-267.712242419174</c:v>
                </c:pt>
                <c:pt idx="167">
                  <c:v>-267.795137343878</c:v>
                </c:pt>
                <c:pt idx="168">
                  <c:v>-267.875029896686</c:v>
                </c:pt>
                <c:pt idx="169">
                  <c:v>-267.952028689074</c:v>
                </c:pt>
                <c:pt idx="170">
                  <c:v>-268.026238417252</c:v>
                </c:pt>
                <c:pt idx="171">
                  <c:v>-268.097760001858</c:v>
                </c:pt>
                <c:pt idx="172">
                  <c:v>-268.16669072282</c:v>
                </c:pt>
                <c:pt idx="173">
                  <c:v>-268.233124349534</c:v>
                </c:pt>
                <c:pt idx="174">
                  <c:v>-268.297151266515</c:v>
                </c:pt>
                <c:pt idx="175">
                  <c:v>-268.358858594653</c:v>
                </c:pt>
                <c:pt idx="176">
                  <c:v>-268.418330308225</c:v>
                </c:pt>
                <c:pt idx="177">
                  <c:v>-268.475647347806</c:v>
                </c:pt>
                <c:pt idx="178">
                  <c:v>-268.530887729191</c:v>
                </c:pt>
                <c:pt idx="179">
                  <c:v>-268.584126648495</c:v>
                </c:pt>
                <c:pt idx="180">
                  <c:v>-268.635436583522</c:v>
                </c:pt>
                <c:pt idx="181">
                  <c:v>-268.684887391559</c:v>
                </c:pt>
                <c:pt idx="182">
                  <c:v>-268.732546403691</c:v>
                </c:pt>
                <c:pt idx="183">
                  <c:v>-268.778478515776</c:v>
                </c:pt>
                <c:pt idx="184">
                  <c:v>-268.822746276177</c:v>
                </c:pt>
                <c:pt idx="185">
                  <c:v>-268.865409970372</c:v>
                </c:pt>
                <c:pt idx="186">
                  <c:v>-268.906527702549</c:v>
                </c:pt>
                <c:pt idx="187">
                  <c:v>-268.94615547428</c:v>
                </c:pt>
                <c:pt idx="188">
                  <c:v>-268.984347260392</c:v>
                </c:pt>
                <c:pt idx="189">
                  <c:v>-269.021155082122</c:v>
                </c:pt>
                <c:pt idx="190">
                  <c:v>-269.056629077643</c:v>
                </c:pt>
                <c:pt idx="191">
                  <c:v>-269.090817570074</c:v>
                </c:pt>
                <c:pt idx="192">
                  <c:v>-269.123767133047</c:v>
                </c:pt>
                <c:pt idx="193">
                  <c:v>-269.155522653915</c:v>
                </c:pt>
                <c:pt idx="194">
                  <c:v>-269.186127394693</c:v>
                </c:pt>
                <c:pt idx="195">
                  <c:v>-269.215623050813</c:v>
                </c:pt>
                <c:pt idx="196">
                  <c:v>-269.244049807761</c:v>
                </c:pt>
                <c:pt idx="197">
                  <c:v>-269.27144639567</c:v>
                </c:pt>
                <c:pt idx="198">
                  <c:v>-269.297850141965</c:v>
                </c:pt>
                <c:pt idx="199">
                  <c:v>-269.32329702209</c:v>
                </c:pt>
                <c:pt idx="200">
                  <c:v>-269.347821708426</c:v>
                </c:pt>
                <c:pt idx="201">
                  <c:v>-269.37145761743</c:v>
                </c:pt>
                <c:pt idx="202">
                  <c:v>-269.394236955088</c:v>
                </c:pt>
                <c:pt idx="203">
                  <c:v>-269.416190760715</c:v>
                </c:pt>
                <c:pt idx="204">
                  <c:v>-269.437348949184</c:v>
                </c:pt>
                <c:pt idx="205">
                  <c:v>-269.457740351627</c:v>
                </c:pt>
                <c:pt idx="206">
                  <c:v>-269.477392754665</c:v>
                </c:pt>
                <c:pt idx="207">
                  <c:v>-269.496332938223</c:v>
                </c:pt>
                <c:pt idx="208">
                  <c:v>-269.514586711976</c:v>
                </c:pt>
                <c:pt idx="209">
                  <c:v>-269.532178950486</c:v>
                </c:pt>
                <c:pt idx="210">
                  <c:v>-269.549133627054</c:v>
                </c:pt>
                <c:pt idx="211">
                  <c:v>-269.565473846367</c:v>
                </c:pt>
                <c:pt idx="212">
                  <c:v>-269.581221875946</c:v>
                </c:pt>
                <c:pt idx="213">
                  <c:v>-269.596399176473</c:v>
                </c:pt>
                <c:pt idx="214">
                  <c:v>-269.611026431008</c:v>
                </c:pt>
                <c:pt idx="215">
                  <c:v>-269.625123573159</c:v>
                </c:pt>
                <c:pt idx="216">
                  <c:v>-269.638709814227</c:v>
                </c:pt>
                <c:pt idx="217">
                  <c:v>-269.651803669367</c:v>
                </c:pt>
                <c:pt idx="218">
                  <c:v>-269.664422982813</c:v>
                </c:pt>
                <c:pt idx="219">
                  <c:v>-269.676584952176</c:v>
                </c:pt>
                <c:pt idx="220">
                  <c:v>-269.688306151872</c:v>
                </c:pt>
                <c:pt idx="221">
                  <c:v>-269.699602555701</c:v>
                </c:pt>
                <c:pt idx="222">
                  <c:v>-269.710489558603</c:v>
                </c:pt>
                <c:pt idx="223">
                  <c:v>-269.720981997632</c:v>
                </c:pt>
                <c:pt idx="224">
                  <c:v>-269.73109417217</c:v>
                </c:pt>
                <c:pt idx="225">
                  <c:v>-269.740839863406</c:v>
                </c:pt>
                <c:pt idx="226">
                  <c:v>-269.750232353113</c:v>
                </c:pt>
                <c:pt idx="227">
                  <c:v>-269.75928444174</c:v>
                </c:pt>
                <c:pt idx="228">
                  <c:v>-269.768008465857</c:v>
                </c:pt>
                <c:pt idx="229">
                  <c:v>-269.77641631496</c:v>
                </c:pt>
                <c:pt idx="230">
                  <c:v>-269.784519447673</c:v>
                </c:pt>
                <c:pt idx="231">
                  <c:v>-269.792328907357</c:v>
                </c:pt>
                <c:pt idx="232">
                  <c:v>-269.799855337162</c:v>
                </c:pt>
                <c:pt idx="233">
                  <c:v>-269.807108994527</c:v>
                </c:pt>
                <c:pt idx="234">
                  <c:v>-269.814099765156</c:v>
                </c:pt>
                <c:pt idx="235">
                  <c:v>-269.820837176492</c:v>
                </c:pt>
                <c:pt idx="236">
                  <c:v>-269.827330410694</c:v>
                </c:pt>
                <c:pt idx="237">
                  <c:v>-269.833588317156</c:v>
                </c:pt>
                <c:pt idx="238">
                  <c:v>-269.839619424561</c:v>
                </c:pt>
                <c:pt idx="239">
                  <c:v>-269.845431952503</c:v>
                </c:pt>
                <c:pt idx="240">
                  <c:v>-269.851033822692</c:v>
                </c:pt>
                <c:pt idx="241">
                  <c:v>-269.856432669744</c:v>
                </c:pt>
                <c:pt idx="242">
                  <c:v>-269.861635851589</c:v>
                </c:pt>
                <c:pt idx="243">
                  <c:v>-269.866650459496</c:v>
                </c:pt>
                <c:pt idx="244">
                  <c:v>-269.871483327738</c:v>
                </c:pt>
                <c:pt idx="245">
                  <c:v>-269.876141042904</c:v>
                </c:pt>
                <c:pt idx="246">
                  <c:v>-269.880629952873</c:v>
                </c:pt>
                <c:pt idx="247">
                  <c:v>-269.884956175473</c:v>
                </c:pt>
                <c:pt idx="248">
                  <c:v>-269.889125606807</c:v>
                </c:pt>
                <c:pt idx="249">
                  <c:v>-269.893143929297</c:v>
                </c:pt>
              </c:numCache>
            </c:numRef>
          </c:yVal>
          <c:smooth val="0"/>
        </c:ser>
        <c:ser>
          <c:idx val="1"/>
          <c:order val="1"/>
          <c:tx>
            <c:strRef>
              <c:f>"Near-neutral"</c:f>
              <c:strCache>
                <c:ptCount val="1"/>
                <c:pt idx="0">
                  <c:v>Near-neutral</c:v>
                </c:pt>
              </c:strCache>
            </c:strRef>
          </c:tx>
          <c:spPr>
            <a:solidFill>
              <a:srgbClr val="d62728"/>
            </a:solidFill>
            <a:ln w="20160">
              <a:solidFill>
                <a:srgbClr val="d6272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06_Bode!$F$5:$F$254</c:f>
              <c:numCache>
                <c:formatCode>0.00</c:formatCode>
                <c:ptCount val="250"/>
                <c:pt idx="0">
                  <c:v>-36.6870836454393</c:v>
                </c:pt>
                <c:pt idx="1">
                  <c:v>-37.7961792019257</c:v>
                </c:pt>
                <c:pt idx="2">
                  <c:v>-38.9237745060122</c:v>
                </c:pt>
                <c:pt idx="3">
                  <c:v>-40.0690519106381</c:v>
                </c:pt>
                <c:pt idx="4">
                  <c:v>-41.2311276716549</c:v>
                </c:pt>
                <c:pt idx="5">
                  <c:v>-42.4090565378127</c:v>
                </c:pt>
                <c:pt idx="6">
                  <c:v>-43.6018372970594</c:v>
                </c:pt>
                <c:pt idx="7">
                  <c:v>-44.8084192422778</c:v>
                </c:pt>
                <c:pt idx="8">
                  <c:v>-46.0277094964532</c:v>
                </c:pt>
                <c:pt idx="9">
                  <c:v>-47.2585811145364</c:v>
                </c:pt>
                <c:pt idx="10">
                  <c:v>-48.499881857878</c:v>
                </c:pt>
                <c:pt idx="11">
                  <c:v>-49.7504435179699</c:v>
                </c:pt>
                <c:pt idx="12">
                  <c:v>-51.0090916502114</c:v>
                </c:pt>
                <c:pt idx="13">
                  <c:v>-52.2746555662579</c:v>
                </c:pt>
                <c:pt idx="14">
                  <c:v>-53.5459784257901</c:v>
                </c:pt>
                <c:pt idx="15">
                  <c:v>-54.8219272656317</c:v>
                </c:pt>
                <c:pt idx="16">
                  <c:v>-56.1014028061839</c:v>
                </c:pt>
                <c:pt idx="17">
                  <c:v>-57.3833488820293</c:v>
                </c:pt>
                <c:pt idx="18">
                  <c:v>-58.6667613549474</c:v>
                </c:pt>
                <c:pt idx="19">
                  <c:v>-59.9506963829265</c:v>
                </c:pt>
                <c:pt idx="20">
                  <c:v>-61.2342779373286</c:v>
                </c:pt>
                <c:pt idx="21">
                  <c:v>-62.5167044813149</c:v>
                </c:pt>
                <c:pt idx="22">
                  <c:v>-63.7972547450533</c:v>
                </c:pt>
                <c:pt idx="23">
                  <c:v>-65.0752925561718</c:v>
                </c:pt>
                <c:pt idx="24">
                  <c:v>-66.3502707065069</c:v>
                </c:pt>
                <c:pt idx="25">
                  <c:v>-67.6217338576167</c:v>
                </c:pt>
                <c:pt idx="26">
                  <c:v>-68.8893205071015</c:v>
                </c:pt>
                <c:pt idx="27">
                  <c:v>-70.1527640549768</c:v>
                </c:pt>
                <c:pt idx="28">
                  <c:v>-71.4118930237765</c:v>
                </c:pt>
                <c:pt idx="29">
                  <c:v>-72.6666304975412</c:v>
                </c:pt>
                <c:pt idx="30">
                  <c:v>-73.9169928532724</c:v>
                </c:pt>
                <c:pt idx="31">
                  <c:v>-75.1630878638946</c:v>
                </c:pt>
                <c:pt idx="32">
                  <c:v>-76.4051122544329</c:v>
                </c:pt>
                <c:pt idx="33">
                  <c:v>-77.6433487932442</c:v>
                </c:pt>
                <c:pt idx="34">
                  <c:v>-78.8781629980603</c:v>
                </c:pt>
                <c:pt idx="35">
                  <c:v>-80.1099995326629</c:v>
                </c:pt>
                <c:pt idx="36">
                  <c:v>-81.3393783645856</c:v>
                </c:pt>
                <c:pt idx="37">
                  <c:v>-82.5668907476767</c:v>
                </c:pt>
                <c:pt idx="38">
                  <c:v>-83.7931950860097</c:v>
                </c:pt>
                <c:pt idx="39">
                  <c:v>-85.0190127277988</c:v>
                </c:pt>
                <c:pt idx="40">
                  <c:v>-86.2451237299235</c:v>
                </c:pt>
                <c:pt idx="41">
                  <c:v>-87.4723626256337</c:v>
                </c:pt>
                <c:pt idx="42">
                  <c:v>-88.701614220161</c:v>
                </c:pt>
                <c:pt idx="43">
                  <c:v>-89.9338094314613</c:v>
                </c:pt>
                <c:pt idx="44">
                  <c:v>-91.1699211862499</c:v>
                </c:pt>
                <c:pt idx="45">
                  <c:v>-92.4109603749523</c:v>
                </c:pt>
                <c:pt idx="46">
                  <c:v>-93.6579718632166</c:v>
                </c:pt>
                <c:pt idx="47">
                  <c:v>-94.9120305522458</c:v>
                </c:pt>
                <c:pt idx="48">
                  <c:v>-96.1742374754215</c:v>
                </c:pt>
                <c:pt idx="49">
                  <c:v>-97.4457159144966</c:v>
                </c:pt>
                <c:pt idx="50">
                  <c:v>-98.727607515026</c:v>
                </c:pt>
                <c:pt idx="51">
                  <c:v>-100.021068377673</c:v>
                </c:pt>
                <c:pt idx="52">
                  <c:v>-101.327265099557</c:v>
                </c:pt>
                <c:pt idx="53">
                  <c:v>-102.647370737893</c:v>
                </c:pt>
                <c:pt idx="54">
                  <c:v>-103.982560666822</c:v>
                </c:pt>
                <c:pt idx="55">
                  <c:v>-105.334008297542</c:v>
                </c:pt>
                <c:pt idx="56">
                  <c:v>-106.702880631634</c:v>
                </c:pt>
                <c:pt idx="57">
                  <c:v>-108.090333617907</c:v>
                </c:pt>
                <c:pt idx="58">
                  <c:v>-109.497507284151</c:v>
                </c:pt>
                <c:pt idx="59">
                  <c:v>-110.925520616946</c:v>
                </c:pt>
                <c:pt idx="60">
                  <c:v>-112.375466165267</c:v>
                </c:pt>
                <c:pt idx="61">
                  <c:v>-113.848404346961</c:v>
                </c:pt>
                <c:pt idx="62">
                  <c:v>-115.345357441519</c:v>
                </c:pt>
                <c:pt idx="63">
                  <c:v>-116.867303257826</c:v>
                </c:pt>
                <c:pt idx="64">
                  <c:v>-118.415168471957</c:v>
                </c:pt>
                <c:pt idx="65">
                  <c:v>-119.989821637513</c:v>
                </c:pt>
                <c:pt idx="66">
                  <c:v>-121.592065879701</c:v>
                </c:pt>
                <c:pt idx="67">
                  <c:v>-123.222631294159</c:v>
                </c:pt>
                <c:pt idx="68">
                  <c:v>-124.882167082553</c:v>
                </c:pt>
                <c:pt idx="69">
                  <c:v>-126.571233469184</c:v>
                </c:pt>
                <c:pt idx="70">
                  <c:v>-128.290293455947</c:v>
                </c:pt>
                <c:pt idx="71">
                  <c:v>-130.039704487108</c:v>
                </c:pt>
                <c:pt idx="72">
                  <c:v>-131.819710109973</c:v>
                </c:pt>
                <c:pt idx="73">
                  <c:v>-133.630431732492</c:v>
                </c:pt>
                <c:pt idx="74">
                  <c:v>-135.471860593723</c:v>
                </c:pt>
                <c:pt idx="75">
                  <c:v>-137.343850077262</c:v>
                </c:pt>
                <c:pt idx="76">
                  <c:v>-139.246108510873</c:v>
                </c:pt>
                <c:pt idx="77">
                  <c:v>-141.178192606767</c:v>
                </c:pt>
                <c:pt idx="78">
                  <c:v>-143.139501705666</c:v>
                </c:pt>
                <c:pt idx="79">
                  <c:v>-145.129272993285</c:v>
                </c:pt>
                <c:pt idx="80">
                  <c:v>-147.146577859264</c:v>
                </c:pt>
                <c:pt idx="81">
                  <c:v>-149.190319565378</c:v>
                </c:pt>
                <c:pt idx="82">
                  <c:v>-151.259232381339</c:v>
                </c:pt>
                <c:pt idx="83">
                  <c:v>-153.351882332252</c:v>
                </c:pt>
                <c:pt idx="84">
                  <c:v>-155.466669681562</c:v>
                </c:pt>
                <c:pt idx="85">
                  <c:v>-157.601833247104</c:v>
                </c:pt>
                <c:pt idx="86">
                  <c:v>-159.755456615883</c:v>
                </c:pt>
                <c:pt idx="87">
                  <c:v>-161.9254762861</c:v>
                </c:pt>
                <c:pt idx="88">
                  <c:v>-164.109691723545</c:v>
                </c:pt>
                <c:pt idx="89">
                  <c:v>-166.305777275084</c:v>
                </c:pt>
                <c:pt idx="90">
                  <c:v>-168.511295835957</c:v>
                </c:pt>
                <c:pt idx="91">
                  <c:v>-170.723714121783</c:v>
                </c:pt>
                <c:pt idx="92">
                  <c:v>-172.940419352289</c:v>
                </c:pt>
                <c:pt idx="93">
                  <c:v>-175.158737113738</c:v>
                </c:pt>
                <c:pt idx="94">
                  <c:v>-177.375950132595</c:v>
                </c:pt>
                <c:pt idx="95">
                  <c:v>-179.589317665753</c:v>
                </c:pt>
                <c:pt idx="96">
                  <c:v>-181.796095193911</c:v>
                </c:pt>
                <c:pt idx="97">
                  <c:v>-183.993554095344</c:v>
                </c:pt>
                <c:pt idx="98">
                  <c:v>-186.179000977888</c:v>
                </c:pt>
                <c:pt idx="99">
                  <c:v>-188.349796357293</c:v>
                </c:pt>
                <c:pt idx="100">
                  <c:v>-190.50337238984</c:v>
                </c:pt>
                <c:pt idx="101">
                  <c:v>-192.637249395182</c:v>
                </c:pt>
                <c:pt idx="102">
                  <c:v>-194.749050940554</c:v>
                </c:pt>
                <c:pt idx="103">
                  <c:v>-196.836517298054</c:v>
                </c:pt>
                <c:pt idx="104">
                  <c:v>-198.897517130967</c:v>
                </c:pt>
                <c:pt idx="105">
                  <c:v>-200.930057311118</c:v>
                </c:pt>
                <c:pt idx="106">
                  <c:v>-202.932290815236</c:v>
                </c:pt>
                <c:pt idx="107">
                  <c:v>-204.902522692593</c:v>
                </c:pt>
                <c:pt idx="108">
                  <c:v>-206.8392141373</c:v>
                </c:pt>
                <c:pt idx="109">
                  <c:v>-208.740984735405</c:v>
                </c:pt>
                <c:pt idx="110">
                  <c:v>-210.606612988466</c:v>
                </c:pt>
                <c:pt idx="111">
                  <c:v>-212.4350352411</c:v>
                </c:pt>
                <c:pt idx="112">
                  <c:v>-214.225343159728</c:v>
                </c:pt>
                <c:pt idx="113">
                  <c:v>-215.976779923638</c:v>
                </c:pt>
                <c:pt idx="114">
                  <c:v>-217.688735297555</c:v>
                </c:pt>
                <c:pt idx="115">
                  <c:v>-219.360739757924</c:v>
                </c:pt>
                <c:pt idx="116">
                  <c:v>-220.992457843414</c:v>
                </c:pt>
                <c:pt idx="117">
                  <c:v>-222.583680894602</c:v>
                </c:pt>
                <c:pt idx="118">
                  <c:v>-224.13431933909</c:v>
                </c:pt>
                <c:pt idx="119">
                  <c:v>-225.644394667139</c:v>
                </c:pt>
                <c:pt idx="120">
                  <c:v>-227.114031229994</c:v>
                </c:pt>
                <c:pt idx="121">
                  <c:v>-228.54344797913</c:v>
                </c:pt>
                <c:pt idx="122">
                  <c:v>-229.932950250091</c:v>
                </c:pt>
                <c:pt idx="123">
                  <c:v>-231.282921680087</c:v>
                </c:pt>
                <c:pt idx="124">
                  <c:v>-232.593816334282</c:v>
                </c:pt>
                <c:pt idx="125">
                  <c:v>-233.866151102209</c:v>
                </c:pt>
                <c:pt idx="126">
                  <c:v>-235.100498413109</c:v>
                </c:pt>
                <c:pt idx="127">
                  <c:v>-236.297479307403</c:v>
                </c:pt>
                <c:pt idx="128">
                  <c:v>-237.457756891133</c:v>
                </c:pt>
                <c:pt idx="129">
                  <c:v>-238.58203019093</c:v>
                </c:pt>
                <c:pt idx="130">
                  <c:v>-239.671028419078</c:v>
                </c:pt>
                <c:pt idx="131">
                  <c:v>-240.725505651354</c:v>
                </c:pt>
                <c:pt idx="132">
                  <c:v>-241.746235914555</c:v>
                </c:pt>
                <c:pt idx="133">
                  <c:v>-242.734008675862</c:v>
                </c:pt>
                <c:pt idx="134">
                  <c:v>-243.689624722387</c:v>
                </c:pt>
                <c:pt idx="135">
                  <c:v>-244.613892416235</c:v>
                </c:pt>
                <c:pt idx="136">
                  <c:v>-245.507624308182</c:v>
                </c:pt>
                <c:pt idx="137">
                  <c:v>-246.37163409147</c:v>
                </c:pt>
                <c:pt idx="138">
                  <c:v>-247.206733876142</c:v>
                </c:pt>
                <c:pt idx="139">
                  <c:v>-248.013731763789</c:v>
                </c:pt>
                <c:pt idx="140">
                  <c:v>-248.793429702362</c:v>
                </c:pt>
                <c:pt idx="141">
                  <c:v>-249.546621600825</c:v>
                </c:pt>
                <c:pt idx="142">
                  <c:v>-250.274091683841</c:v>
                </c:pt>
                <c:pt idx="143">
                  <c:v>-250.976613067202</c:v>
                </c:pt>
                <c:pt idx="144">
                  <c:v>-251.654946535516</c:v>
                </c:pt>
                <c:pt idx="145">
                  <c:v>-252.309839504457</c:v>
                </c:pt>
                <c:pt idx="146">
                  <c:v>-252.942025150836</c:v>
                </c:pt>
                <c:pt idx="147">
                  <c:v>-253.552221694711</c:v>
                </c:pt>
                <c:pt idx="148">
                  <c:v>-254.141131818755</c:v>
                </c:pt>
                <c:pt idx="149">
                  <c:v>-254.709442211078</c:v>
                </c:pt>
                <c:pt idx="150">
                  <c:v>-255.257823218734</c:v>
                </c:pt>
                <c:pt idx="151">
                  <c:v>-255.786928600051</c:v>
                </c:pt>
                <c:pt idx="152">
                  <c:v>-256.297395364898</c:v>
                </c:pt>
                <c:pt idx="153">
                  <c:v>-256.789843692874</c:v>
                </c:pt>
                <c:pt idx="154">
                  <c:v>-257.264876920268</c:v>
                </c:pt>
                <c:pt idx="155">
                  <c:v>-257.723081587421</c:v>
                </c:pt>
                <c:pt idx="156">
                  <c:v>-258.165027538896</c:v>
                </c:pt>
                <c:pt idx="157">
                  <c:v>-258.591268069562</c:v>
                </c:pt>
                <c:pt idx="158">
                  <c:v>-259.002340110334</c:v>
                </c:pt>
                <c:pt idx="159">
                  <c:v>-259.398764447946</c:v>
                </c:pt>
                <c:pt idx="160">
                  <c:v>-259.781045973682</c:v>
                </c:pt>
                <c:pt idx="161">
                  <c:v>-260.149673956502</c:v>
                </c:pt>
                <c:pt idx="162">
                  <c:v>-260.505122336487</c:v>
                </c:pt>
                <c:pt idx="163">
                  <c:v>-260.847850034943</c:v>
                </c:pt>
                <c:pt idx="164">
                  <c:v>-261.178301277929</c:v>
                </c:pt>
                <c:pt idx="165">
                  <c:v>-261.496905930291</c:v>
                </c:pt>
                <c:pt idx="166">
                  <c:v>-261.804079837665</c:v>
                </c:pt>
                <c:pt idx="167">
                  <c:v>-262.100225174162</c:v>
                </c:pt>
                <c:pt idx="168">
                  <c:v>-262.385730793744</c:v>
                </c:pt>
                <c:pt idx="169">
                  <c:v>-262.660972583538</c:v>
                </c:pt>
                <c:pt idx="170">
                  <c:v>-262.92631381755</c:v>
                </c:pt>
                <c:pt idx="171">
                  <c:v>-263.182105509443</c:v>
                </c:pt>
                <c:pt idx="172">
                  <c:v>-263.428686763209</c:v>
                </c:pt>
                <c:pt idx="173">
                  <c:v>-263.66638512075</c:v>
                </c:pt>
                <c:pt idx="174">
                  <c:v>-263.895516905494</c:v>
                </c:pt>
                <c:pt idx="175">
                  <c:v>-264.116387561311</c:v>
                </c:pt>
                <c:pt idx="176">
                  <c:v>-264.329291986129</c:v>
                </c:pt>
                <c:pt idx="177">
                  <c:v>-264.534514859711</c:v>
                </c:pt>
                <c:pt idx="178">
                  <c:v>-264.73233096518</c:v>
                </c:pt>
                <c:pt idx="179">
                  <c:v>-264.923005503928</c:v>
                </c:pt>
                <c:pt idx="180">
                  <c:v>-265.106794403653</c:v>
                </c:pt>
                <c:pt idx="181">
                  <c:v>-265.283944619287</c:v>
                </c:pt>
                <c:pt idx="182">
                  <c:v>-265.454694426668</c:v>
                </c:pt>
                <c:pt idx="183">
                  <c:v>-265.619273708839</c:v>
                </c:pt>
                <c:pt idx="184">
                  <c:v>-265.7779042349</c:v>
                </c:pt>
                <c:pt idx="185">
                  <c:v>-265.930799931393</c:v>
                </c:pt>
                <c:pt idx="186">
                  <c:v>-266.078167146202</c:v>
                </c:pt>
                <c:pt idx="187">
                  <c:v>-266.220204905009</c:v>
                </c:pt>
                <c:pt idx="188">
                  <c:v>-266.357105160347</c:v>
                </c:pt>
                <c:pt idx="189">
                  <c:v>-266.48905303333</c:v>
                </c:pt>
                <c:pt idx="190">
                  <c:v>-266.616227048142</c:v>
                </c:pt>
                <c:pt idx="191">
                  <c:v>-266.738799359397</c:v>
                </c:pt>
                <c:pt idx="192">
                  <c:v>-266.856935972476</c:v>
                </c:pt>
                <c:pt idx="193">
                  <c:v>-266.97079695698</c:v>
                </c:pt>
                <c:pt idx="194">
                  <c:v>-267.080536653426</c:v>
                </c:pt>
                <c:pt idx="195">
                  <c:v>-267.186303873334</c:v>
                </c:pt>
                <c:pt idx="196">
                  <c:v>-267.288242092847</c:v>
                </c:pt>
                <c:pt idx="197">
                  <c:v>-267.386489640044</c:v>
                </c:pt>
                <c:pt idx="198">
                  <c:v>-267.481179876098</c:v>
                </c:pt>
                <c:pt idx="199">
                  <c:v>-267.572441370424</c:v>
                </c:pt>
                <c:pt idx="200">
                  <c:v>-267.660398070005</c:v>
                </c:pt>
                <c:pt idx="201">
                  <c:v>-267.745169463019</c:v>
                </c:pt>
                <c:pt idx="202">
                  <c:v>-267.826870736951</c:v>
                </c:pt>
                <c:pt idx="203">
                  <c:v>-267.90561293134</c:v>
                </c:pt>
                <c:pt idx="204">
                  <c:v>-267.981503085313</c:v>
                </c:pt>
                <c:pt idx="205">
                  <c:v>-268.054644380066</c:v>
                </c:pt>
                <c:pt idx="206">
                  <c:v>-268.125136276444</c:v>
                </c:pt>
                <c:pt idx="207">
                  <c:v>-268.193074647767</c:v>
                </c:pt>
                <c:pt idx="208">
                  <c:v>-268.258551908055</c:v>
                </c:pt>
                <c:pt idx="209">
                  <c:v>-268.321657135791</c:v>
                </c:pt>
                <c:pt idx="210">
                  <c:v>-268.38247619337</c:v>
                </c:pt>
                <c:pt idx="211">
                  <c:v>-268.441091842366</c:v>
                </c:pt>
                <c:pt idx="212">
                  <c:v>-268.497583854757</c:v>
                </c:pt>
                <c:pt idx="213">
                  <c:v>-268.552029120245</c:v>
                </c:pt>
                <c:pt idx="214">
                  <c:v>-268.604501749791</c:v>
                </c:pt>
                <c:pt idx="215">
                  <c:v>-268.655073175488</c:v>
                </c:pt>
                <c:pt idx="216">
                  <c:v>-268.703812246914</c:v>
                </c:pt>
                <c:pt idx="217">
                  <c:v>-268.750785324062</c:v>
                </c:pt>
                <c:pt idx="218">
                  <c:v>-268.796056366975</c:v>
                </c:pt>
                <c:pt idx="219">
                  <c:v>-268.839687022188</c:v>
                </c:pt>
                <c:pt idx="220">
                  <c:v>-268.881736706106</c:v>
                </c:pt>
                <c:pt idx="221">
                  <c:v>-268.922262685398</c:v>
                </c:pt>
                <c:pt idx="222">
                  <c:v>-268.961320154525</c:v>
                </c:pt>
                <c:pt idx="223">
                  <c:v>-268.998962310502</c:v>
                </c:pt>
                <c:pt idx="224">
                  <c:v>-269.035240424986</c:v>
                </c:pt>
                <c:pt idx="225">
                  <c:v>-269.070203913774</c:v>
                </c:pt>
                <c:pt idx="226">
                  <c:v>-269.103900403828</c:v>
                </c:pt>
                <c:pt idx="227">
                  <c:v>-269.136375797877</c:v>
                </c:pt>
                <c:pt idx="228">
                  <c:v>-269.167674336717</c:v>
                </c:pt>
                <c:pt idx="229">
                  <c:v>-269.197838659266</c:v>
                </c:pt>
                <c:pt idx="230">
                  <c:v>-269.22690986046</c:v>
                </c:pt>
                <c:pt idx="231">
                  <c:v>-269.254927547069</c:v>
                </c:pt>
                <c:pt idx="232">
                  <c:v>-269.28192989151</c:v>
                </c:pt>
                <c:pt idx="233">
                  <c:v>-269.307953683711</c:v>
                </c:pt>
                <c:pt idx="234">
                  <c:v>-269.333034381122</c:v>
                </c:pt>
                <c:pt idx="235">
                  <c:v>-269.357206156909</c:v>
                </c:pt>
                <c:pt idx="236">
                  <c:v>-269.380501946422</c:v>
                </c:pt>
                <c:pt idx="237">
                  <c:v>-269.402953491983</c:v>
                </c:pt>
                <c:pt idx="238">
                  <c:v>-269.424591386061</c:v>
                </c:pt>
                <c:pt idx="239">
                  <c:v>-269.445445112883</c:v>
                </c:pt>
                <c:pt idx="240">
                  <c:v>-269.465543088549</c:v>
                </c:pt>
                <c:pt idx="241">
                  <c:v>-269.484912699698</c:v>
                </c:pt>
                <c:pt idx="242">
                  <c:v>-269.503580340772</c:v>
                </c:pt>
                <c:pt idx="243">
                  <c:v>-269.521571449944</c:v>
                </c:pt>
                <c:pt idx="244">
                  <c:v>-269.538910543738</c:v>
                </c:pt>
                <c:pt idx="245">
                  <c:v>-269.5556212504</c:v>
                </c:pt>
                <c:pt idx="246">
                  <c:v>-269.571726342069</c:v>
                </c:pt>
                <c:pt idx="247">
                  <c:v>-269.587247765777</c:v>
                </c:pt>
                <c:pt idx="248">
                  <c:v>-269.602206673331</c:v>
                </c:pt>
                <c:pt idx="249">
                  <c:v>-269.616623450117</c:v>
                </c:pt>
              </c:numCache>
            </c:numRef>
          </c:yVal>
          <c:smooth val="0"/>
        </c:ser>
        <c:ser>
          <c:idx val="2"/>
          <c:order val="2"/>
          <c:tx>
            <c:strRef>
              <c:f>"Alkaline"</c:f>
              <c:strCache>
                <c:ptCount val="1"/>
                <c:pt idx="0">
                  <c:v>Alkaline</c:v>
                </c:pt>
              </c:strCache>
            </c:strRef>
          </c:tx>
          <c:spPr>
            <a:solidFill>
              <a:srgbClr val="2ca02c"/>
            </a:solidFill>
            <a:ln w="2016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06_Bode!$A$5:$A$254</c:f>
              <c:numCache>
                <c:formatCode>0.00E+00</c:formatCode>
                <c:ptCount val="250"/>
                <c:pt idx="0">
                  <c:v>0.001</c:v>
                </c:pt>
                <c:pt idx="1">
                  <c:v>0.00103760501976691</c:v>
                </c:pt>
                <c:pt idx="2">
                  <c:v>0.00107662417704549</c:v>
                </c:pt>
                <c:pt idx="3">
                  <c:v>0.00111711065050482</c:v>
                </c:pt>
                <c:pt idx="4">
                  <c:v>0.00115911961859889</c:v>
                </c:pt>
                <c:pt idx="5">
                  <c:v>0.00120270833476851</c:v>
                </c:pt>
                <c:pt idx="6">
                  <c:v>0.00124793620547131</c:v>
                </c:pt>
                <c:pt idx="7">
                  <c:v>0.00129486487114591</c:v>
                </c:pt>
                <c:pt idx="8">
                  <c:v>0.00134355829022083</c:v>
                </c:pt>
                <c:pt idx="9">
                  <c:v>0.00139408282628258</c:v>
                </c:pt>
                <c:pt idx="10">
                  <c:v>0.00144650733852165</c:v>
                </c:pt>
                <c:pt idx="11">
                  <c:v>0.00150090327557974</c:v>
                </c:pt>
                <c:pt idx="12">
                  <c:v>0.00155734477292614</c:v>
                </c:pt>
                <c:pt idx="13">
                  <c:v>0.00161590875389592</c:v>
                </c:pt>
                <c:pt idx="14">
                  <c:v>0.0016766750345277</c:v>
                </c:pt>
                <c:pt idx="15">
                  <c:v>0.0017397264323438</c:v>
                </c:pt>
                <c:pt idx="16">
                  <c:v>0.00180514887922111</c:v>
                </c:pt>
                <c:pt idx="17">
                  <c:v>0.00187303153850644</c:v>
                </c:pt>
                <c:pt idx="18">
                  <c:v>0.00194346692653602</c:v>
                </c:pt>
                <c:pt idx="19">
                  <c:v>0.00201655103872475</c:v>
                </c:pt>
                <c:pt idx="20">
                  <c:v>0.00209238348039698</c:v>
                </c:pt>
                <c:pt idx="21">
                  <c:v>0.00217106760253727</c:v>
                </c:pt>
                <c:pt idx="22">
                  <c:v>0.00225271064264598</c:v>
                </c:pt>
                <c:pt idx="23">
                  <c:v>0.00233742387089182</c:v>
                </c:pt>
                <c:pt idx="24">
                  <c:v>0.00242532274176035</c:v>
                </c:pt>
                <c:pt idx="25">
                  <c:v>0.00251652705140539</c:v>
                </c:pt>
                <c:pt idx="26">
                  <c:v>0.00261116110091746</c:v>
                </c:pt>
                <c:pt idx="27">
                  <c:v>0.00270935386573205</c:v>
                </c:pt>
                <c:pt idx="28">
                  <c:v>0.00281123917140846</c:v>
                </c:pt>
                <c:pt idx="29">
                  <c:v>0.0029169558760188</c:v>
                </c:pt>
                <c:pt idx="30">
                  <c:v>0.00302664805939569</c:v>
                </c:pt>
                <c:pt idx="31">
                  <c:v>0.00314046521949675</c:v>
                </c:pt>
                <c:pt idx="32">
                  <c:v>0.00325856247615323</c:v>
                </c:pt>
                <c:pt idx="33">
                  <c:v>0.00338110078248069</c:v>
                </c:pt>
                <c:pt idx="34">
                  <c:v>0.00350824714423979</c:v>
                </c:pt>
                <c:pt idx="35">
                  <c:v>0.00364017484744614</c:v>
                </c:pt>
                <c:pt idx="36">
                  <c:v>0.00377706369453937</c:v>
                </c:pt>
                <c:pt idx="37">
                  <c:v>0.0039191002494334</c:v>
                </c:pt>
                <c:pt idx="38">
                  <c:v>0.00406647809178185</c:v>
                </c:pt>
                <c:pt idx="39">
                  <c:v>0.00421939808080502</c:v>
                </c:pt>
                <c:pt idx="40">
                  <c:v>0.00437806862903817</c:v>
                </c:pt>
                <c:pt idx="41">
                  <c:v>0.00454270598637404</c:v>
                </c:pt>
                <c:pt idx="42">
                  <c:v>0.00471353453478691</c:v>
                </c:pt>
                <c:pt idx="43">
                  <c:v>0.00489078709413959</c:v>
                </c:pt>
                <c:pt idx="44">
                  <c:v>0.00507470523949047</c:v>
                </c:pt>
                <c:pt idx="45">
                  <c:v>0.00526553963033276</c:v>
                </c:pt>
                <c:pt idx="46">
                  <c:v>0.00546355035221488</c:v>
                </c:pt>
                <c:pt idx="47">
                  <c:v>0.00566900727120743</c:v>
                </c:pt>
                <c:pt idx="48">
                  <c:v>0.00588219040169996</c:v>
                </c:pt>
                <c:pt idx="49">
                  <c:v>0.00610339028802862</c:v>
                </c:pt>
                <c:pt idx="50">
                  <c:v>0.00633290840045511</c:v>
                </c:pt>
                <c:pt idx="51">
                  <c:v>0.00657105754603627</c:v>
                </c:pt>
                <c:pt idx="52">
                  <c:v>0.00681816229494448</c:v>
                </c:pt>
                <c:pt idx="53">
                  <c:v>0.00707455942281988</c:v>
                </c:pt>
                <c:pt idx="54">
                  <c:v>0.00734059836975721</c:v>
                </c:pt>
                <c:pt idx="55">
                  <c:v>0.00761664171655289</c:v>
                </c:pt>
                <c:pt idx="56">
                  <c:v>0.00790306567886135</c:v>
                </c:pt>
                <c:pt idx="57">
                  <c:v>0.00820026061993413</c:v>
                </c:pt>
                <c:pt idx="58">
                  <c:v>0.00850863158264058</c:v>
                </c:pt>
                <c:pt idx="59">
                  <c:v>0.00882859884149515</c:v>
                </c:pt>
                <c:pt idx="60">
                  <c:v>0.00916059847544371</c:v>
                </c:pt>
                <c:pt idx="61">
                  <c:v>0.00950508296218951</c:v>
                </c:pt>
                <c:pt idx="62">
                  <c:v>0.00986252179486878</c:v>
                </c:pt>
                <c:pt idx="63">
                  <c:v>0.0102334021219164</c:v>
                </c:pt>
                <c:pt idx="64">
                  <c:v>0.0106182294109938</c:v>
                </c:pt>
                <c:pt idx="65">
                  <c:v>0.0110175281378839</c:v>
                </c:pt>
                <c:pt idx="66">
                  <c:v>0.0114318425012915</c:v>
                </c:pt>
                <c:pt idx="67">
                  <c:v>0.0118617371645248</c:v>
                </c:pt>
                <c:pt idx="68">
                  <c:v>0.0123077980250667</c:v>
                </c:pt>
                <c:pt idx="69">
                  <c:v>0.0127706330130864</c:v>
                </c:pt>
                <c:pt idx="70">
                  <c:v>0.0132508729199795</c:v>
                </c:pt>
                <c:pt idx="71">
                  <c:v>0.0137491722580642</c:v>
                </c:pt>
                <c:pt idx="72">
                  <c:v>0.0142662101526074</c:v>
                </c:pt>
                <c:pt idx="73">
                  <c:v>0.0148026912673951</c:v>
                </c:pt>
                <c:pt idx="74">
                  <c:v>0.015359346765109</c:v>
                </c:pt>
                <c:pt idx="75">
                  <c:v>0.0159369353038177</c:v>
                </c:pt>
                <c:pt idx="76">
                  <c:v>0.0165362440709418</c:v>
                </c:pt>
                <c:pt idx="77">
                  <c:v>0.0171580898561001</c:v>
                </c:pt>
                <c:pt idx="78">
                  <c:v>0.0178033201643011</c:v>
                </c:pt>
                <c:pt idx="79">
                  <c:v>0.0184728143709963</c:v>
                </c:pt>
                <c:pt idx="80">
                  <c:v>0.0191674849205682</c:v>
                </c:pt>
                <c:pt idx="81">
                  <c:v>0.0198882785698881</c:v>
                </c:pt>
                <c:pt idx="82">
                  <c:v>0.0206361776786386</c:v>
                </c:pt>
                <c:pt idx="83">
                  <c:v>0.0214122015481573</c:v>
                </c:pt>
                <c:pt idx="84">
                  <c:v>0.0222174078106288</c:v>
                </c:pt>
                <c:pt idx="85">
                  <c:v>0.0230528938705171</c:v>
                </c:pt>
                <c:pt idx="86">
                  <c:v>0.0239197984002024</c:v>
                </c:pt>
                <c:pt idx="87">
                  <c:v>0.0248193028918625</c:v>
                </c:pt>
                <c:pt idx="88">
                  <c:v>0.025752633267712</c:v>
                </c:pt>
                <c:pt idx="89">
                  <c:v>0.0267210615507943</c:v>
                </c:pt>
                <c:pt idx="90">
                  <c:v>0.0277259075986048</c:v>
                </c:pt>
                <c:pt idx="91">
                  <c:v>0.0287685409019059</c:v>
                </c:pt>
                <c:pt idx="92">
                  <c:v>0.0298503824511873</c:v>
                </c:pt>
                <c:pt idx="93">
                  <c:v>0.0309729066733141</c:v>
                </c:pt>
                <c:pt idx="94">
                  <c:v>0.0321376434410028</c:v>
                </c:pt>
                <c:pt idx="95">
                  <c:v>0.0333461801578636</c:v>
                </c:pt>
                <c:pt idx="96">
                  <c:v>0.0346001639218511</c:v>
                </c:pt>
                <c:pt idx="97">
                  <c:v>0.0359013037700707</c:v>
                </c:pt>
                <c:pt idx="98">
                  <c:v>0.0372513730080021</c:v>
                </c:pt>
                <c:pt idx="99">
                  <c:v>0.0386522116263126</c:v>
                </c:pt>
                <c:pt idx="100">
                  <c:v>0.040105728808555</c:v>
                </c:pt>
                <c:pt idx="101">
                  <c:v>0.0416139055331671</c:v>
                </c:pt>
                <c:pt idx="102">
                  <c:v>0.0431787972733202</c:v>
                </c:pt>
                <c:pt idx="103">
                  <c:v>0.0448025367982949</c:v>
                </c:pt>
                <c:pt idx="104">
                  <c:v>0.0464873370802026</c:v>
                </c:pt>
                <c:pt idx="105">
                  <c:v>0.0482354943100147</c:v>
                </c:pt>
                <c:pt idx="106">
                  <c:v>0.0500493910270095</c:v>
                </c:pt>
                <c:pt idx="107">
                  <c:v>0.0519314993659021</c:v>
                </c:pt>
                <c:pt idx="108">
                  <c:v>0.0538843844260822</c:v>
                </c:pt>
                <c:pt idx="109">
                  <c:v>0.0559107077675529</c:v>
                </c:pt>
                <c:pt idx="110">
                  <c:v>0.0580132310383338</c:v>
                </c:pt>
                <c:pt idx="111">
                  <c:v>0.0601948197382727</c:v>
                </c:pt>
                <c:pt idx="112">
                  <c:v>0.0624584471243962</c:v>
                </c:pt>
                <c:pt idx="113">
                  <c:v>0.0648071982631197</c:v>
                </c:pt>
                <c:pt idx="114">
                  <c:v>0.0672442742348425</c:v>
                </c:pt>
                <c:pt idx="115">
                  <c:v>0.0697729964966554</c:v>
                </c:pt>
                <c:pt idx="116">
                  <c:v>0.0723968114091087</c:v>
                </c:pt>
                <c:pt idx="117">
                  <c:v>0.0751192949332097</c:v>
                </c:pt>
                <c:pt idx="118">
                  <c:v>0.0779441575040495</c:v>
                </c:pt>
                <c:pt idx="119">
                  <c:v>0.0808752490877045</c:v>
                </c:pt>
                <c:pt idx="120">
                  <c:v>0.0839165644283016</c:v>
                </c:pt>
                <c:pt idx="121">
                  <c:v>0.0870722484923992</c:v>
                </c:pt>
                <c:pt idx="122">
                  <c:v>0.0903466021181053</c:v>
                </c:pt>
                <c:pt idx="123">
                  <c:v>0.0937440878766299</c:v>
                </c:pt>
                <c:pt idx="124">
                  <c:v>0.0972693361542617</c:v>
                </c:pt>
                <c:pt idx="125">
                  <c:v>0.100927151463057</c:v>
                </c:pt>
                <c:pt idx="126">
                  <c:v>0.104722518988843</c:v>
                </c:pt>
                <c:pt idx="127">
                  <c:v>0.10866061138546</c:v>
                </c:pt>
                <c:pt idx="128">
                  <c:v>0.112746795824495</c:v>
                </c:pt>
                <c:pt idx="129">
                  <c:v>0.116986641310131</c:v>
                </c:pt>
                <c:pt idx="130">
                  <c:v>0.121385926269063</c:v>
                </c:pt>
                <c:pt idx="131">
                  <c:v>0.125950646425836</c:v>
                </c:pt>
                <c:pt idx="132">
                  <c:v>0.130687022974335</c:v>
                </c:pt>
                <c:pt idx="133">
                  <c:v>0.135601511056563</c:v>
                </c:pt>
                <c:pt idx="134">
                  <c:v>0.140700808560269</c:v>
                </c:pt>
                <c:pt idx="135">
                  <c:v>0.145991865247398</c:v>
                </c:pt>
                <c:pt idx="136">
                  <c:v>0.151481892225835</c:v>
                </c:pt>
                <c:pt idx="137">
                  <c:v>0.157178371777316</c:v>
                </c:pt>
                <c:pt idx="138">
                  <c:v>0.163089067554933</c:v>
                </c:pt>
                <c:pt idx="139">
                  <c:v>0.169222035164104</c:v>
                </c:pt>
                <c:pt idx="140">
                  <c:v>0.175585633141447</c:v>
                </c:pt>
                <c:pt idx="141">
                  <c:v>0.182188534346517</c:v>
                </c:pt>
                <c:pt idx="142">
                  <c:v>0.189039737781922</c:v>
                </c:pt>
                <c:pt idx="143">
                  <c:v>0.196148580857943</c:v>
                </c:pt>
                <c:pt idx="144">
                  <c:v>0.203524752118358</c:v>
                </c:pt>
                <c:pt idx="145">
                  <c:v>0.211178304444824</c:v>
                </c:pt>
                <c:pt idx="146">
                  <c:v>0.219119668757815</c:v>
                </c:pt>
                <c:pt idx="147">
                  <c:v>0.227359668232772</c:v>
                </c:pt>
                <c:pt idx="148">
                  <c:v>0.235909533050863</c:v>
                </c:pt>
                <c:pt idx="149">
                  <c:v>0.244780915704444</c:v>
                </c:pt>
                <c:pt idx="150">
                  <c:v>0.253985906878072</c:v>
                </c:pt>
                <c:pt idx="151">
                  <c:v>0.263537051926739</c:v>
                </c:pt>
                <c:pt idx="152">
                  <c:v>0.273447367973758</c:v>
                </c:pt>
                <c:pt idx="153">
                  <c:v>0.283730361651621</c:v>
                </c:pt>
                <c:pt idx="154">
                  <c:v>0.294400047510003</c:v>
                </c:pt>
                <c:pt idx="155">
                  <c:v>0.305470967115997</c:v>
                </c:pt>
                <c:pt idx="156">
                  <c:v>0.316958208872612</c:v>
                </c:pt>
                <c:pt idx="157">
                  <c:v>0.328877428582551</c:v>
                </c:pt>
                <c:pt idx="158">
                  <c:v>0.341244870785289</c:v>
                </c:pt>
                <c:pt idx="159">
                  <c:v>0.354077390896527</c:v>
                </c:pt>
                <c:pt idx="160">
                  <c:v>0.367392478180207</c:v>
                </c:pt>
                <c:pt idx="161">
                  <c:v>0.381208279584389</c:v>
                </c:pt>
                <c:pt idx="162">
                  <c:v>0.39554362447347</c:v>
                </c:pt>
                <c:pt idx="163">
                  <c:v>0.410418050290471</c:v>
                </c:pt>
                <c:pt idx="164">
                  <c:v>0.425851829184341</c:v>
                </c:pt>
                <c:pt idx="165">
                  <c:v>0.441865995638594</c:v>
                </c:pt>
                <c:pt idx="166">
                  <c:v>0.45848237513891</c:v>
                </c:pt>
                <c:pt idx="167">
                  <c:v>0.475723613918789</c:v>
                </c:pt>
                <c:pt idx="168">
                  <c:v>0.493613209823791</c:v>
                </c:pt>
                <c:pt idx="169">
                  <c:v>0.512175544336424</c:v>
                </c:pt>
                <c:pt idx="170">
                  <c:v>0.531435915805324</c:v>
                </c:pt>
                <c:pt idx="171">
                  <c:v>0.55142057392403</c:v>
                </c:pt>
                <c:pt idx="172">
                  <c:v>0.572156755506325</c:v>
                </c:pt>
                <c:pt idx="173">
                  <c:v>0.593672721606912</c:v>
                </c:pt>
                <c:pt idx="174">
                  <c:v>0.615997796038016</c:v>
                </c:pt>
                <c:pt idx="175">
                  <c:v>0.6391624053344</c:v>
                </c:pt>
                <c:pt idx="176">
                  <c:v>0.663198120221267</c:v>
                </c:pt>
                <c:pt idx="177">
                  <c:v>0.688137698641566</c:v>
                </c:pt>
                <c:pt idx="178">
                  <c:v>0.71401513040134</c:v>
                </c:pt>
                <c:pt idx="179">
                  <c:v>0.740865683493956</c:v>
                </c:pt>
                <c:pt idx="180">
                  <c:v>0.768725952166373</c:v>
                </c:pt>
                <c:pt idx="181">
                  <c:v>0.797633906792927</c:v>
                </c:pt>
                <c:pt idx="182">
                  <c:v>0.827628945624634</c:v>
                </c:pt>
                <c:pt idx="183">
                  <c:v>0.858751948484517</c:v>
                </c:pt>
                <c:pt idx="184">
                  <c:v>0.891045332482151</c:v>
                </c:pt>
                <c:pt idx="185">
                  <c:v>0.924553109823357</c:v>
                </c:pt>
                <c:pt idx="186">
                  <c:v>0.959320947793824</c:v>
                </c:pt>
                <c:pt idx="187">
                  <c:v>0.995396230998423</c:v>
                </c:pt>
                <c:pt idx="188">
                  <c:v>1.03282812594103</c:v>
                </c:pt>
                <c:pt idx="189">
                  <c:v>1.07166764803286</c:v>
                </c:pt>
                <c:pt idx="190">
                  <c:v>1.1119677311207</c:v>
                </c:pt>
                <c:pt idx="191">
                  <c:v>1.15378329962966</c:v>
                </c:pt>
                <c:pt idx="192">
                  <c:v>1.19717134341897</c:v>
                </c:pt>
                <c:pt idx="193">
                  <c:v>1.24219099545262</c:v>
                </c:pt>
                <c:pt idx="194">
                  <c:v>1.28890361239089</c:v>
                </c:pt>
                <c:pt idx="195">
                  <c:v>1.3373728582125</c:v>
                </c:pt>
                <c:pt idx="196">
                  <c:v>1.38766479098131</c:v>
                </c:pt>
                <c:pt idx="197">
                  <c:v>1.43984795287601</c:v>
                </c:pt>
                <c:pt idx="198">
                  <c:v>1.49399346360526</c:v>
                </c:pt>
                <c:pt idx="199">
                  <c:v>1.55017511733577</c:v>
                </c:pt>
                <c:pt idx="200">
                  <c:v>1.60846948326536</c:v>
                </c:pt>
                <c:pt idx="201">
                  <c:v>1.66895600997802</c:v>
                </c:pt>
                <c:pt idx="202">
                  <c:v>1.73171713372335</c:v>
                </c:pt>
                <c:pt idx="203">
                  <c:v>1.79683839076772</c:v>
                </c:pt>
                <c:pt idx="204">
                  <c:v>1.86440853397049</c:v>
                </c:pt>
                <c:pt idx="205">
                  <c:v>1.93451965374404</c:v>
                </c:pt>
                <c:pt idx="206">
                  <c:v>2.00726730356257</c:v>
                </c:pt>
                <c:pt idx="207">
                  <c:v>2.08275063019051</c:v>
                </c:pt>
                <c:pt idx="208">
                  <c:v>2.16107250880838</c:v>
                </c:pt>
                <c:pt idx="209">
                  <c:v>2.24233968321985</c:v>
                </c:pt>
                <c:pt idx="210">
                  <c:v>2.32666291133146</c:v>
                </c:pt>
                <c:pt idx="211">
                  <c:v>2.41415711610302</c:v>
                </c:pt>
                <c:pt idx="212">
                  <c:v>2.5049415421745</c:v>
                </c:pt>
                <c:pt idx="213">
                  <c:v>2.59913991838293</c:v>
                </c:pt>
                <c:pt idx="214">
                  <c:v>2.69688062639069</c:v>
                </c:pt>
                <c:pt idx="215">
                  <c:v>2.79829687565512</c:v>
                </c:pt>
                <c:pt idx="216">
                  <c:v>2.90352688497781</c:v>
                </c:pt>
                <c:pt idx="217">
                  <c:v>3.01271407088116</c:v>
                </c:pt>
                <c:pt idx="218">
                  <c:v>3.1260072430687</c:v>
                </c:pt>
                <c:pt idx="219">
                  <c:v>3.24356080723581</c:v>
                </c:pt>
                <c:pt idx="220">
                  <c:v>3.36553497550709</c:v>
                </c:pt>
                <c:pt idx="221">
                  <c:v>3.49209598478727</c:v>
                </c:pt>
                <c:pt idx="222">
                  <c:v>3.62341632332315</c:v>
                </c:pt>
                <c:pt idx="223">
                  <c:v>3.75967496578546</c:v>
                </c:pt>
                <c:pt idx="224">
                  <c:v>3.90105761719099</c:v>
                </c:pt>
                <c:pt idx="225">
                  <c:v>4.04775696599732</c:v>
                </c:pt>
                <c:pt idx="226">
                  <c:v>4.1999729467153</c:v>
                </c:pt>
                <c:pt idx="227">
                  <c:v>4.35791301239703</c:v>
                </c:pt>
                <c:pt idx="228">
                  <c:v>4.5217924173707</c:v>
                </c:pt>
                <c:pt idx="229">
                  <c:v>4.69183451060779</c:v>
                </c:pt>
                <c:pt idx="230">
                  <c:v>4.86827104012228</c:v>
                </c:pt>
                <c:pt idx="231">
                  <c:v>5.05134246881676</c:v>
                </c:pt>
                <c:pt idx="232">
                  <c:v>5.24129830220606</c:v>
                </c:pt>
                <c:pt idx="233">
                  <c:v>5.4383974284648</c:v>
                </c:pt>
                <c:pt idx="234">
                  <c:v>5.64290847126254</c:v>
                </c:pt>
                <c:pt idx="235">
                  <c:v>5.85511015586724</c:v>
                </c:pt>
                <c:pt idx="236">
                  <c:v>6.07529168901607</c:v>
                </c:pt>
                <c:pt idx="237">
                  <c:v>6.30375315307128</c:v>
                </c:pt>
                <c:pt idx="238">
                  <c:v>6.54080591499825</c:v>
                </c:pt>
                <c:pt idx="239">
                  <c:v>6.7867730507233</c:v>
                </c:pt>
                <c:pt idx="240">
                  <c:v>7.04198978544929</c:v>
                </c:pt>
                <c:pt idx="241">
                  <c:v>7.3068039505295</c:v>
                </c:pt>
                <c:pt idx="242">
                  <c:v>7.58157645752211</c:v>
                </c:pt>
                <c:pt idx="243">
                  <c:v>7.86668179007158</c:v>
                </c:pt>
                <c:pt idx="244">
                  <c:v>8.16250851428722</c:v>
                </c:pt>
                <c:pt idx="245">
                  <c:v>8.46945980831458</c:v>
                </c:pt>
                <c:pt idx="246">
                  <c:v>8.78795401182131</c:v>
                </c:pt>
                <c:pt idx="247">
                  <c:v>9.11842519614656</c:v>
                </c:pt>
                <c:pt idx="248">
                  <c:v>9.46132375589076</c:v>
                </c:pt>
                <c:pt idx="249">
                  <c:v>9.81711702275218</c:v>
                </c:pt>
              </c:numCache>
            </c:numRef>
          </c:xVal>
          <c:yVal>
            <c:numRef>
              <c:f>06_Bode!$G$5:$G$254</c:f>
              <c:numCache>
                <c:formatCode>0.00</c:formatCode>
                <c:ptCount val="250"/>
                <c:pt idx="0">
                  <c:v>-22.3600093502588</c:v>
                </c:pt>
                <c:pt idx="1">
                  <c:v>-23.13655756884</c:v>
                </c:pt>
                <c:pt idx="2">
                  <c:v>-23.9355869149003</c:v>
                </c:pt>
                <c:pt idx="3">
                  <c:v>-24.7572996569253</c:v>
                </c:pt>
                <c:pt idx="4">
                  <c:v>-25.6018544125737</c:v>
                </c:pt>
                <c:pt idx="5">
                  <c:v>-26.4693621403553</c:v>
                </c:pt>
                <c:pt idx="6">
                  <c:v>-27.3598821608216</c:v>
                </c:pt>
                <c:pt idx="7">
                  <c:v>-28.2734182659359</c:v>
                </c:pt>
                <c:pt idx="8">
                  <c:v>-29.2099149823077</c:v>
                </c:pt>
                <c:pt idx="9">
                  <c:v>-30.1692540604783</c:v>
                </c:pt>
                <c:pt idx="10">
                  <c:v>-31.1512512680979</c:v>
                </c:pt>
                <c:pt idx="11">
                  <c:v>-32.1556535693012</c:v>
                </c:pt>
                <c:pt idx="12">
                  <c:v>-33.1821367754974</c:v>
                </c:pt>
                <c:pt idx="13">
                  <c:v>-34.2303037537744</c:v>
                </c:pt>
                <c:pt idx="14">
                  <c:v>-35.2996832778301</c:v>
                </c:pt>
                <c:pt idx="15">
                  <c:v>-36.3897296024679</c:v>
                </c:pt>
                <c:pt idx="16">
                  <c:v>-37.4998228360015</c:v>
                </c:pt>
                <c:pt idx="17">
                  <c:v>-38.6292701752386</c:v>
                </c:pt>
                <c:pt idx="18">
                  <c:v>-39.7773080550439</c:v>
                </c:pt>
                <c:pt idx="19">
                  <c:v>-40.9431052489014</c:v>
                </c:pt>
                <c:pt idx="20">
                  <c:v>-42.1257669386893</c:v>
                </c:pt>
                <c:pt idx="21">
                  <c:v>-43.3243397514512</c:v>
                </c:pt>
                <c:pt idx="22">
                  <c:v>-44.5378177388811</c:v>
                </c:pt>
                <c:pt idx="23">
                  <c:v>-45.7651492522548</c:v>
                </c:pt>
                <c:pt idx="24">
                  <c:v>-47.0052446424645</c:v>
                </c:pt>
                <c:pt idx="25">
                  <c:v>-48.2569846925588</c:v>
                </c:pt>
                <c:pt idx="26">
                  <c:v>-49.5192296696791</c:v>
                </c:pt>
                <c:pt idx="27">
                  <c:v>-50.7908288654267</c:v>
                </c:pt>
                <c:pt idx="28">
                  <c:v>-52.0706304792993</c:v>
                </c:pt>
                <c:pt idx="29">
                  <c:v>-53.3574916895815</c:v>
                </c:pt>
                <c:pt idx="30">
                  <c:v>-54.650288750455</c:v>
                </c:pt>
                <c:pt idx="31">
                  <c:v>-55.9479269533654</c:v>
                </c:pt>
                <c:pt idx="32">
                  <c:v>-57.2493502948972</c:v>
                </c:pt>
                <c:pt idx="33">
                  <c:v>-58.5535507023294</c:v>
                </c:pt>
                <c:pt idx="34">
                  <c:v>-59.8595766812526</c:v>
                </c:pt>
                <c:pt idx="35">
                  <c:v>-61.1665412664796</c:v>
                </c:pt>
                <c:pt idx="36">
                  <c:v>-62.4736291771911</c:v>
                </c:pt>
                <c:pt idx="37">
                  <c:v>-63.7801030989387</c:v>
                </c:pt>
                <c:pt idx="38">
                  <c:v>-65.0853090378497</c:v>
                </c:pt>
                <c:pt idx="39">
                  <c:v>-66.3886807152187</c:v>
                </c:pt>
                <c:pt idx="40">
                  <c:v>-67.6897429927801</c:v>
                </c:pt>
                <c:pt idx="41">
                  <c:v>-68.9881143395664</c:v>
                </c:pt>
                <c:pt idx="42">
                  <c:v>-70.2835083697747</c:v>
                </c:pt>
                <c:pt idx="43">
                  <c:v>-71.57573449699</c:v>
                </c:pt>
                <c:pt idx="44">
                  <c:v>-72.864697763184</c:v>
                </c:pt>
                <c:pt idx="45">
                  <c:v>-74.1503979109355</c:v>
                </c:pt>
                <c:pt idx="46">
                  <c:v>-75.4329277743284</c:v>
                </c:pt>
                <c:pt idx="47">
                  <c:v>-76.7124710680806</c:v>
                </c:pt>
                <c:pt idx="48">
                  <c:v>-77.9892996558565</c:v>
                </c:pt>
                <c:pt idx="49">
                  <c:v>-79.2637703777231</c:v>
                </c:pt>
                <c:pt idx="50">
                  <c:v>-80.5363215136499</c:v>
                </c:pt>
                <c:pt idx="51">
                  <c:v>-81.8074689551966</c:v>
                </c:pt>
                <c:pt idx="52">
                  <c:v>-83.0778021514499</c:v>
                </c:pt>
                <c:pt idx="53">
                  <c:v>-84.3479798882033</c:v>
                </c:pt>
                <c:pt idx="54">
                  <c:v>-85.6187259516643</c:v>
                </c:pt>
                <c:pt idx="55">
                  <c:v>-86.8908247199036</c:v>
                </c:pt>
                <c:pt idx="56">
                  <c:v>-88.1651167170844</c:v>
                </c:pt>
                <c:pt idx="57">
                  <c:v>-89.4424941574435</c:v>
                </c:pt>
                <c:pt idx="58">
                  <c:v>-90.7238964982022</c:v>
                </c:pt>
                <c:pt idx="59">
                  <c:v>-92.0103060131987</c:v>
                </c:pt>
                <c:pt idx="60">
                  <c:v>-93.3027433921504</c:v>
                </c:pt>
                <c:pt idx="61">
                  <c:v>-94.6022633641463</c:v>
                </c:pt>
                <c:pt idx="62">
                  <c:v>-95.90995033827</c:v>
                </c:pt>
                <c:pt idx="63">
                  <c:v>-97.2269140492046</c:v>
                </c:pt>
                <c:pt idx="64">
                  <c:v>-98.55428519127</c:v>
                </c:pt>
                <c:pt idx="65">
                  <c:v>-99.8932110206052</c:v>
                </c:pt>
                <c:pt idx="66">
                  <c:v>-101.244850902136</c:v>
                </c:pt>
                <c:pt idx="67">
                  <c:v>-102.610371775555</c:v>
                </c:pt>
                <c:pt idx="68">
                  <c:v>-103.990943512811</c:v>
                </c:pt>
                <c:pt idx="69">
                  <c:v>-105.387734138549</c:v>
                </c:pt>
                <c:pt idx="70">
                  <c:v>-106.801904884602</c:v>
                </c:pt>
                <c:pt idx="71">
                  <c:v>-108.234605050035</c:v>
                </c:pt>
                <c:pt idx="72">
                  <c:v>-109.686966639414</c:v>
                </c:pt>
                <c:pt idx="73">
                  <c:v>-111.160098753975</c:v>
                </c:pt>
                <c:pt idx="74">
                  <c:v>-112.65508171328</c:v>
                </c:pt>
                <c:pt idx="75">
                  <c:v>-114.172960888762</c:v>
                </c:pt>
                <c:pt idx="76">
                  <c:v>-115.714740235468</c:v>
                </c:pt>
                <c:pt idx="77">
                  <c:v>-117.281375514225</c:v>
                </c:pt>
                <c:pt idx="78">
                  <c:v>-118.873767203588</c:v>
                </c:pt>
                <c:pt idx="79">
                  <c:v>-120.492753109184</c:v>
                </c:pt>
                <c:pt idx="80">
                  <c:v>-122.139100687604</c:v>
                </c:pt>
                <c:pt idx="81">
                  <c:v>-123.813499112697</c:v>
                </c:pt>
                <c:pt idx="82">
                  <c:v>-125.516551124002</c:v>
                </c:pt>
                <c:pt idx="83">
                  <c:v>-127.248764710019</c:v>
                </c:pt>
                <c:pt idx="84">
                  <c:v>-129.010544692896</c:v>
                </c:pt>
                <c:pt idx="85">
                  <c:v>-130.802184295677</c:v>
                </c:pt>
                <c:pt idx="86">
                  <c:v>-132.623856788222</c:v>
                </c:pt>
                <c:pt idx="87">
                  <c:v>-134.475607322896</c:v>
                </c:pt>
                <c:pt idx="88">
                  <c:v>-136.357345085625</c:v>
                </c:pt>
                <c:pt idx="89">
                  <c:v>-138.268835901419</c:v>
                </c:pt>
                <c:pt idx="90">
                  <c:v>-140.209695445322</c:v>
                </c:pt>
                <c:pt idx="91">
                  <c:v>-142.179383219234</c:v>
                </c:pt>
                <c:pt idx="92">
                  <c:v>-144.177197461507</c:v>
                </c:pt>
                <c:pt idx="93">
                  <c:v>-146.202271158848</c:v>
                </c:pt>
                <c:pt idx="94">
                  <c:v>-148.253569328172</c:v>
                </c:pt>
                <c:pt idx="95">
                  <c:v>-150.329887729046</c:v>
                </c:pt>
                <c:pt idx="96">
                  <c:v>-152.429853154743</c:v>
                </c:pt>
                <c:pt idx="97">
                  <c:v>-154.551925431295</c:v>
                </c:pt>
                <c:pt idx="98">
                  <c:v>-156.694401229369</c:v>
                </c:pt>
                <c:pt idx="99">
                  <c:v>-158.855419763307</c:v>
                </c:pt>
                <c:pt idx="100">
                  <c:v>-161.032970415886</c:v>
                </c:pt>
                <c:pt idx="101">
                  <c:v>-163.224902287015</c:v>
                </c:pt>
                <c:pt idx="102">
                  <c:v>-165.428935620906</c:v>
                </c:pt>
                <c:pt idx="103">
                  <c:v>-167.642675020502</c:v>
                </c:pt>
                <c:pt idx="104">
                  <c:v>-169.863624311956</c:v>
                </c:pt>
                <c:pt idx="105">
                  <c:v>-172.089202877387</c:v>
                </c:pt>
                <c:pt idx="106">
                  <c:v>-174.316763232897</c:v>
                </c:pt>
                <c:pt idx="107">
                  <c:v>-176.543609592786</c:v>
                </c:pt>
                <c:pt idx="108">
                  <c:v>-178.76701713162</c:v>
                </c:pt>
                <c:pt idx="109">
                  <c:v>-180.984251634713</c:v>
                </c:pt>
                <c:pt idx="110">
                  <c:v>-183.192589215735</c:v>
                </c:pt>
                <c:pt idx="111">
                  <c:v>-185.389335778025</c:v>
                </c:pt>
                <c:pt idx="112">
                  <c:v>-187.571845904006</c:v>
                </c:pt>
                <c:pt idx="113">
                  <c:v>-189.737540874418</c:v>
                </c:pt>
                <c:pt idx="114">
                  <c:v>-191.883925545043</c:v>
                </c:pt>
                <c:pt idx="115">
                  <c:v>-194.00860384205</c:v>
                </c:pt>
                <c:pt idx="116">
                  <c:v>-196.109292676392</c:v>
                </c:pt>
                <c:pt idx="117">
                  <c:v>-198.183834121153</c:v>
                </c:pt>
                <c:pt idx="118">
                  <c:v>-200.230205741478</c:v>
                </c:pt>
                <c:pt idx="119">
                  <c:v>-202.246529012911</c:v>
                </c:pt>
                <c:pt idx="120">
                  <c:v>-204.231075808825</c:v>
                </c:pt>
                <c:pt idx="121">
                  <c:v>-206.182272979773</c:v>
                </c:pt>
                <c:pt idx="122">
                  <c:v>-208.098705085546</c:v>
                </c:pt>
                <c:pt idx="123">
                  <c:v>-209.979115373791</c:v>
                </c:pt>
                <c:pt idx="124">
                  <c:v>-211.822405126341</c:v>
                </c:pt>
                <c:pt idx="125">
                  <c:v>-213.627631515851</c:v>
                </c:pt>
                <c:pt idx="126">
                  <c:v>-215.394004130678</c:v>
                </c:pt>
                <c:pt idx="127">
                  <c:v>-217.12088033561</c:v>
                </c:pt>
                <c:pt idx="128">
                  <c:v>-218.807759640292</c:v>
                </c:pt>
                <c:pt idx="129">
                  <c:v>-220.454277246723</c:v>
                </c:pt>
                <c:pt idx="130">
                  <c:v>-222.060196942595</c:v>
                </c:pt>
                <c:pt idx="131">
                  <c:v>-223.625403499321</c:v>
                </c:pt>
                <c:pt idx="132">
                  <c:v>-225.149894722978</c:v>
                </c:pt>
                <c:pt idx="133">
                  <c:v>-226.633773293937</c:v>
                </c:pt>
                <c:pt idx="134">
                  <c:v>-228.077238517172</c:v>
                </c:pt>
                <c:pt idx="135">
                  <c:v>-229.480578090828</c:v>
                </c:pt>
                <c:pt idx="136">
                  <c:v>-230.844159986053</c:v>
                </c:pt>
                <c:pt idx="137">
                  <c:v>-232.168424516761</c:v>
                </c:pt>
                <c:pt idx="138">
                  <c:v>-233.453876664282</c:v>
                </c:pt>
                <c:pt idx="139">
                  <c:v>-234.701078708951</c:v>
                </c:pt>
                <c:pt idx="140">
                  <c:v>-235.910643208842</c:v>
                </c:pt>
                <c:pt idx="141">
                  <c:v>-237.083226355113</c:v>
                </c:pt>
                <c:pt idx="142">
                  <c:v>-238.219521723883</c:v>
                </c:pt>
                <c:pt idx="143">
                  <c:v>-239.320254436226</c:v>
                </c:pt>
                <c:pt idx="144">
                  <c:v>-240.386175730687</c:v>
                </c:pt>
                <c:pt idx="145">
                  <c:v>-241.418057946659</c:v>
                </c:pt>
                <c:pt idx="146">
                  <c:v>-242.416689911965</c:v>
                </c:pt>
                <c:pt idx="147">
                  <c:v>-243.382872723903</c:v>
                </c:pt>
                <c:pt idx="148">
                  <c:v>-244.317415909823</c:v>
                </c:pt>
                <c:pt idx="149">
                  <c:v>-245.221133950872</c:v>
                </c:pt>
                <c:pt idx="150">
                  <c:v>-246.094843150775</c:v>
                </c:pt>
                <c:pt idx="151">
                  <c:v>-246.939358830319</c:v>
                </c:pt>
                <c:pt idx="152">
                  <c:v>-247.755492827512</c:v>
                </c:pt>
                <c:pt idx="153">
                  <c:v>-248.544051283113</c:v>
                </c:pt>
                <c:pt idx="154">
                  <c:v>-249.305832691247</c:v>
                </c:pt>
                <c:pt idx="155">
                  <c:v>-250.041626195155</c:v>
                </c:pt>
                <c:pt idx="156">
                  <c:v>-250.75221010866</c:v>
                </c:pt>
                <c:pt idx="157">
                  <c:v>-251.438350644623</c:v>
                </c:pt>
                <c:pt idx="158">
                  <c:v>-252.100800832489</c:v>
                </c:pt>
                <c:pt idx="159">
                  <c:v>-252.740299607913</c:v>
                </c:pt>
                <c:pt idx="160">
                  <c:v>-253.357571058445</c:v>
                </c:pt>
                <c:pt idx="161">
                  <c:v>-253.95332381021</c:v>
                </c:pt>
                <c:pt idx="162">
                  <c:v>-254.52825054154</c:v>
                </c:pt>
                <c:pt idx="163">
                  <c:v>-255.083027610503</c:v>
                </c:pt>
                <c:pt idx="164">
                  <c:v>-255.618314784244</c:v>
                </c:pt>
                <c:pt idx="165">
                  <c:v>-256.134755058989</c:v>
                </c:pt>
                <c:pt idx="166">
                  <c:v>-256.632974560477</c:v>
                </c:pt>
                <c:pt idx="167">
                  <c:v>-257.113582515446</c:v>
                </c:pt>
                <c:pt idx="168">
                  <c:v>-257.5771712856</c:v>
                </c:pt>
                <c:pt idx="169">
                  <c:v>-258.024316456268</c:v>
                </c:pt>
                <c:pt idx="170">
                  <c:v>-258.455576972681</c:v>
                </c:pt>
                <c:pt idx="171">
                  <c:v>-258.871495317438</c:v>
                </c:pt>
                <c:pt idx="172">
                  <c:v>-259.272597723397</c:v>
                </c:pt>
                <c:pt idx="173">
                  <c:v>-259.659394416751</c:v>
                </c:pt>
                <c:pt idx="174">
                  <c:v>-260.032379885613</c:v>
                </c:pt>
                <c:pt idx="175">
                  <c:v>-260.392033169906</c:v>
                </c:pt>
                <c:pt idx="176">
                  <c:v>-260.738818168796</c:v>
                </c:pt>
                <c:pt idx="177">
                  <c:v>-261.073183962311</c:v>
                </c:pt>
                <c:pt idx="178">
                  <c:v>-261.395565144175</c:v>
                </c:pt>
                <c:pt idx="179">
                  <c:v>-261.706382163196</c:v>
                </c:pt>
                <c:pt idx="180">
                  <c:v>-262.006041670875</c:v>
                </c:pt>
                <c:pt idx="181">
                  <c:v>-262.294936873171</c:v>
                </c:pt>
                <c:pt idx="182">
                  <c:v>-262.573447884599</c:v>
                </c:pt>
                <c:pt idx="183">
                  <c:v>-262.841942083083</c:v>
                </c:pt>
                <c:pt idx="184">
                  <c:v>-263.100774464157</c:v>
                </c:pt>
                <c:pt idx="185">
                  <c:v>-263.35028799334</c:v>
                </c:pt>
                <c:pt idx="186">
                  <c:v>-263.590813955606</c:v>
                </c:pt>
                <c:pt idx="187">
                  <c:v>-263.822672301086</c:v>
                </c:pt>
                <c:pt idx="188">
                  <c:v>-264.046171986222</c:v>
                </c:pt>
                <c:pt idx="189">
                  <c:v>-264.261611309726</c:v>
                </c:pt>
                <c:pt idx="190">
                  <c:v>-264.469278242817</c:v>
                </c:pt>
                <c:pt idx="191">
                  <c:v>-264.669450753257</c:v>
                </c:pt>
                <c:pt idx="192">
                  <c:v>-264.862397122857</c:v>
                </c:pt>
                <c:pt idx="193">
                  <c:v>-265.048376258118</c:v>
                </c:pt>
                <c:pt idx="194">
                  <c:v>-265.227637993809</c:v>
                </c:pt>
                <c:pt idx="195">
                  <c:v>-265.400423389295</c:v>
                </c:pt>
                <c:pt idx="196">
                  <c:v>-265.566965017484</c:v>
                </c:pt>
                <c:pt idx="197">
                  <c:v>-265.727487246329</c:v>
                </c:pt>
                <c:pt idx="198">
                  <c:v>-265.882206512837</c:v>
                </c:pt>
                <c:pt idx="199">
                  <c:v>-266.031331589568</c:v>
                </c:pt>
                <c:pt idx="200">
                  <c:v>-266.17506384366</c:v>
                </c:pt>
                <c:pt idx="201">
                  <c:v>-266.313597488413</c:v>
                </c:pt>
                <c:pt idx="202">
                  <c:v>-266.447119827512</c:v>
                </c:pt>
                <c:pt idx="203">
                  <c:v>-266.575811491957</c:v>
                </c:pt>
                <c:pt idx="204">
                  <c:v>-266.699846669818</c:v>
                </c:pt>
                <c:pt idx="205">
                  <c:v>-266.819393328925</c:v>
                </c:pt>
                <c:pt idx="206">
                  <c:v>-266.934613432607</c:v>
                </c:pt>
                <c:pt idx="207">
                  <c:v>-267.045663148632</c:v>
                </c:pt>
                <c:pt idx="208">
                  <c:v>-267.152693051475</c:v>
                </c:pt>
                <c:pt idx="209">
                  <c:v>-267.255848318071</c:v>
                </c:pt>
                <c:pt idx="210">
                  <c:v>-267.355268917197</c:v>
                </c:pt>
                <c:pt idx="211">
                  <c:v>-267.451089792646</c:v>
                </c:pt>
                <c:pt idx="212">
                  <c:v>-267.543441040338</c:v>
                </c:pt>
                <c:pt idx="213">
                  <c:v>-267.632448079548</c:v>
                </c:pt>
                <c:pt idx="214">
                  <c:v>-267.71823181838</c:v>
                </c:pt>
                <c:pt idx="215">
                  <c:v>-267.800908813679</c:v>
                </c:pt>
                <c:pt idx="216">
                  <c:v>-267.880591425509</c:v>
                </c:pt>
                <c:pt idx="217">
                  <c:v>-267.95738796638</c:v>
                </c:pt>
                <c:pt idx="218">
                  <c:v>-268.031402845359</c:v>
                </c:pt>
                <c:pt idx="219">
                  <c:v>-268.102736707235</c:v>
                </c:pt>
                <c:pt idx="220">
                  <c:v>-268.171486566876</c:v>
                </c:pt>
                <c:pt idx="221">
                  <c:v>-268.237745938936</c:v>
                </c:pt>
                <c:pt idx="222">
                  <c:v>-268.301604963055</c:v>
                </c:pt>
                <c:pt idx="223">
                  <c:v>-268.363150524692</c:v>
                </c:pt>
                <c:pt idx="224">
                  <c:v>-268.422466371738</c:v>
                </c:pt>
                <c:pt idx="225">
                  <c:v>-268.479633227038</c:v>
                </c:pt>
                <c:pt idx="226">
                  <c:v>-268.534728896963</c:v>
                </c:pt>
                <c:pt idx="227">
                  <c:v>-268.587828376153</c:v>
                </c:pt>
                <c:pt idx="228">
                  <c:v>-268.639003948571</c:v>
                </c:pt>
                <c:pt idx="229">
                  <c:v>-268.688325284979</c:v>
                </c:pt>
                <c:pt idx="230">
                  <c:v>-268.735859536962</c:v>
                </c:pt>
                <c:pt idx="231">
                  <c:v>-268.781671427616</c:v>
                </c:pt>
                <c:pt idx="232">
                  <c:v>-268.825823339013</c:v>
                </c:pt>
                <c:pt idx="233">
                  <c:v>-268.868375396559</c:v>
                </c:pt>
                <c:pt idx="234">
                  <c:v>-268.909385550334</c:v>
                </c:pt>
                <c:pt idx="235">
                  <c:v>-268.948909653544</c:v>
                </c:pt>
                <c:pt idx="236">
                  <c:v>-268.987001538159</c:v>
                </c:pt>
                <c:pt idx="237">
                  <c:v>-269.023713087857</c:v>
                </c:pt>
                <c:pt idx="238">
                  <c:v>-269.059094308348</c:v>
                </c:pt>
                <c:pt idx="239">
                  <c:v>-269.093193395185</c:v>
                </c:pt>
                <c:pt idx="240">
                  <c:v>-269.126056799141</c:v>
                </c:pt>
                <c:pt idx="241">
                  <c:v>-269.157729289244</c:v>
                </c:pt>
                <c:pt idx="242">
                  <c:v>-269.188254013541</c:v>
                </c:pt>
                <c:pt idx="243">
                  <c:v>-269.217672557688</c:v>
                </c:pt>
                <c:pt idx="244">
                  <c:v>-269.246025001429</c:v>
                </c:pt>
                <c:pt idx="245">
                  <c:v>-269.273349973039</c:v>
                </c:pt>
                <c:pt idx="246">
                  <c:v>-269.299684701818</c:v>
                </c:pt>
                <c:pt idx="247">
                  <c:v>-269.325065068686</c:v>
                </c:pt>
                <c:pt idx="248">
                  <c:v>-269.349525654955</c:v>
                </c:pt>
                <c:pt idx="249">
                  <c:v>-269.373099789353</c:v>
                </c:pt>
              </c:numCache>
            </c:numRef>
          </c:yVal>
          <c:smooth val="0"/>
        </c:ser>
        <c:axId val="45063404"/>
        <c:axId val="3905067"/>
      </c:scatterChart>
      <c:valAx>
        <c:axId val="45063404"/>
        <c:scaling>
          <c:logBase val="10"/>
          <c:orientation val="minMax"/>
          <c:max val="10"/>
          <c:min val="0.001"/>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Frequency (rad/s)</a:t>
                </a:r>
              </a:p>
            </c:rich>
          </c:tx>
          <c:overlay val="0"/>
          <c:spPr>
            <a:noFill/>
            <a:ln w="0">
              <a:noFill/>
            </a:ln>
          </c:spPr>
        </c:title>
        <c:numFmt formatCode="0.00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05067"/>
        <c:crosses val="min"/>
        <c:crossBetween val="midCat"/>
      </c:valAx>
      <c:valAx>
        <c:axId val="3905067"/>
        <c:scaling>
          <c:orientation val="minMax"/>
          <c:max val="0"/>
          <c:min val="-27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Phase (deg)</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06340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Closed-loop pH response — all four controllers</a:t>
            </a:r>
          </a:p>
        </c:rich>
      </c:tx>
      <c:overlay val="0"/>
      <c:spPr>
        <a:noFill/>
        <a:ln w="0">
          <a:noFill/>
        </a:ln>
      </c:spPr>
    </c:title>
    <c:autoTitleDeleted val="0"/>
    <c:plotArea>
      <c:scatterChart>
        <c:scatterStyle val="line"/>
        <c:varyColors val="0"/>
        <c:ser>
          <c:idx val="0"/>
          <c:order val="0"/>
          <c:tx>
            <c:strRef>
              <c:f>"Setpoint"</c:f>
              <c:strCache>
                <c:ptCount val="1"/>
                <c:pt idx="0">
                  <c:v>Setpoint</c:v>
                </c:pt>
              </c:strCache>
            </c:strRef>
          </c:tx>
          <c:spPr>
            <a:solidFill>
              <a:srgbClr val="000000"/>
            </a:solidFill>
            <a:ln w="14040">
              <a:solidFill>
                <a:srgbClr val="0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12_Traces!$B$5:$B$1704</c:f>
              <c:numCache>
                <c:formatCode>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7</c:v>
                </c:pt>
                <c:pt idx="201">
                  <c:v>7</c:v>
                </c:pt>
                <c:pt idx="202">
                  <c:v>7</c:v>
                </c:pt>
                <c:pt idx="203">
                  <c:v>7</c:v>
                </c:pt>
                <c:pt idx="204">
                  <c:v>7</c:v>
                </c:pt>
                <c:pt idx="205">
                  <c:v>7</c:v>
                </c:pt>
                <c:pt idx="206">
                  <c:v>7</c:v>
                </c:pt>
                <c:pt idx="207">
                  <c:v>7</c:v>
                </c:pt>
                <c:pt idx="208">
                  <c:v>7</c:v>
                </c:pt>
                <c:pt idx="209">
                  <c:v>7</c:v>
                </c:pt>
                <c:pt idx="210">
                  <c:v>7</c:v>
                </c:pt>
                <c:pt idx="211">
                  <c:v>7</c:v>
                </c:pt>
                <c:pt idx="212">
                  <c:v>7</c:v>
                </c:pt>
                <c:pt idx="213">
                  <c:v>7</c:v>
                </c:pt>
                <c:pt idx="214">
                  <c:v>7</c:v>
                </c:pt>
                <c:pt idx="215">
                  <c:v>7</c:v>
                </c:pt>
                <c:pt idx="216">
                  <c:v>7</c:v>
                </c:pt>
                <c:pt idx="217">
                  <c:v>7</c:v>
                </c:pt>
                <c:pt idx="218">
                  <c:v>7</c:v>
                </c:pt>
                <c:pt idx="219">
                  <c:v>7</c:v>
                </c:pt>
                <c:pt idx="220">
                  <c:v>7</c:v>
                </c:pt>
                <c:pt idx="221">
                  <c:v>7</c:v>
                </c:pt>
                <c:pt idx="222">
                  <c:v>7</c:v>
                </c:pt>
                <c:pt idx="223">
                  <c:v>7</c:v>
                </c:pt>
                <c:pt idx="224">
                  <c:v>7</c:v>
                </c:pt>
                <c:pt idx="225">
                  <c:v>7</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7</c:v>
                </c:pt>
                <c:pt idx="256">
                  <c:v>7</c:v>
                </c:pt>
                <c:pt idx="257">
                  <c:v>7</c:v>
                </c:pt>
                <c:pt idx="258">
                  <c:v>7</c:v>
                </c:pt>
                <c:pt idx="259">
                  <c:v>7</c:v>
                </c:pt>
                <c:pt idx="260">
                  <c:v>7</c:v>
                </c:pt>
                <c:pt idx="261">
                  <c:v>7</c:v>
                </c:pt>
                <c:pt idx="262">
                  <c:v>7</c:v>
                </c:pt>
                <c:pt idx="263">
                  <c:v>7</c:v>
                </c:pt>
                <c:pt idx="264">
                  <c:v>7</c:v>
                </c:pt>
                <c:pt idx="265">
                  <c:v>7</c:v>
                </c:pt>
                <c:pt idx="266">
                  <c:v>7</c:v>
                </c:pt>
                <c:pt idx="267">
                  <c:v>7</c:v>
                </c:pt>
                <c:pt idx="268">
                  <c:v>7</c:v>
                </c:pt>
                <c:pt idx="269">
                  <c:v>7</c:v>
                </c:pt>
                <c:pt idx="270">
                  <c:v>7</c:v>
                </c:pt>
                <c:pt idx="271">
                  <c:v>7</c:v>
                </c:pt>
                <c:pt idx="272">
                  <c:v>7</c:v>
                </c:pt>
                <c:pt idx="273">
                  <c:v>7</c:v>
                </c:pt>
                <c:pt idx="274">
                  <c:v>7</c:v>
                </c:pt>
                <c:pt idx="275">
                  <c:v>7</c:v>
                </c:pt>
                <c:pt idx="276">
                  <c:v>7</c:v>
                </c:pt>
                <c:pt idx="277">
                  <c:v>7</c:v>
                </c:pt>
                <c:pt idx="278">
                  <c:v>7</c:v>
                </c:pt>
                <c:pt idx="279">
                  <c:v>7</c:v>
                </c:pt>
                <c:pt idx="280">
                  <c:v>7</c:v>
                </c:pt>
                <c:pt idx="281">
                  <c:v>7</c:v>
                </c:pt>
                <c:pt idx="282">
                  <c:v>7</c:v>
                </c:pt>
                <c:pt idx="283">
                  <c:v>7</c:v>
                </c:pt>
                <c:pt idx="284">
                  <c:v>7</c:v>
                </c:pt>
                <c:pt idx="285">
                  <c:v>7</c:v>
                </c:pt>
                <c:pt idx="286">
                  <c:v>7</c:v>
                </c:pt>
                <c:pt idx="287">
                  <c:v>7</c:v>
                </c:pt>
                <c:pt idx="288">
                  <c:v>7</c:v>
                </c:pt>
                <c:pt idx="289">
                  <c:v>7</c:v>
                </c:pt>
                <c:pt idx="290">
                  <c:v>7</c:v>
                </c:pt>
                <c:pt idx="291">
                  <c:v>7</c:v>
                </c:pt>
                <c:pt idx="292">
                  <c:v>7</c:v>
                </c:pt>
                <c:pt idx="293">
                  <c:v>7</c:v>
                </c:pt>
                <c:pt idx="294">
                  <c:v>7</c:v>
                </c:pt>
                <c:pt idx="295">
                  <c:v>7</c:v>
                </c:pt>
                <c:pt idx="296">
                  <c:v>7</c:v>
                </c:pt>
                <c:pt idx="297">
                  <c:v>7</c:v>
                </c:pt>
                <c:pt idx="298">
                  <c:v>7</c:v>
                </c:pt>
                <c:pt idx="299">
                  <c:v>7</c:v>
                </c:pt>
                <c:pt idx="300">
                  <c:v>7</c:v>
                </c:pt>
                <c:pt idx="301">
                  <c:v>7</c:v>
                </c:pt>
                <c:pt idx="302">
                  <c:v>7</c:v>
                </c:pt>
                <c:pt idx="303">
                  <c:v>7</c:v>
                </c:pt>
                <c:pt idx="304">
                  <c:v>7</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7</c:v>
                </c:pt>
                <c:pt idx="333">
                  <c:v>7</c:v>
                </c:pt>
                <c:pt idx="334">
                  <c:v>7</c:v>
                </c:pt>
                <c:pt idx="335">
                  <c:v>7</c:v>
                </c:pt>
                <c:pt idx="336">
                  <c:v>7</c:v>
                </c:pt>
                <c:pt idx="337">
                  <c:v>7</c:v>
                </c:pt>
                <c:pt idx="338">
                  <c:v>7</c:v>
                </c:pt>
                <c:pt idx="339">
                  <c:v>7</c:v>
                </c:pt>
                <c:pt idx="340">
                  <c:v>7</c:v>
                </c:pt>
                <c:pt idx="341">
                  <c:v>7</c:v>
                </c:pt>
                <c:pt idx="342">
                  <c:v>7</c:v>
                </c:pt>
                <c:pt idx="343">
                  <c:v>7</c:v>
                </c:pt>
                <c:pt idx="344">
                  <c:v>7</c:v>
                </c:pt>
                <c:pt idx="345">
                  <c:v>7</c:v>
                </c:pt>
                <c:pt idx="346">
                  <c:v>7</c:v>
                </c:pt>
                <c:pt idx="347">
                  <c:v>7</c:v>
                </c:pt>
                <c:pt idx="348">
                  <c:v>7</c:v>
                </c:pt>
                <c:pt idx="349">
                  <c:v>7</c:v>
                </c:pt>
                <c:pt idx="350">
                  <c:v>7</c:v>
                </c:pt>
                <c:pt idx="351">
                  <c:v>7</c:v>
                </c:pt>
                <c:pt idx="352">
                  <c:v>7</c:v>
                </c:pt>
                <c:pt idx="353">
                  <c:v>7</c:v>
                </c:pt>
                <c:pt idx="354">
                  <c:v>7</c:v>
                </c:pt>
                <c:pt idx="355">
                  <c:v>7</c:v>
                </c:pt>
                <c:pt idx="356">
                  <c:v>7</c:v>
                </c:pt>
                <c:pt idx="357">
                  <c:v>7</c:v>
                </c:pt>
                <c:pt idx="358">
                  <c:v>7</c:v>
                </c:pt>
                <c:pt idx="359">
                  <c:v>7</c:v>
                </c:pt>
                <c:pt idx="360">
                  <c:v>7</c:v>
                </c:pt>
                <c:pt idx="361">
                  <c:v>7</c:v>
                </c:pt>
                <c:pt idx="362">
                  <c:v>7</c:v>
                </c:pt>
                <c:pt idx="363">
                  <c:v>7</c:v>
                </c:pt>
                <c:pt idx="364">
                  <c:v>7</c:v>
                </c:pt>
                <c:pt idx="365">
                  <c:v>7</c:v>
                </c:pt>
                <c:pt idx="366">
                  <c:v>7</c:v>
                </c:pt>
                <c:pt idx="367">
                  <c:v>7</c:v>
                </c:pt>
                <c:pt idx="368">
                  <c:v>7</c:v>
                </c:pt>
                <c:pt idx="369">
                  <c:v>7</c:v>
                </c:pt>
                <c:pt idx="370">
                  <c:v>7</c:v>
                </c:pt>
                <c:pt idx="371">
                  <c:v>7</c:v>
                </c:pt>
                <c:pt idx="372">
                  <c:v>7</c:v>
                </c:pt>
                <c:pt idx="373">
                  <c:v>7</c:v>
                </c:pt>
                <c:pt idx="374">
                  <c:v>7</c:v>
                </c:pt>
                <c:pt idx="375">
                  <c:v>7</c:v>
                </c:pt>
                <c:pt idx="376">
                  <c:v>7</c:v>
                </c:pt>
                <c:pt idx="377">
                  <c:v>7</c:v>
                </c:pt>
                <c:pt idx="378">
                  <c:v>7</c:v>
                </c:pt>
                <c:pt idx="379">
                  <c:v>7</c:v>
                </c:pt>
                <c:pt idx="380">
                  <c:v>7</c:v>
                </c:pt>
                <c:pt idx="381">
                  <c:v>7</c:v>
                </c:pt>
                <c:pt idx="382">
                  <c:v>7</c:v>
                </c:pt>
                <c:pt idx="383">
                  <c:v>7</c:v>
                </c:pt>
                <c:pt idx="384">
                  <c:v>7</c:v>
                </c:pt>
                <c:pt idx="385">
                  <c:v>7</c:v>
                </c:pt>
                <c:pt idx="386">
                  <c:v>7</c:v>
                </c:pt>
                <c:pt idx="387">
                  <c:v>7</c:v>
                </c:pt>
                <c:pt idx="388">
                  <c:v>7</c:v>
                </c:pt>
                <c:pt idx="389">
                  <c:v>7</c:v>
                </c:pt>
                <c:pt idx="390">
                  <c:v>7</c:v>
                </c:pt>
                <c:pt idx="391">
                  <c:v>7</c:v>
                </c:pt>
                <c:pt idx="392">
                  <c:v>7</c:v>
                </c:pt>
                <c:pt idx="393">
                  <c:v>7</c:v>
                </c:pt>
                <c:pt idx="394">
                  <c:v>7</c:v>
                </c:pt>
                <c:pt idx="395">
                  <c:v>7</c:v>
                </c:pt>
                <c:pt idx="396">
                  <c:v>7</c:v>
                </c:pt>
                <c:pt idx="397">
                  <c:v>7</c:v>
                </c:pt>
                <c:pt idx="398">
                  <c:v>7</c:v>
                </c:pt>
                <c:pt idx="399">
                  <c:v>7</c:v>
                </c:pt>
                <c:pt idx="400">
                  <c:v>7</c:v>
                </c:pt>
                <c:pt idx="401">
                  <c:v>7</c:v>
                </c:pt>
                <c:pt idx="402">
                  <c:v>7</c:v>
                </c:pt>
                <c:pt idx="403">
                  <c:v>7</c:v>
                </c:pt>
                <c:pt idx="404">
                  <c:v>7</c:v>
                </c:pt>
                <c:pt idx="405">
                  <c:v>7</c:v>
                </c:pt>
                <c:pt idx="406">
                  <c:v>7</c:v>
                </c:pt>
                <c:pt idx="407">
                  <c:v>7</c:v>
                </c:pt>
                <c:pt idx="408">
                  <c:v>7</c:v>
                </c:pt>
                <c:pt idx="409">
                  <c:v>7</c:v>
                </c:pt>
                <c:pt idx="410">
                  <c:v>7</c:v>
                </c:pt>
                <c:pt idx="411">
                  <c:v>7</c:v>
                </c:pt>
                <c:pt idx="412">
                  <c:v>7</c:v>
                </c:pt>
                <c:pt idx="413">
                  <c:v>7</c:v>
                </c:pt>
                <c:pt idx="414">
                  <c:v>7</c:v>
                </c:pt>
                <c:pt idx="415">
                  <c:v>7</c:v>
                </c:pt>
                <c:pt idx="416">
                  <c:v>7</c:v>
                </c:pt>
                <c:pt idx="417">
                  <c:v>7</c:v>
                </c:pt>
                <c:pt idx="418">
                  <c:v>7</c:v>
                </c:pt>
                <c:pt idx="419">
                  <c:v>7</c:v>
                </c:pt>
                <c:pt idx="420">
                  <c:v>7</c:v>
                </c:pt>
                <c:pt idx="421">
                  <c:v>7</c:v>
                </c:pt>
                <c:pt idx="422">
                  <c:v>7</c:v>
                </c:pt>
                <c:pt idx="423">
                  <c:v>7</c:v>
                </c:pt>
                <c:pt idx="424">
                  <c:v>7</c:v>
                </c:pt>
                <c:pt idx="425">
                  <c:v>7</c:v>
                </c:pt>
                <c:pt idx="426">
                  <c:v>7</c:v>
                </c:pt>
                <c:pt idx="427">
                  <c:v>7</c:v>
                </c:pt>
                <c:pt idx="428">
                  <c:v>7</c:v>
                </c:pt>
                <c:pt idx="429">
                  <c:v>7</c:v>
                </c:pt>
                <c:pt idx="430">
                  <c:v>7</c:v>
                </c:pt>
                <c:pt idx="431">
                  <c:v>7</c:v>
                </c:pt>
                <c:pt idx="432">
                  <c:v>7</c:v>
                </c:pt>
                <c:pt idx="433">
                  <c:v>7</c:v>
                </c:pt>
                <c:pt idx="434">
                  <c:v>7</c:v>
                </c:pt>
                <c:pt idx="435">
                  <c:v>7</c:v>
                </c:pt>
                <c:pt idx="436">
                  <c:v>7</c:v>
                </c:pt>
                <c:pt idx="437">
                  <c:v>7</c:v>
                </c:pt>
                <c:pt idx="438">
                  <c:v>7</c:v>
                </c:pt>
                <c:pt idx="439">
                  <c:v>7</c:v>
                </c:pt>
                <c:pt idx="440">
                  <c:v>7</c:v>
                </c:pt>
                <c:pt idx="441">
                  <c:v>7</c:v>
                </c:pt>
                <c:pt idx="442">
                  <c:v>7</c:v>
                </c:pt>
                <c:pt idx="443">
                  <c:v>7</c:v>
                </c:pt>
                <c:pt idx="444">
                  <c:v>7</c:v>
                </c:pt>
                <c:pt idx="445">
                  <c:v>7</c:v>
                </c:pt>
                <c:pt idx="446">
                  <c:v>7</c:v>
                </c:pt>
                <c:pt idx="447">
                  <c:v>7</c:v>
                </c:pt>
                <c:pt idx="448">
                  <c:v>7</c:v>
                </c:pt>
                <c:pt idx="449">
                  <c:v>7</c:v>
                </c:pt>
                <c:pt idx="450">
                  <c:v>7</c:v>
                </c:pt>
                <c:pt idx="451">
                  <c:v>7</c:v>
                </c:pt>
                <c:pt idx="452">
                  <c:v>7</c:v>
                </c:pt>
                <c:pt idx="453">
                  <c:v>7</c:v>
                </c:pt>
                <c:pt idx="454">
                  <c:v>7</c:v>
                </c:pt>
                <c:pt idx="455">
                  <c:v>7</c:v>
                </c:pt>
                <c:pt idx="456">
                  <c:v>7</c:v>
                </c:pt>
                <c:pt idx="457">
                  <c:v>7</c:v>
                </c:pt>
                <c:pt idx="458">
                  <c:v>7</c:v>
                </c:pt>
                <c:pt idx="459">
                  <c:v>7</c:v>
                </c:pt>
                <c:pt idx="460">
                  <c:v>7</c:v>
                </c:pt>
                <c:pt idx="461">
                  <c:v>7</c:v>
                </c:pt>
                <c:pt idx="462">
                  <c:v>7</c:v>
                </c:pt>
                <c:pt idx="463">
                  <c:v>7</c:v>
                </c:pt>
                <c:pt idx="464">
                  <c:v>7</c:v>
                </c:pt>
                <c:pt idx="465">
                  <c:v>7</c:v>
                </c:pt>
                <c:pt idx="466">
                  <c:v>7</c:v>
                </c:pt>
                <c:pt idx="467">
                  <c:v>7</c:v>
                </c:pt>
                <c:pt idx="468">
                  <c:v>7</c:v>
                </c:pt>
                <c:pt idx="469">
                  <c:v>7</c:v>
                </c:pt>
                <c:pt idx="470">
                  <c:v>7</c:v>
                </c:pt>
                <c:pt idx="471">
                  <c:v>7</c:v>
                </c:pt>
                <c:pt idx="472">
                  <c:v>7</c:v>
                </c:pt>
                <c:pt idx="473">
                  <c:v>7</c:v>
                </c:pt>
                <c:pt idx="474">
                  <c:v>7</c:v>
                </c:pt>
                <c:pt idx="475">
                  <c:v>7</c:v>
                </c:pt>
                <c:pt idx="476">
                  <c:v>7</c:v>
                </c:pt>
                <c:pt idx="477">
                  <c:v>7</c:v>
                </c:pt>
                <c:pt idx="478">
                  <c:v>7</c:v>
                </c:pt>
                <c:pt idx="479">
                  <c:v>7</c:v>
                </c:pt>
                <c:pt idx="480">
                  <c:v>7</c:v>
                </c:pt>
                <c:pt idx="481">
                  <c:v>7</c:v>
                </c:pt>
                <c:pt idx="482">
                  <c:v>7</c:v>
                </c:pt>
                <c:pt idx="483">
                  <c:v>7</c:v>
                </c:pt>
                <c:pt idx="484">
                  <c:v>7</c:v>
                </c:pt>
                <c:pt idx="485">
                  <c:v>7</c:v>
                </c:pt>
                <c:pt idx="486">
                  <c:v>7</c:v>
                </c:pt>
                <c:pt idx="487">
                  <c:v>7</c:v>
                </c:pt>
                <c:pt idx="488">
                  <c:v>7</c:v>
                </c:pt>
                <c:pt idx="489">
                  <c:v>7</c:v>
                </c:pt>
                <c:pt idx="490">
                  <c:v>7</c:v>
                </c:pt>
                <c:pt idx="491">
                  <c:v>7</c:v>
                </c:pt>
                <c:pt idx="492">
                  <c:v>7</c:v>
                </c:pt>
                <c:pt idx="493">
                  <c:v>7</c:v>
                </c:pt>
                <c:pt idx="494">
                  <c:v>7</c:v>
                </c:pt>
                <c:pt idx="495">
                  <c:v>7</c:v>
                </c:pt>
                <c:pt idx="496">
                  <c:v>7</c:v>
                </c:pt>
                <c:pt idx="497">
                  <c:v>7</c:v>
                </c:pt>
                <c:pt idx="498">
                  <c:v>7</c:v>
                </c:pt>
                <c:pt idx="499">
                  <c:v>7</c:v>
                </c:pt>
                <c:pt idx="500">
                  <c:v>7</c:v>
                </c:pt>
                <c:pt idx="501">
                  <c:v>7</c:v>
                </c:pt>
                <c:pt idx="502">
                  <c:v>7</c:v>
                </c:pt>
                <c:pt idx="503">
                  <c:v>7</c:v>
                </c:pt>
                <c:pt idx="504">
                  <c:v>7</c:v>
                </c:pt>
                <c:pt idx="505">
                  <c:v>7</c:v>
                </c:pt>
                <c:pt idx="506">
                  <c:v>7</c:v>
                </c:pt>
                <c:pt idx="507">
                  <c:v>7</c:v>
                </c:pt>
                <c:pt idx="508">
                  <c:v>7</c:v>
                </c:pt>
                <c:pt idx="509">
                  <c:v>7</c:v>
                </c:pt>
                <c:pt idx="510">
                  <c:v>7</c:v>
                </c:pt>
                <c:pt idx="511">
                  <c:v>7</c:v>
                </c:pt>
                <c:pt idx="512">
                  <c:v>7</c:v>
                </c:pt>
                <c:pt idx="513">
                  <c:v>7</c:v>
                </c:pt>
                <c:pt idx="514">
                  <c:v>7</c:v>
                </c:pt>
                <c:pt idx="515">
                  <c:v>7</c:v>
                </c:pt>
                <c:pt idx="516">
                  <c:v>7</c:v>
                </c:pt>
                <c:pt idx="517">
                  <c:v>7</c:v>
                </c:pt>
                <c:pt idx="518">
                  <c:v>7</c:v>
                </c:pt>
                <c:pt idx="519">
                  <c:v>7</c:v>
                </c:pt>
                <c:pt idx="520">
                  <c:v>7</c:v>
                </c:pt>
                <c:pt idx="521">
                  <c:v>7</c:v>
                </c:pt>
                <c:pt idx="522">
                  <c:v>7</c:v>
                </c:pt>
                <c:pt idx="523">
                  <c:v>7</c:v>
                </c:pt>
                <c:pt idx="524">
                  <c:v>7</c:v>
                </c:pt>
                <c:pt idx="525">
                  <c:v>7</c:v>
                </c:pt>
                <c:pt idx="526">
                  <c:v>7</c:v>
                </c:pt>
                <c:pt idx="527">
                  <c:v>7</c:v>
                </c:pt>
                <c:pt idx="528">
                  <c:v>7</c:v>
                </c:pt>
                <c:pt idx="529">
                  <c:v>7</c:v>
                </c:pt>
                <c:pt idx="530">
                  <c:v>7</c:v>
                </c:pt>
                <c:pt idx="531">
                  <c:v>7</c:v>
                </c:pt>
                <c:pt idx="532">
                  <c:v>7</c:v>
                </c:pt>
                <c:pt idx="533">
                  <c:v>7</c:v>
                </c:pt>
                <c:pt idx="534">
                  <c:v>7</c:v>
                </c:pt>
                <c:pt idx="535">
                  <c:v>7</c:v>
                </c:pt>
                <c:pt idx="536">
                  <c:v>7</c:v>
                </c:pt>
                <c:pt idx="537">
                  <c:v>7</c:v>
                </c:pt>
                <c:pt idx="538">
                  <c:v>7</c:v>
                </c:pt>
                <c:pt idx="539">
                  <c:v>7</c:v>
                </c:pt>
                <c:pt idx="540">
                  <c:v>7</c:v>
                </c:pt>
                <c:pt idx="541">
                  <c:v>7</c:v>
                </c:pt>
                <c:pt idx="542">
                  <c:v>7</c:v>
                </c:pt>
                <c:pt idx="543">
                  <c:v>7</c:v>
                </c:pt>
                <c:pt idx="544">
                  <c:v>7</c:v>
                </c:pt>
                <c:pt idx="545">
                  <c:v>7</c:v>
                </c:pt>
                <c:pt idx="546">
                  <c:v>7</c:v>
                </c:pt>
                <c:pt idx="547">
                  <c:v>7</c:v>
                </c:pt>
                <c:pt idx="548">
                  <c:v>7</c:v>
                </c:pt>
                <c:pt idx="549">
                  <c:v>7</c:v>
                </c:pt>
                <c:pt idx="550">
                  <c:v>7</c:v>
                </c:pt>
                <c:pt idx="551">
                  <c:v>7</c:v>
                </c:pt>
                <c:pt idx="552">
                  <c:v>7</c:v>
                </c:pt>
                <c:pt idx="553">
                  <c:v>7</c:v>
                </c:pt>
                <c:pt idx="554">
                  <c:v>7</c:v>
                </c:pt>
                <c:pt idx="555">
                  <c:v>7</c:v>
                </c:pt>
                <c:pt idx="556">
                  <c:v>7</c:v>
                </c:pt>
                <c:pt idx="557">
                  <c:v>7</c:v>
                </c:pt>
                <c:pt idx="558">
                  <c:v>7</c:v>
                </c:pt>
                <c:pt idx="559">
                  <c:v>7</c:v>
                </c:pt>
                <c:pt idx="560">
                  <c:v>7</c:v>
                </c:pt>
                <c:pt idx="561">
                  <c:v>7</c:v>
                </c:pt>
                <c:pt idx="562">
                  <c:v>7</c:v>
                </c:pt>
                <c:pt idx="563">
                  <c:v>7</c:v>
                </c:pt>
                <c:pt idx="564">
                  <c:v>7</c:v>
                </c:pt>
                <c:pt idx="565">
                  <c:v>7</c:v>
                </c:pt>
                <c:pt idx="566">
                  <c:v>7</c:v>
                </c:pt>
                <c:pt idx="567">
                  <c:v>7</c:v>
                </c:pt>
                <c:pt idx="568">
                  <c:v>7</c:v>
                </c:pt>
                <c:pt idx="569">
                  <c:v>7</c:v>
                </c:pt>
                <c:pt idx="570">
                  <c:v>7</c:v>
                </c:pt>
                <c:pt idx="571">
                  <c:v>7</c:v>
                </c:pt>
                <c:pt idx="572">
                  <c:v>7</c:v>
                </c:pt>
                <c:pt idx="573">
                  <c:v>7</c:v>
                </c:pt>
                <c:pt idx="574">
                  <c:v>7</c:v>
                </c:pt>
                <c:pt idx="575">
                  <c:v>7</c:v>
                </c:pt>
                <c:pt idx="576">
                  <c:v>7</c:v>
                </c:pt>
                <c:pt idx="577">
                  <c:v>7</c:v>
                </c:pt>
                <c:pt idx="578">
                  <c:v>7</c:v>
                </c:pt>
                <c:pt idx="579">
                  <c:v>7</c:v>
                </c:pt>
                <c:pt idx="580">
                  <c:v>7</c:v>
                </c:pt>
                <c:pt idx="581">
                  <c:v>7</c:v>
                </c:pt>
                <c:pt idx="582">
                  <c:v>7</c:v>
                </c:pt>
                <c:pt idx="583">
                  <c:v>7</c:v>
                </c:pt>
                <c:pt idx="584">
                  <c:v>7</c:v>
                </c:pt>
                <c:pt idx="585">
                  <c:v>7</c:v>
                </c:pt>
                <c:pt idx="586">
                  <c:v>7</c:v>
                </c:pt>
                <c:pt idx="587">
                  <c:v>7</c:v>
                </c:pt>
                <c:pt idx="588">
                  <c:v>7</c:v>
                </c:pt>
                <c:pt idx="589">
                  <c:v>7</c:v>
                </c:pt>
                <c:pt idx="590">
                  <c:v>7</c:v>
                </c:pt>
                <c:pt idx="591">
                  <c:v>7</c:v>
                </c:pt>
                <c:pt idx="592">
                  <c:v>7</c:v>
                </c:pt>
                <c:pt idx="593">
                  <c:v>7</c:v>
                </c:pt>
                <c:pt idx="594">
                  <c:v>7</c:v>
                </c:pt>
                <c:pt idx="595">
                  <c:v>7</c:v>
                </c:pt>
                <c:pt idx="596">
                  <c:v>7</c:v>
                </c:pt>
                <c:pt idx="597">
                  <c:v>7</c:v>
                </c:pt>
                <c:pt idx="598">
                  <c:v>7</c:v>
                </c:pt>
                <c:pt idx="599">
                  <c:v>7</c:v>
                </c:pt>
                <c:pt idx="600">
                  <c:v>8</c:v>
                </c:pt>
                <c:pt idx="601">
                  <c:v>8</c:v>
                </c:pt>
                <c:pt idx="602">
                  <c:v>8</c:v>
                </c:pt>
                <c:pt idx="603">
                  <c:v>8</c:v>
                </c:pt>
                <c:pt idx="604">
                  <c:v>8</c:v>
                </c:pt>
                <c:pt idx="605">
                  <c:v>8</c:v>
                </c:pt>
                <c:pt idx="606">
                  <c:v>8</c:v>
                </c:pt>
                <c:pt idx="607">
                  <c:v>8</c:v>
                </c:pt>
                <c:pt idx="608">
                  <c:v>8</c:v>
                </c:pt>
                <c:pt idx="609">
                  <c:v>8</c:v>
                </c:pt>
                <c:pt idx="610">
                  <c:v>8</c:v>
                </c:pt>
                <c:pt idx="611">
                  <c:v>8</c:v>
                </c:pt>
                <c:pt idx="612">
                  <c:v>8</c:v>
                </c:pt>
                <c:pt idx="613">
                  <c:v>8</c:v>
                </c:pt>
                <c:pt idx="614">
                  <c:v>8</c:v>
                </c:pt>
                <c:pt idx="615">
                  <c:v>8</c:v>
                </c:pt>
                <c:pt idx="616">
                  <c:v>8</c:v>
                </c:pt>
                <c:pt idx="617">
                  <c:v>8</c:v>
                </c:pt>
                <c:pt idx="618">
                  <c:v>8</c:v>
                </c:pt>
                <c:pt idx="619">
                  <c:v>8</c:v>
                </c:pt>
                <c:pt idx="620">
                  <c:v>8</c:v>
                </c:pt>
                <c:pt idx="621">
                  <c:v>8</c:v>
                </c:pt>
                <c:pt idx="622">
                  <c:v>8</c:v>
                </c:pt>
                <c:pt idx="623">
                  <c:v>8</c:v>
                </c:pt>
                <c:pt idx="624">
                  <c:v>8</c:v>
                </c:pt>
                <c:pt idx="625">
                  <c:v>8</c:v>
                </c:pt>
                <c:pt idx="626">
                  <c:v>8</c:v>
                </c:pt>
                <c:pt idx="627">
                  <c:v>8</c:v>
                </c:pt>
                <c:pt idx="628">
                  <c:v>8</c:v>
                </c:pt>
                <c:pt idx="629">
                  <c:v>8</c:v>
                </c:pt>
                <c:pt idx="630">
                  <c:v>8</c:v>
                </c:pt>
                <c:pt idx="631">
                  <c:v>8</c:v>
                </c:pt>
                <c:pt idx="632">
                  <c:v>8</c:v>
                </c:pt>
                <c:pt idx="633">
                  <c:v>8</c:v>
                </c:pt>
                <c:pt idx="634">
                  <c:v>8</c:v>
                </c:pt>
                <c:pt idx="635">
                  <c:v>8</c:v>
                </c:pt>
                <c:pt idx="636">
                  <c:v>8</c:v>
                </c:pt>
                <c:pt idx="637">
                  <c:v>8</c:v>
                </c:pt>
                <c:pt idx="638">
                  <c:v>8</c:v>
                </c:pt>
                <c:pt idx="639">
                  <c:v>8</c:v>
                </c:pt>
                <c:pt idx="640">
                  <c:v>8</c:v>
                </c:pt>
                <c:pt idx="641">
                  <c:v>8</c:v>
                </c:pt>
                <c:pt idx="642">
                  <c:v>8</c:v>
                </c:pt>
                <c:pt idx="643">
                  <c:v>8</c:v>
                </c:pt>
                <c:pt idx="644">
                  <c:v>8</c:v>
                </c:pt>
                <c:pt idx="645">
                  <c:v>8</c:v>
                </c:pt>
                <c:pt idx="646">
                  <c:v>8</c:v>
                </c:pt>
                <c:pt idx="647">
                  <c:v>8</c:v>
                </c:pt>
                <c:pt idx="648">
                  <c:v>8</c:v>
                </c:pt>
                <c:pt idx="649">
                  <c:v>8</c:v>
                </c:pt>
                <c:pt idx="650">
                  <c:v>8</c:v>
                </c:pt>
                <c:pt idx="651">
                  <c:v>8</c:v>
                </c:pt>
                <c:pt idx="652">
                  <c:v>8</c:v>
                </c:pt>
                <c:pt idx="653">
                  <c:v>8</c:v>
                </c:pt>
                <c:pt idx="654">
                  <c:v>8</c:v>
                </c:pt>
                <c:pt idx="655">
                  <c:v>8</c:v>
                </c:pt>
                <c:pt idx="656">
                  <c:v>8</c:v>
                </c:pt>
                <c:pt idx="657">
                  <c:v>8</c:v>
                </c:pt>
                <c:pt idx="658">
                  <c:v>8</c:v>
                </c:pt>
                <c:pt idx="659">
                  <c:v>8</c:v>
                </c:pt>
                <c:pt idx="660">
                  <c:v>8</c:v>
                </c:pt>
                <c:pt idx="661">
                  <c:v>8</c:v>
                </c:pt>
                <c:pt idx="662">
                  <c:v>8</c:v>
                </c:pt>
                <c:pt idx="663">
                  <c:v>8</c:v>
                </c:pt>
                <c:pt idx="664">
                  <c:v>8</c:v>
                </c:pt>
                <c:pt idx="665">
                  <c:v>8</c:v>
                </c:pt>
                <c:pt idx="666">
                  <c:v>8</c:v>
                </c:pt>
                <c:pt idx="667">
                  <c:v>8</c:v>
                </c:pt>
                <c:pt idx="668">
                  <c:v>8</c:v>
                </c:pt>
                <c:pt idx="669">
                  <c:v>8</c:v>
                </c:pt>
                <c:pt idx="670">
                  <c:v>8</c:v>
                </c:pt>
                <c:pt idx="671">
                  <c:v>8</c:v>
                </c:pt>
                <c:pt idx="672">
                  <c:v>8</c:v>
                </c:pt>
                <c:pt idx="673">
                  <c:v>8</c:v>
                </c:pt>
                <c:pt idx="674">
                  <c:v>8</c:v>
                </c:pt>
                <c:pt idx="675">
                  <c:v>8</c:v>
                </c:pt>
                <c:pt idx="676">
                  <c:v>8</c:v>
                </c:pt>
                <c:pt idx="677">
                  <c:v>8</c:v>
                </c:pt>
                <c:pt idx="678">
                  <c:v>8</c:v>
                </c:pt>
                <c:pt idx="679">
                  <c:v>8</c:v>
                </c:pt>
                <c:pt idx="680">
                  <c:v>8</c:v>
                </c:pt>
                <c:pt idx="681">
                  <c:v>8</c:v>
                </c:pt>
                <c:pt idx="682">
                  <c:v>8</c:v>
                </c:pt>
                <c:pt idx="683">
                  <c:v>8</c:v>
                </c:pt>
                <c:pt idx="684">
                  <c:v>8</c:v>
                </c:pt>
                <c:pt idx="685">
                  <c:v>8</c:v>
                </c:pt>
                <c:pt idx="686">
                  <c:v>8</c:v>
                </c:pt>
                <c:pt idx="687">
                  <c:v>8</c:v>
                </c:pt>
                <c:pt idx="688">
                  <c:v>8</c:v>
                </c:pt>
                <c:pt idx="689">
                  <c:v>8</c:v>
                </c:pt>
                <c:pt idx="690">
                  <c:v>8</c:v>
                </c:pt>
                <c:pt idx="691">
                  <c:v>8</c:v>
                </c:pt>
                <c:pt idx="692">
                  <c:v>8</c:v>
                </c:pt>
                <c:pt idx="693">
                  <c:v>8</c:v>
                </c:pt>
                <c:pt idx="694">
                  <c:v>8</c:v>
                </c:pt>
                <c:pt idx="695">
                  <c:v>8</c:v>
                </c:pt>
                <c:pt idx="696">
                  <c:v>8</c:v>
                </c:pt>
                <c:pt idx="697">
                  <c:v>8</c:v>
                </c:pt>
                <c:pt idx="698">
                  <c:v>8</c:v>
                </c:pt>
                <c:pt idx="699">
                  <c:v>8</c:v>
                </c:pt>
                <c:pt idx="700">
                  <c:v>8</c:v>
                </c:pt>
                <c:pt idx="701">
                  <c:v>8</c:v>
                </c:pt>
                <c:pt idx="702">
                  <c:v>8</c:v>
                </c:pt>
                <c:pt idx="703">
                  <c:v>8</c:v>
                </c:pt>
                <c:pt idx="704">
                  <c:v>8</c:v>
                </c:pt>
                <c:pt idx="705">
                  <c:v>8</c:v>
                </c:pt>
                <c:pt idx="706">
                  <c:v>8</c:v>
                </c:pt>
                <c:pt idx="707">
                  <c:v>8</c:v>
                </c:pt>
                <c:pt idx="708">
                  <c:v>8</c:v>
                </c:pt>
                <c:pt idx="709">
                  <c:v>8</c:v>
                </c:pt>
                <c:pt idx="710">
                  <c:v>8</c:v>
                </c:pt>
                <c:pt idx="711">
                  <c:v>8</c:v>
                </c:pt>
                <c:pt idx="712">
                  <c:v>8</c:v>
                </c:pt>
                <c:pt idx="713">
                  <c:v>8</c:v>
                </c:pt>
                <c:pt idx="714">
                  <c:v>8</c:v>
                </c:pt>
                <c:pt idx="715">
                  <c:v>8</c:v>
                </c:pt>
                <c:pt idx="716">
                  <c:v>8</c:v>
                </c:pt>
                <c:pt idx="717">
                  <c:v>8</c:v>
                </c:pt>
                <c:pt idx="718">
                  <c:v>8</c:v>
                </c:pt>
                <c:pt idx="719">
                  <c:v>8</c:v>
                </c:pt>
                <c:pt idx="720">
                  <c:v>8</c:v>
                </c:pt>
                <c:pt idx="721">
                  <c:v>8</c:v>
                </c:pt>
                <c:pt idx="722">
                  <c:v>8</c:v>
                </c:pt>
                <c:pt idx="723">
                  <c:v>8</c:v>
                </c:pt>
                <c:pt idx="724">
                  <c:v>8</c:v>
                </c:pt>
                <c:pt idx="725">
                  <c:v>8</c:v>
                </c:pt>
                <c:pt idx="726">
                  <c:v>8</c:v>
                </c:pt>
                <c:pt idx="727">
                  <c:v>8</c:v>
                </c:pt>
                <c:pt idx="728">
                  <c:v>8</c:v>
                </c:pt>
                <c:pt idx="729">
                  <c:v>8</c:v>
                </c:pt>
                <c:pt idx="730">
                  <c:v>8</c:v>
                </c:pt>
                <c:pt idx="731">
                  <c:v>8</c:v>
                </c:pt>
                <c:pt idx="732">
                  <c:v>8</c:v>
                </c:pt>
                <c:pt idx="733">
                  <c:v>8</c:v>
                </c:pt>
                <c:pt idx="734">
                  <c:v>8</c:v>
                </c:pt>
                <c:pt idx="735">
                  <c:v>8</c:v>
                </c:pt>
                <c:pt idx="736">
                  <c:v>8</c:v>
                </c:pt>
                <c:pt idx="737">
                  <c:v>8</c:v>
                </c:pt>
                <c:pt idx="738">
                  <c:v>8</c:v>
                </c:pt>
                <c:pt idx="739">
                  <c:v>8</c:v>
                </c:pt>
                <c:pt idx="740">
                  <c:v>8</c:v>
                </c:pt>
                <c:pt idx="741">
                  <c:v>8</c:v>
                </c:pt>
                <c:pt idx="742">
                  <c:v>8</c:v>
                </c:pt>
                <c:pt idx="743">
                  <c:v>8</c:v>
                </c:pt>
                <c:pt idx="744">
                  <c:v>8</c:v>
                </c:pt>
                <c:pt idx="745">
                  <c:v>8</c:v>
                </c:pt>
                <c:pt idx="746">
                  <c:v>8</c:v>
                </c:pt>
                <c:pt idx="747">
                  <c:v>8</c:v>
                </c:pt>
                <c:pt idx="748">
                  <c:v>8</c:v>
                </c:pt>
                <c:pt idx="749">
                  <c:v>8</c:v>
                </c:pt>
                <c:pt idx="750">
                  <c:v>8</c:v>
                </c:pt>
                <c:pt idx="751">
                  <c:v>8</c:v>
                </c:pt>
                <c:pt idx="752">
                  <c:v>8</c:v>
                </c:pt>
                <c:pt idx="753">
                  <c:v>8</c:v>
                </c:pt>
                <c:pt idx="754">
                  <c:v>8</c:v>
                </c:pt>
                <c:pt idx="755">
                  <c:v>8</c:v>
                </c:pt>
                <c:pt idx="756">
                  <c:v>8</c:v>
                </c:pt>
                <c:pt idx="757">
                  <c:v>8</c:v>
                </c:pt>
                <c:pt idx="758">
                  <c:v>8</c:v>
                </c:pt>
                <c:pt idx="759">
                  <c:v>8</c:v>
                </c:pt>
                <c:pt idx="760">
                  <c:v>8</c:v>
                </c:pt>
                <c:pt idx="761">
                  <c:v>8</c:v>
                </c:pt>
                <c:pt idx="762">
                  <c:v>8</c:v>
                </c:pt>
                <c:pt idx="763">
                  <c:v>8</c:v>
                </c:pt>
                <c:pt idx="764">
                  <c:v>8</c:v>
                </c:pt>
                <c:pt idx="765">
                  <c:v>8</c:v>
                </c:pt>
                <c:pt idx="766">
                  <c:v>8</c:v>
                </c:pt>
                <c:pt idx="767">
                  <c:v>8</c:v>
                </c:pt>
                <c:pt idx="768">
                  <c:v>8</c:v>
                </c:pt>
                <c:pt idx="769">
                  <c:v>8</c:v>
                </c:pt>
                <c:pt idx="770">
                  <c:v>8</c:v>
                </c:pt>
                <c:pt idx="771">
                  <c:v>8</c:v>
                </c:pt>
                <c:pt idx="772">
                  <c:v>8</c:v>
                </c:pt>
                <c:pt idx="773">
                  <c:v>8</c:v>
                </c:pt>
                <c:pt idx="774">
                  <c:v>8</c:v>
                </c:pt>
                <c:pt idx="775">
                  <c:v>8</c:v>
                </c:pt>
                <c:pt idx="776">
                  <c:v>8</c:v>
                </c:pt>
                <c:pt idx="777">
                  <c:v>8</c:v>
                </c:pt>
                <c:pt idx="778">
                  <c:v>8</c:v>
                </c:pt>
                <c:pt idx="779">
                  <c:v>8</c:v>
                </c:pt>
                <c:pt idx="780">
                  <c:v>8</c:v>
                </c:pt>
                <c:pt idx="781">
                  <c:v>8</c:v>
                </c:pt>
                <c:pt idx="782">
                  <c:v>8</c:v>
                </c:pt>
                <c:pt idx="783">
                  <c:v>8</c:v>
                </c:pt>
                <c:pt idx="784">
                  <c:v>8</c:v>
                </c:pt>
                <c:pt idx="785">
                  <c:v>8</c:v>
                </c:pt>
                <c:pt idx="786">
                  <c:v>8</c:v>
                </c:pt>
                <c:pt idx="787">
                  <c:v>8</c:v>
                </c:pt>
                <c:pt idx="788">
                  <c:v>8</c:v>
                </c:pt>
                <c:pt idx="789">
                  <c:v>8</c:v>
                </c:pt>
                <c:pt idx="790">
                  <c:v>8</c:v>
                </c:pt>
                <c:pt idx="791">
                  <c:v>8</c:v>
                </c:pt>
                <c:pt idx="792">
                  <c:v>8</c:v>
                </c:pt>
                <c:pt idx="793">
                  <c:v>8</c:v>
                </c:pt>
                <c:pt idx="794">
                  <c:v>8</c:v>
                </c:pt>
                <c:pt idx="795">
                  <c:v>8</c:v>
                </c:pt>
                <c:pt idx="796">
                  <c:v>8</c:v>
                </c:pt>
                <c:pt idx="797">
                  <c:v>8</c:v>
                </c:pt>
                <c:pt idx="798">
                  <c:v>8</c:v>
                </c:pt>
                <c:pt idx="799">
                  <c:v>8</c:v>
                </c:pt>
                <c:pt idx="800">
                  <c:v>7</c:v>
                </c:pt>
                <c:pt idx="801">
                  <c:v>7</c:v>
                </c:pt>
                <c:pt idx="802">
                  <c:v>7</c:v>
                </c:pt>
                <c:pt idx="803">
                  <c:v>7</c:v>
                </c:pt>
                <c:pt idx="804">
                  <c:v>7</c:v>
                </c:pt>
                <c:pt idx="805">
                  <c:v>7</c:v>
                </c:pt>
                <c:pt idx="806">
                  <c:v>7</c:v>
                </c:pt>
                <c:pt idx="807">
                  <c:v>7</c:v>
                </c:pt>
                <c:pt idx="808">
                  <c:v>7</c:v>
                </c:pt>
                <c:pt idx="809">
                  <c:v>7</c:v>
                </c:pt>
                <c:pt idx="810">
                  <c:v>7</c:v>
                </c:pt>
                <c:pt idx="811">
                  <c:v>7</c:v>
                </c:pt>
                <c:pt idx="812">
                  <c:v>7</c:v>
                </c:pt>
                <c:pt idx="813">
                  <c:v>7</c:v>
                </c:pt>
                <c:pt idx="814">
                  <c:v>7</c:v>
                </c:pt>
                <c:pt idx="815">
                  <c:v>7</c:v>
                </c:pt>
                <c:pt idx="816">
                  <c:v>7</c:v>
                </c:pt>
                <c:pt idx="817">
                  <c:v>7</c:v>
                </c:pt>
                <c:pt idx="818">
                  <c:v>7</c:v>
                </c:pt>
                <c:pt idx="819">
                  <c:v>7</c:v>
                </c:pt>
                <c:pt idx="820">
                  <c:v>7</c:v>
                </c:pt>
                <c:pt idx="821">
                  <c:v>7</c:v>
                </c:pt>
                <c:pt idx="822">
                  <c:v>7</c:v>
                </c:pt>
                <c:pt idx="823">
                  <c:v>7</c:v>
                </c:pt>
                <c:pt idx="824">
                  <c:v>7</c:v>
                </c:pt>
                <c:pt idx="825">
                  <c:v>7</c:v>
                </c:pt>
                <c:pt idx="826">
                  <c:v>7</c:v>
                </c:pt>
                <c:pt idx="827">
                  <c:v>7</c:v>
                </c:pt>
                <c:pt idx="828">
                  <c:v>7</c:v>
                </c:pt>
                <c:pt idx="829">
                  <c:v>7</c:v>
                </c:pt>
                <c:pt idx="830">
                  <c:v>7</c:v>
                </c:pt>
                <c:pt idx="831">
                  <c:v>7</c:v>
                </c:pt>
                <c:pt idx="832">
                  <c:v>7</c:v>
                </c:pt>
                <c:pt idx="833">
                  <c:v>7</c:v>
                </c:pt>
                <c:pt idx="834">
                  <c:v>7</c:v>
                </c:pt>
                <c:pt idx="835">
                  <c:v>7</c:v>
                </c:pt>
                <c:pt idx="836">
                  <c:v>7</c:v>
                </c:pt>
                <c:pt idx="837">
                  <c:v>7</c:v>
                </c:pt>
                <c:pt idx="838">
                  <c:v>7</c:v>
                </c:pt>
                <c:pt idx="839">
                  <c:v>7</c:v>
                </c:pt>
                <c:pt idx="840">
                  <c:v>7</c:v>
                </c:pt>
                <c:pt idx="841">
                  <c:v>7</c:v>
                </c:pt>
                <c:pt idx="842">
                  <c:v>7</c:v>
                </c:pt>
                <c:pt idx="843">
                  <c:v>7</c:v>
                </c:pt>
                <c:pt idx="844">
                  <c:v>7</c:v>
                </c:pt>
                <c:pt idx="845">
                  <c:v>7</c:v>
                </c:pt>
                <c:pt idx="846">
                  <c:v>7</c:v>
                </c:pt>
                <c:pt idx="847">
                  <c:v>7</c:v>
                </c:pt>
                <c:pt idx="848">
                  <c:v>7</c:v>
                </c:pt>
                <c:pt idx="849">
                  <c:v>7</c:v>
                </c:pt>
                <c:pt idx="850">
                  <c:v>7</c:v>
                </c:pt>
                <c:pt idx="851">
                  <c:v>7</c:v>
                </c:pt>
                <c:pt idx="852">
                  <c:v>7</c:v>
                </c:pt>
                <c:pt idx="853">
                  <c:v>7</c:v>
                </c:pt>
                <c:pt idx="854">
                  <c:v>7</c:v>
                </c:pt>
                <c:pt idx="855">
                  <c:v>7</c:v>
                </c:pt>
                <c:pt idx="856">
                  <c:v>7</c:v>
                </c:pt>
                <c:pt idx="857">
                  <c:v>7</c:v>
                </c:pt>
                <c:pt idx="858">
                  <c:v>7</c:v>
                </c:pt>
                <c:pt idx="859">
                  <c:v>7</c:v>
                </c:pt>
                <c:pt idx="860">
                  <c:v>7</c:v>
                </c:pt>
                <c:pt idx="861">
                  <c:v>7</c:v>
                </c:pt>
                <c:pt idx="862">
                  <c:v>7</c:v>
                </c:pt>
                <c:pt idx="863">
                  <c:v>7</c:v>
                </c:pt>
                <c:pt idx="864">
                  <c:v>7</c:v>
                </c:pt>
                <c:pt idx="865">
                  <c:v>7</c:v>
                </c:pt>
                <c:pt idx="866">
                  <c:v>7</c:v>
                </c:pt>
                <c:pt idx="867">
                  <c:v>7</c:v>
                </c:pt>
                <c:pt idx="868">
                  <c:v>7</c:v>
                </c:pt>
                <c:pt idx="869">
                  <c:v>7</c:v>
                </c:pt>
                <c:pt idx="870">
                  <c:v>7</c:v>
                </c:pt>
                <c:pt idx="871">
                  <c:v>7</c:v>
                </c:pt>
                <c:pt idx="872">
                  <c:v>7</c:v>
                </c:pt>
                <c:pt idx="873">
                  <c:v>7</c:v>
                </c:pt>
                <c:pt idx="874">
                  <c:v>7</c:v>
                </c:pt>
                <c:pt idx="875">
                  <c:v>7</c:v>
                </c:pt>
                <c:pt idx="876">
                  <c:v>7</c:v>
                </c:pt>
                <c:pt idx="877">
                  <c:v>7</c:v>
                </c:pt>
                <c:pt idx="878">
                  <c:v>7</c:v>
                </c:pt>
                <c:pt idx="879">
                  <c:v>7</c:v>
                </c:pt>
                <c:pt idx="880">
                  <c:v>7</c:v>
                </c:pt>
                <c:pt idx="881">
                  <c:v>7</c:v>
                </c:pt>
                <c:pt idx="882">
                  <c:v>7</c:v>
                </c:pt>
                <c:pt idx="883">
                  <c:v>7</c:v>
                </c:pt>
                <c:pt idx="884">
                  <c:v>7</c:v>
                </c:pt>
                <c:pt idx="885">
                  <c:v>7</c:v>
                </c:pt>
                <c:pt idx="886">
                  <c:v>7</c:v>
                </c:pt>
                <c:pt idx="887">
                  <c:v>7</c:v>
                </c:pt>
                <c:pt idx="888">
                  <c:v>7</c:v>
                </c:pt>
                <c:pt idx="889">
                  <c:v>7</c:v>
                </c:pt>
                <c:pt idx="890">
                  <c:v>7</c:v>
                </c:pt>
                <c:pt idx="891">
                  <c:v>7</c:v>
                </c:pt>
                <c:pt idx="892">
                  <c:v>7</c:v>
                </c:pt>
                <c:pt idx="893">
                  <c:v>7</c:v>
                </c:pt>
                <c:pt idx="894">
                  <c:v>7</c:v>
                </c:pt>
                <c:pt idx="895">
                  <c:v>7</c:v>
                </c:pt>
                <c:pt idx="896">
                  <c:v>7</c:v>
                </c:pt>
                <c:pt idx="897">
                  <c:v>7</c:v>
                </c:pt>
                <c:pt idx="898">
                  <c:v>7</c:v>
                </c:pt>
                <c:pt idx="899">
                  <c:v>7</c:v>
                </c:pt>
                <c:pt idx="900">
                  <c:v>7</c:v>
                </c:pt>
                <c:pt idx="901">
                  <c:v>7</c:v>
                </c:pt>
                <c:pt idx="902">
                  <c:v>7</c:v>
                </c:pt>
                <c:pt idx="903">
                  <c:v>7</c:v>
                </c:pt>
                <c:pt idx="904">
                  <c:v>7</c:v>
                </c:pt>
                <c:pt idx="905">
                  <c:v>7</c:v>
                </c:pt>
                <c:pt idx="906">
                  <c:v>7</c:v>
                </c:pt>
                <c:pt idx="907">
                  <c:v>7</c:v>
                </c:pt>
                <c:pt idx="908">
                  <c:v>7</c:v>
                </c:pt>
                <c:pt idx="909">
                  <c:v>7</c:v>
                </c:pt>
                <c:pt idx="910">
                  <c:v>7</c:v>
                </c:pt>
                <c:pt idx="911">
                  <c:v>7</c:v>
                </c:pt>
                <c:pt idx="912">
                  <c:v>7</c:v>
                </c:pt>
                <c:pt idx="913">
                  <c:v>7</c:v>
                </c:pt>
                <c:pt idx="914">
                  <c:v>7</c:v>
                </c:pt>
                <c:pt idx="915">
                  <c:v>7</c:v>
                </c:pt>
                <c:pt idx="916">
                  <c:v>7</c:v>
                </c:pt>
                <c:pt idx="917">
                  <c:v>7</c:v>
                </c:pt>
                <c:pt idx="918">
                  <c:v>7</c:v>
                </c:pt>
                <c:pt idx="919">
                  <c:v>7</c:v>
                </c:pt>
                <c:pt idx="920">
                  <c:v>7</c:v>
                </c:pt>
                <c:pt idx="921">
                  <c:v>7</c:v>
                </c:pt>
                <c:pt idx="922">
                  <c:v>7</c:v>
                </c:pt>
                <c:pt idx="923">
                  <c:v>7</c:v>
                </c:pt>
                <c:pt idx="924">
                  <c:v>7</c:v>
                </c:pt>
                <c:pt idx="925">
                  <c:v>7</c:v>
                </c:pt>
                <c:pt idx="926">
                  <c:v>7</c:v>
                </c:pt>
                <c:pt idx="927">
                  <c:v>7</c:v>
                </c:pt>
                <c:pt idx="928">
                  <c:v>7</c:v>
                </c:pt>
                <c:pt idx="929">
                  <c:v>7</c:v>
                </c:pt>
                <c:pt idx="930">
                  <c:v>7</c:v>
                </c:pt>
                <c:pt idx="931">
                  <c:v>7</c:v>
                </c:pt>
                <c:pt idx="932">
                  <c:v>7</c:v>
                </c:pt>
                <c:pt idx="933">
                  <c:v>7</c:v>
                </c:pt>
                <c:pt idx="934">
                  <c:v>7</c:v>
                </c:pt>
                <c:pt idx="935">
                  <c:v>7</c:v>
                </c:pt>
                <c:pt idx="936">
                  <c:v>7</c:v>
                </c:pt>
                <c:pt idx="937">
                  <c:v>7</c:v>
                </c:pt>
                <c:pt idx="938">
                  <c:v>7</c:v>
                </c:pt>
                <c:pt idx="939">
                  <c:v>7</c:v>
                </c:pt>
                <c:pt idx="940">
                  <c:v>7</c:v>
                </c:pt>
                <c:pt idx="941">
                  <c:v>7</c:v>
                </c:pt>
                <c:pt idx="942">
                  <c:v>7</c:v>
                </c:pt>
                <c:pt idx="943">
                  <c:v>7</c:v>
                </c:pt>
                <c:pt idx="944">
                  <c:v>7</c:v>
                </c:pt>
                <c:pt idx="945">
                  <c:v>7</c:v>
                </c:pt>
                <c:pt idx="946">
                  <c:v>7</c:v>
                </c:pt>
                <c:pt idx="947">
                  <c:v>7</c:v>
                </c:pt>
                <c:pt idx="948">
                  <c:v>7</c:v>
                </c:pt>
                <c:pt idx="949">
                  <c:v>7</c:v>
                </c:pt>
                <c:pt idx="950">
                  <c:v>7</c:v>
                </c:pt>
                <c:pt idx="951">
                  <c:v>7</c:v>
                </c:pt>
                <c:pt idx="952">
                  <c:v>7</c:v>
                </c:pt>
                <c:pt idx="953">
                  <c:v>7</c:v>
                </c:pt>
                <c:pt idx="954">
                  <c:v>7</c:v>
                </c:pt>
                <c:pt idx="955">
                  <c:v>7</c:v>
                </c:pt>
                <c:pt idx="956">
                  <c:v>7</c:v>
                </c:pt>
                <c:pt idx="957">
                  <c:v>7</c:v>
                </c:pt>
                <c:pt idx="958">
                  <c:v>7</c:v>
                </c:pt>
                <c:pt idx="959">
                  <c:v>7</c:v>
                </c:pt>
                <c:pt idx="960">
                  <c:v>7</c:v>
                </c:pt>
                <c:pt idx="961">
                  <c:v>7</c:v>
                </c:pt>
                <c:pt idx="962">
                  <c:v>7</c:v>
                </c:pt>
                <c:pt idx="963">
                  <c:v>7</c:v>
                </c:pt>
                <c:pt idx="964">
                  <c:v>7</c:v>
                </c:pt>
                <c:pt idx="965">
                  <c:v>7</c:v>
                </c:pt>
                <c:pt idx="966">
                  <c:v>7</c:v>
                </c:pt>
                <c:pt idx="967">
                  <c:v>7</c:v>
                </c:pt>
                <c:pt idx="968">
                  <c:v>7</c:v>
                </c:pt>
                <c:pt idx="969">
                  <c:v>7</c:v>
                </c:pt>
                <c:pt idx="970">
                  <c:v>7</c:v>
                </c:pt>
                <c:pt idx="971">
                  <c:v>7</c:v>
                </c:pt>
                <c:pt idx="972">
                  <c:v>7</c:v>
                </c:pt>
                <c:pt idx="973">
                  <c:v>7</c:v>
                </c:pt>
                <c:pt idx="974">
                  <c:v>7</c:v>
                </c:pt>
                <c:pt idx="975">
                  <c:v>7</c:v>
                </c:pt>
                <c:pt idx="976">
                  <c:v>7</c:v>
                </c:pt>
                <c:pt idx="977">
                  <c:v>7</c:v>
                </c:pt>
                <c:pt idx="978">
                  <c:v>7</c:v>
                </c:pt>
                <c:pt idx="979">
                  <c:v>7</c:v>
                </c:pt>
                <c:pt idx="980">
                  <c:v>7</c:v>
                </c:pt>
                <c:pt idx="981">
                  <c:v>7</c:v>
                </c:pt>
                <c:pt idx="982">
                  <c:v>7</c:v>
                </c:pt>
                <c:pt idx="983">
                  <c:v>7</c:v>
                </c:pt>
                <c:pt idx="984">
                  <c:v>7</c:v>
                </c:pt>
                <c:pt idx="985">
                  <c:v>7</c:v>
                </c:pt>
                <c:pt idx="986">
                  <c:v>7</c:v>
                </c:pt>
                <c:pt idx="987">
                  <c:v>7</c:v>
                </c:pt>
                <c:pt idx="988">
                  <c:v>7</c:v>
                </c:pt>
                <c:pt idx="989">
                  <c:v>7</c:v>
                </c:pt>
                <c:pt idx="990">
                  <c:v>7</c:v>
                </c:pt>
                <c:pt idx="991">
                  <c:v>7</c:v>
                </c:pt>
                <c:pt idx="992">
                  <c:v>7</c:v>
                </c:pt>
                <c:pt idx="993">
                  <c:v>7</c:v>
                </c:pt>
                <c:pt idx="994">
                  <c:v>7</c:v>
                </c:pt>
                <c:pt idx="995">
                  <c:v>7</c:v>
                </c:pt>
                <c:pt idx="996">
                  <c:v>7</c:v>
                </c:pt>
                <c:pt idx="997">
                  <c:v>7</c:v>
                </c:pt>
                <c:pt idx="998">
                  <c:v>7</c:v>
                </c:pt>
                <c:pt idx="999">
                  <c:v>7</c:v>
                </c:pt>
                <c:pt idx="1000">
                  <c:v>6</c:v>
                </c:pt>
                <c:pt idx="1001">
                  <c:v>6</c:v>
                </c:pt>
                <c:pt idx="1002">
                  <c:v>6</c:v>
                </c:pt>
                <c:pt idx="1003">
                  <c:v>6</c:v>
                </c:pt>
                <c:pt idx="1004">
                  <c:v>6</c:v>
                </c:pt>
                <c:pt idx="1005">
                  <c:v>6</c:v>
                </c:pt>
                <c:pt idx="1006">
                  <c:v>6</c:v>
                </c:pt>
                <c:pt idx="1007">
                  <c:v>6</c:v>
                </c:pt>
                <c:pt idx="1008">
                  <c:v>6</c:v>
                </c:pt>
                <c:pt idx="1009">
                  <c:v>6</c:v>
                </c:pt>
                <c:pt idx="1010">
                  <c:v>6</c:v>
                </c:pt>
                <c:pt idx="1011">
                  <c:v>6</c:v>
                </c:pt>
                <c:pt idx="1012">
                  <c:v>6</c:v>
                </c:pt>
                <c:pt idx="1013">
                  <c:v>6</c:v>
                </c:pt>
                <c:pt idx="1014">
                  <c:v>6</c:v>
                </c:pt>
                <c:pt idx="1015">
                  <c:v>6</c:v>
                </c:pt>
                <c:pt idx="1016">
                  <c:v>6</c:v>
                </c:pt>
                <c:pt idx="1017">
                  <c:v>6</c:v>
                </c:pt>
                <c:pt idx="1018">
                  <c:v>6</c:v>
                </c:pt>
                <c:pt idx="1019">
                  <c:v>6</c:v>
                </c:pt>
                <c:pt idx="1020">
                  <c:v>6</c:v>
                </c:pt>
                <c:pt idx="1021">
                  <c:v>6</c:v>
                </c:pt>
                <c:pt idx="1022">
                  <c:v>6</c:v>
                </c:pt>
                <c:pt idx="1023">
                  <c:v>6</c:v>
                </c:pt>
                <c:pt idx="1024">
                  <c:v>6</c:v>
                </c:pt>
                <c:pt idx="1025">
                  <c:v>6</c:v>
                </c:pt>
                <c:pt idx="1026">
                  <c:v>6</c:v>
                </c:pt>
                <c:pt idx="1027">
                  <c:v>6</c:v>
                </c:pt>
                <c:pt idx="1028">
                  <c:v>6</c:v>
                </c:pt>
                <c:pt idx="1029">
                  <c:v>6</c:v>
                </c:pt>
                <c:pt idx="1030">
                  <c:v>6</c:v>
                </c:pt>
                <c:pt idx="1031">
                  <c:v>6</c:v>
                </c:pt>
                <c:pt idx="1032">
                  <c:v>6</c:v>
                </c:pt>
                <c:pt idx="1033">
                  <c:v>6</c:v>
                </c:pt>
                <c:pt idx="1034">
                  <c:v>6</c:v>
                </c:pt>
                <c:pt idx="1035">
                  <c:v>6</c:v>
                </c:pt>
                <c:pt idx="1036">
                  <c:v>6</c:v>
                </c:pt>
                <c:pt idx="1037">
                  <c:v>6</c:v>
                </c:pt>
                <c:pt idx="1038">
                  <c:v>6</c:v>
                </c:pt>
                <c:pt idx="1039">
                  <c:v>6</c:v>
                </c:pt>
                <c:pt idx="1040">
                  <c:v>6</c:v>
                </c:pt>
                <c:pt idx="1041">
                  <c:v>6</c:v>
                </c:pt>
                <c:pt idx="1042">
                  <c:v>6</c:v>
                </c:pt>
                <c:pt idx="1043">
                  <c:v>6</c:v>
                </c:pt>
                <c:pt idx="1044">
                  <c:v>6</c:v>
                </c:pt>
                <c:pt idx="1045">
                  <c:v>6</c:v>
                </c:pt>
                <c:pt idx="1046">
                  <c:v>6</c:v>
                </c:pt>
                <c:pt idx="1047">
                  <c:v>6</c:v>
                </c:pt>
                <c:pt idx="1048">
                  <c:v>6</c:v>
                </c:pt>
                <c:pt idx="1049">
                  <c:v>6</c:v>
                </c:pt>
                <c:pt idx="1050">
                  <c:v>6</c:v>
                </c:pt>
                <c:pt idx="1051">
                  <c:v>6</c:v>
                </c:pt>
                <c:pt idx="1052">
                  <c:v>6</c:v>
                </c:pt>
                <c:pt idx="1053">
                  <c:v>6</c:v>
                </c:pt>
                <c:pt idx="1054">
                  <c:v>6</c:v>
                </c:pt>
                <c:pt idx="1055">
                  <c:v>6</c:v>
                </c:pt>
                <c:pt idx="1056">
                  <c:v>6</c:v>
                </c:pt>
                <c:pt idx="1057">
                  <c:v>6</c:v>
                </c:pt>
                <c:pt idx="1058">
                  <c:v>6</c:v>
                </c:pt>
                <c:pt idx="1059">
                  <c:v>6</c:v>
                </c:pt>
                <c:pt idx="1060">
                  <c:v>6</c:v>
                </c:pt>
                <c:pt idx="1061">
                  <c:v>6</c:v>
                </c:pt>
                <c:pt idx="1062">
                  <c:v>6</c:v>
                </c:pt>
                <c:pt idx="1063">
                  <c:v>6</c:v>
                </c:pt>
                <c:pt idx="1064">
                  <c:v>6</c:v>
                </c:pt>
                <c:pt idx="1065">
                  <c:v>6</c:v>
                </c:pt>
                <c:pt idx="1066">
                  <c:v>6</c:v>
                </c:pt>
                <c:pt idx="1067">
                  <c:v>6</c:v>
                </c:pt>
                <c:pt idx="1068">
                  <c:v>6</c:v>
                </c:pt>
                <c:pt idx="1069">
                  <c:v>6</c:v>
                </c:pt>
                <c:pt idx="1070">
                  <c:v>6</c:v>
                </c:pt>
                <c:pt idx="1071">
                  <c:v>6</c:v>
                </c:pt>
                <c:pt idx="1072">
                  <c:v>6</c:v>
                </c:pt>
                <c:pt idx="1073">
                  <c:v>6</c:v>
                </c:pt>
                <c:pt idx="1074">
                  <c:v>6</c:v>
                </c:pt>
                <c:pt idx="1075">
                  <c:v>6</c:v>
                </c:pt>
                <c:pt idx="1076">
                  <c:v>6</c:v>
                </c:pt>
                <c:pt idx="1077">
                  <c:v>6</c:v>
                </c:pt>
                <c:pt idx="1078">
                  <c:v>6</c:v>
                </c:pt>
                <c:pt idx="1079">
                  <c:v>6</c:v>
                </c:pt>
                <c:pt idx="1080">
                  <c:v>6</c:v>
                </c:pt>
                <c:pt idx="1081">
                  <c:v>6</c:v>
                </c:pt>
                <c:pt idx="1082">
                  <c:v>6</c:v>
                </c:pt>
                <c:pt idx="1083">
                  <c:v>6</c:v>
                </c:pt>
                <c:pt idx="1084">
                  <c:v>6</c:v>
                </c:pt>
                <c:pt idx="1085">
                  <c:v>6</c:v>
                </c:pt>
                <c:pt idx="1086">
                  <c:v>6</c:v>
                </c:pt>
                <c:pt idx="1087">
                  <c:v>6</c:v>
                </c:pt>
                <c:pt idx="1088">
                  <c:v>6</c:v>
                </c:pt>
                <c:pt idx="1089">
                  <c:v>6</c:v>
                </c:pt>
                <c:pt idx="1090">
                  <c:v>6</c:v>
                </c:pt>
                <c:pt idx="1091">
                  <c:v>6</c:v>
                </c:pt>
                <c:pt idx="1092">
                  <c:v>6</c:v>
                </c:pt>
                <c:pt idx="1093">
                  <c:v>6</c:v>
                </c:pt>
                <c:pt idx="1094">
                  <c:v>6</c:v>
                </c:pt>
                <c:pt idx="1095">
                  <c:v>6</c:v>
                </c:pt>
                <c:pt idx="1096">
                  <c:v>6</c:v>
                </c:pt>
                <c:pt idx="1097">
                  <c:v>6</c:v>
                </c:pt>
                <c:pt idx="1098">
                  <c:v>6</c:v>
                </c:pt>
                <c:pt idx="1099">
                  <c:v>6</c:v>
                </c:pt>
                <c:pt idx="1100">
                  <c:v>6</c:v>
                </c:pt>
                <c:pt idx="1101">
                  <c:v>6</c:v>
                </c:pt>
                <c:pt idx="1102">
                  <c:v>6</c:v>
                </c:pt>
                <c:pt idx="1103">
                  <c:v>6</c:v>
                </c:pt>
                <c:pt idx="1104">
                  <c:v>6</c:v>
                </c:pt>
                <c:pt idx="1105">
                  <c:v>6</c:v>
                </c:pt>
                <c:pt idx="1106">
                  <c:v>6</c:v>
                </c:pt>
                <c:pt idx="1107">
                  <c:v>6</c:v>
                </c:pt>
                <c:pt idx="1108">
                  <c:v>6</c:v>
                </c:pt>
                <c:pt idx="1109">
                  <c:v>6</c:v>
                </c:pt>
                <c:pt idx="1110">
                  <c:v>6</c:v>
                </c:pt>
                <c:pt idx="1111">
                  <c:v>6</c:v>
                </c:pt>
                <c:pt idx="1112">
                  <c:v>6</c:v>
                </c:pt>
                <c:pt idx="1113">
                  <c:v>6</c:v>
                </c:pt>
                <c:pt idx="1114">
                  <c:v>6</c:v>
                </c:pt>
                <c:pt idx="1115">
                  <c:v>6</c:v>
                </c:pt>
                <c:pt idx="1116">
                  <c:v>6</c:v>
                </c:pt>
                <c:pt idx="1117">
                  <c:v>6</c:v>
                </c:pt>
                <c:pt idx="1118">
                  <c:v>6</c:v>
                </c:pt>
                <c:pt idx="1119">
                  <c:v>6</c:v>
                </c:pt>
                <c:pt idx="1120">
                  <c:v>6</c:v>
                </c:pt>
                <c:pt idx="1121">
                  <c:v>6</c:v>
                </c:pt>
                <c:pt idx="1122">
                  <c:v>6</c:v>
                </c:pt>
                <c:pt idx="1123">
                  <c:v>6</c:v>
                </c:pt>
                <c:pt idx="1124">
                  <c:v>6</c:v>
                </c:pt>
                <c:pt idx="1125">
                  <c:v>6</c:v>
                </c:pt>
                <c:pt idx="1126">
                  <c:v>6</c:v>
                </c:pt>
                <c:pt idx="1127">
                  <c:v>6</c:v>
                </c:pt>
                <c:pt idx="1128">
                  <c:v>6</c:v>
                </c:pt>
                <c:pt idx="1129">
                  <c:v>6</c:v>
                </c:pt>
                <c:pt idx="1130">
                  <c:v>6</c:v>
                </c:pt>
                <c:pt idx="1131">
                  <c:v>6</c:v>
                </c:pt>
                <c:pt idx="1132">
                  <c:v>6</c:v>
                </c:pt>
                <c:pt idx="1133">
                  <c:v>6</c:v>
                </c:pt>
                <c:pt idx="1134">
                  <c:v>6</c:v>
                </c:pt>
                <c:pt idx="1135">
                  <c:v>6</c:v>
                </c:pt>
                <c:pt idx="1136">
                  <c:v>6</c:v>
                </c:pt>
                <c:pt idx="1137">
                  <c:v>6</c:v>
                </c:pt>
                <c:pt idx="1138">
                  <c:v>6</c:v>
                </c:pt>
                <c:pt idx="1139">
                  <c:v>6</c:v>
                </c:pt>
                <c:pt idx="1140">
                  <c:v>6</c:v>
                </c:pt>
                <c:pt idx="1141">
                  <c:v>6</c:v>
                </c:pt>
                <c:pt idx="1142">
                  <c:v>6</c:v>
                </c:pt>
                <c:pt idx="1143">
                  <c:v>6</c:v>
                </c:pt>
                <c:pt idx="1144">
                  <c:v>6</c:v>
                </c:pt>
                <c:pt idx="1145">
                  <c:v>6</c:v>
                </c:pt>
                <c:pt idx="1146">
                  <c:v>6</c:v>
                </c:pt>
                <c:pt idx="1147">
                  <c:v>6</c:v>
                </c:pt>
                <c:pt idx="1148">
                  <c:v>6</c:v>
                </c:pt>
                <c:pt idx="1149">
                  <c:v>6</c:v>
                </c:pt>
                <c:pt idx="1150">
                  <c:v>6</c:v>
                </c:pt>
                <c:pt idx="1151">
                  <c:v>6</c:v>
                </c:pt>
                <c:pt idx="1152">
                  <c:v>6</c:v>
                </c:pt>
                <c:pt idx="1153">
                  <c:v>6</c:v>
                </c:pt>
                <c:pt idx="1154">
                  <c:v>6</c:v>
                </c:pt>
                <c:pt idx="1155">
                  <c:v>6</c:v>
                </c:pt>
                <c:pt idx="1156">
                  <c:v>6</c:v>
                </c:pt>
                <c:pt idx="1157">
                  <c:v>6</c:v>
                </c:pt>
                <c:pt idx="1158">
                  <c:v>6</c:v>
                </c:pt>
                <c:pt idx="1159">
                  <c:v>6</c:v>
                </c:pt>
                <c:pt idx="1160">
                  <c:v>6</c:v>
                </c:pt>
                <c:pt idx="1161">
                  <c:v>6</c:v>
                </c:pt>
                <c:pt idx="1162">
                  <c:v>6</c:v>
                </c:pt>
                <c:pt idx="1163">
                  <c:v>6</c:v>
                </c:pt>
                <c:pt idx="1164">
                  <c:v>6</c:v>
                </c:pt>
                <c:pt idx="1165">
                  <c:v>6</c:v>
                </c:pt>
                <c:pt idx="1166">
                  <c:v>6</c:v>
                </c:pt>
                <c:pt idx="1167">
                  <c:v>6</c:v>
                </c:pt>
                <c:pt idx="1168">
                  <c:v>6</c:v>
                </c:pt>
                <c:pt idx="1169">
                  <c:v>6</c:v>
                </c:pt>
                <c:pt idx="1170">
                  <c:v>6</c:v>
                </c:pt>
                <c:pt idx="1171">
                  <c:v>6</c:v>
                </c:pt>
                <c:pt idx="1172">
                  <c:v>6</c:v>
                </c:pt>
                <c:pt idx="1173">
                  <c:v>6</c:v>
                </c:pt>
                <c:pt idx="1174">
                  <c:v>6</c:v>
                </c:pt>
                <c:pt idx="1175">
                  <c:v>6</c:v>
                </c:pt>
                <c:pt idx="1176">
                  <c:v>6</c:v>
                </c:pt>
                <c:pt idx="1177">
                  <c:v>6</c:v>
                </c:pt>
                <c:pt idx="1178">
                  <c:v>6</c:v>
                </c:pt>
                <c:pt idx="1179">
                  <c:v>6</c:v>
                </c:pt>
                <c:pt idx="1180">
                  <c:v>6</c:v>
                </c:pt>
                <c:pt idx="1181">
                  <c:v>6</c:v>
                </c:pt>
                <c:pt idx="1182">
                  <c:v>6</c:v>
                </c:pt>
                <c:pt idx="1183">
                  <c:v>6</c:v>
                </c:pt>
                <c:pt idx="1184">
                  <c:v>6</c:v>
                </c:pt>
                <c:pt idx="1185">
                  <c:v>6</c:v>
                </c:pt>
                <c:pt idx="1186">
                  <c:v>6</c:v>
                </c:pt>
                <c:pt idx="1187">
                  <c:v>6</c:v>
                </c:pt>
                <c:pt idx="1188">
                  <c:v>6</c:v>
                </c:pt>
                <c:pt idx="1189">
                  <c:v>6</c:v>
                </c:pt>
                <c:pt idx="1190">
                  <c:v>6</c:v>
                </c:pt>
                <c:pt idx="1191">
                  <c:v>6</c:v>
                </c:pt>
                <c:pt idx="1192">
                  <c:v>6</c:v>
                </c:pt>
                <c:pt idx="1193">
                  <c:v>6</c:v>
                </c:pt>
                <c:pt idx="1194">
                  <c:v>6</c:v>
                </c:pt>
                <c:pt idx="1195">
                  <c:v>6</c:v>
                </c:pt>
                <c:pt idx="1196">
                  <c:v>6</c:v>
                </c:pt>
                <c:pt idx="1197">
                  <c:v>6</c:v>
                </c:pt>
                <c:pt idx="1198">
                  <c:v>6</c:v>
                </c:pt>
                <c:pt idx="1199">
                  <c:v>6</c:v>
                </c:pt>
                <c:pt idx="1200">
                  <c:v>6</c:v>
                </c:pt>
                <c:pt idx="1201">
                  <c:v>6</c:v>
                </c:pt>
                <c:pt idx="1202">
                  <c:v>6</c:v>
                </c:pt>
                <c:pt idx="1203">
                  <c:v>6</c:v>
                </c:pt>
                <c:pt idx="1204">
                  <c:v>6</c:v>
                </c:pt>
                <c:pt idx="1205">
                  <c:v>6</c:v>
                </c:pt>
                <c:pt idx="1206">
                  <c:v>6</c:v>
                </c:pt>
                <c:pt idx="1207">
                  <c:v>6</c:v>
                </c:pt>
                <c:pt idx="1208">
                  <c:v>6</c:v>
                </c:pt>
                <c:pt idx="1209">
                  <c:v>6</c:v>
                </c:pt>
                <c:pt idx="1210">
                  <c:v>6</c:v>
                </c:pt>
                <c:pt idx="1211">
                  <c:v>6</c:v>
                </c:pt>
                <c:pt idx="1212">
                  <c:v>6</c:v>
                </c:pt>
                <c:pt idx="1213">
                  <c:v>6</c:v>
                </c:pt>
                <c:pt idx="1214">
                  <c:v>6</c:v>
                </c:pt>
                <c:pt idx="1215">
                  <c:v>6</c:v>
                </c:pt>
                <c:pt idx="1216">
                  <c:v>6</c:v>
                </c:pt>
                <c:pt idx="1217">
                  <c:v>6</c:v>
                </c:pt>
                <c:pt idx="1218">
                  <c:v>6</c:v>
                </c:pt>
                <c:pt idx="1219">
                  <c:v>6</c:v>
                </c:pt>
                <c:pt idx="1220">
                  <c:v>6</c:v>
                </c:pt>
                <c:pt idx="1221">
                  <c:v>6</c:v>
                </c:pt>
                <c:pt idx="1222">
                  <c:v>6</c:v>
                </c:pt>
                <c:pt idx="1223">
                  <c:v>6</c:v>
                </c:pt>
                <c:pt idx="1224">
                  <c:v>6</c:v>
                </c:pt>
                <c:pt idx="1225">
                  <c:v>6</c:v>
                </c:pt>
                <c:pt idx="1226">
                  <c:v>6</c:v>
                </c:pt>
                <c:pt idx="1227">
                  <c:v>6</c:v>
                </c:pt>
                <c:pt idx="1228">
                  <c:v>6</c:v>
                </c:pt>
                <c:pt idx="1229">
                  <c:v>6</c:v>
                </c:pt>
                <c:pt idx="1230">
                  <c:v>6</c:v>
                </c:pt>
                <c:pt idx="1231">
                  <c:v>6</c:v>
                </c:pt>
                <c:pt idx="1232">
                  <c:v>6</c:v>
                </c:pt>
                <c:pt idx="1233">
                  <c:v>6</c:v>
                </c:pt>
                <c:pt idx="1234">
                  <c:v>6</c:v>
                </c:pt>
                <c:pt idx="1235">
                  <c:v>6</c:v>
                </c:pt>
                <c:pt idx="1236">
                  <c:v>6</c:v>
                </c:pt>
                <c:pt idx="1237">
                  <c:v>6</c:v>
                </c:pt>
                <c:pt idx="1238">
                  <c:v>6</c:v>
                </c:pt>
                <c:pt idx="1239">
                  <c:v>6</c:v>
                </c:pt>
                <c:pt idx="1240">
                  <c:v>6</c:v>
                </c:pt>
                <c:pt idx="1241">
                  <c:v>6</c:v>
                </c:pt>
                <c:pt idx="1242">
                  <c:v>6</c:v>
                </c:pt>
                <c:pt idx="1243">
                  <c:v>6</c:v>
                </c:pt>
                <c:pt idx="1244">
                  <c:v>6</c:v>
                </c:pt>
                <c:pt idx="1245">
                  <c:v>6</c:v>
                </c:pt>
                <c:pt idx="1246">
                  <c:v>6</c:v>
                </c:pt>
                <c:pt idx="1247">
                  <c:v>6</c:v>
                </c:pt>
                <c:pt idx="1248">
                  <c:v>6</c:v>
                </c:pt>
                <c:pt idx="1249">
                  <c:v>6</c:v>
                </c:pt>
                <c:pt idx="1250">
                  <c:v>6</c:v>
                </c:pt>
                <c:pt idx="1251">
                  <c:v>6</c:v>
                </c:pt>
                <c:pt idx="1252">
                  <c:v>6</c:v>
                </c:pt>
                <c:pt idx="1253">
                  <c:v>6</c:v>
                </c:pt>
                <c:pt idx="1254">
                  <c:v>6</c:v>
                </c:pt>
                <c:pt idx="1255">
                  <c:v>6</c:v>
                </c:pt>
                <c:pt idx="1256">
                  <c:v>6</c:v>
                </c:pt>
                <c:pt idx="1257">
                  <c:v>6</c:v>
                </c:pt>
                <c:pt idx="1258">
                  <c:v>6</c:v>
                </c:pt>
                <c:pt idx="1259">
                  <c:v>6</c:v>
                </c:pt>
                <c:pt idx="1260">
                  <c:v>6</c:v>
                </c:pt>
                <c:pt idx="1261">
                  <c:v>6</c:v>
                </c:pt>
                <c:pt idx="1262">
                  <c:v>6</c:v>
                </c:pt>
                <c:pt idx="1263">
                  <c:v>6</c:v>
                </c:pt>
                <c:pt idx="1264">
                  <c:v>6</c:v>
                </c:pt>
                <c:pt idx="1265">
                  <c:v>6</c:v>
                </c:pt>
                <c:pt idx="1266">
                  <c:v>6</c:v>
                </c:pt>
                <c:pt idx="1267">
                  <c:v>6</c:v>
                </c:pt>
                <c:pt idx="1268">
                  <c:v>6</c:v>
                </c:pt>
                <c:pt idx="1269">
                  <c:v>6</c:v>
                </c:pt>
                <c:pt idx="1270">
                  <c:v>6</c:v>
                </c:pt>
                <c:pt idx="1271">
                  <c:v>6</c:v>
                </c:pt>
                <c:pt idx="1272">
                  <c:v>6</c:v>
                </c:pt>
                <c:pt idx="1273">
                  <c:v>6</c:v>
                </c:pt>
                <c:pt idx="1274">
                  <c:v>6</c:v>
                </c:pt>
                <c:pt idx="1275">
                  <c:v>6</c:v>
                </c:pt>
                <c:pt idx="1276">
                  <c:v>6</c:v>
                </c:pt>
                <c:pt idx="1277">
                  <c:v>6</c:v>
                </c:pt>
                <c:pt idx="1278">
                  <c:v>6</c:v>
                </c:pt>
                <c:pt idx="1279">
                  <c:v>6</c:v>
                </c:pt>
                <c:pt idx="1280">
                  <c:v>6</c:v>
                </c:pt>
                <c:pt idx="1281">
                  <c:v>6</c:v>
                </c:pt>
                <c:pt idx="1282">
                  <c:v>6</c:v>
                </c:pt>
                <c:pt idx="1283">
                  <c:v>6</c:v>
                </c:pt>
                <c:pt idx="1284">
                  <c:v>6</c:v>
                </c:pt>
                <c:pt idx="1285">
                  <c:v>6</c:v>
                </c:pt>
                <c:pt idx="1286">
                  <c:v>6</c:v>
                </c:pt>
                <c:pt idx="1287">
                  <c:v>6</c:v>
                </c:pt>
                <c:pt idx="1288">
                  <c:v>6</c:v>
                </c:pt>
                <c:pt idx="1289">
                  <c:v>6</c:v>
                </c:pt>
                <c:pt idx="1290">
                  <c:v>6</c:v>
                </c:pt>
                <c:pt idx="1291">
                  <c:v>6</c:v>
                </c:pt>
                <c:pt idx="1292">
                  <c:v>6</c:v>
                </c:pt>
                <c:pt idx="1293">
                  <c:v>6</c:v>
                </c:pt>
                <c:pt idx="1294">
                  <c:v>6</c:v>
                </c:pt>
                <c:pt idx="1295">
                  <c:v>6</c:v>
                </c:pt>
                <c:pt idx="1296">
                  <c:v>6</c:v>
                </c:pt>
                <c:pt idx="1297">
                  <c:v>6</c:v>
                </c:pt>
                <c:pt idx="1298">
                  <c:v>6</c:v>
                </c:pt>
                <c:pt idx="1299">
                  <c:v>6</c:v>
                </c:pt>
                <c:pt idx="1300">
                  <c:v>6</c:v>
                </c:pt>
                <c:pt idx="1301">
                  <c:v>6</c:v>
                </c:pt>
                <c:pt idx="1302">
                  <c:v>6</c:v>
                </c:pt>
                <c:pt idx="1303">
                  <c:v>6</c:v>
                </c:pt>
                <c:pt idx="1304">
                  <c:v>6</c:v>
                </c:pt>
                <c:pt idx="1305">
                  <c:v>6</c:v>
                </c:pt>
                <c:pt idx="1306">
                  <c:v>6</c:v>
                </c:pt>
                <c:pt idx="1307">
                  <c:v>6</c:v>
                </c:pt>
                <c:pt idx="1308">
                  <c:v>6</c:v>
                </c:pt>
                <c:pt idx="1309">
                  <c:v>6</c:v>
                </c:pt>
                <c:pt idx="1310">
                  <c:v>6</c:v>
                </c:pt>
                <c:pt idx="1311">
                  <c:v>6</c:v>
                </c:pt>
                <c:pt idx="1312">
                  <c:v>6</c:v>
                </c:pt>
                <c:pt idx="1313">
                  <c:v>6</c:v>
                </c:pt>
                <c:pt idx="1314">
                  <c:v>6</c:v>
                </c:pt>
                <c:pt idx="1315">
                  <c:v>6</c:v>
                </c:pt>
                <c:pt idx="1316">
                  <c:v>6</c:v>
                </c:pt>
                <c:pt idx="1317">
                  <c:v>6</c:v>
                </c:pt>
                <c:pt idx="1318">
                  <c:v>6</c:v>
                </c:pt>
                <c:pt idx="1319">
                  <c:v>6</c:v>
                </c:pt>
                <c:pt idx="1320">
                  <c:v>6</c:v>
                </c:pt>
                <c:pt idx="1321">
                  <c:v>6</c:v>
                </c:pt>
                <c:pt idx="1322">
                  <c:v>6</c:v>
                </c:pt>
                <c:pt idx="1323">
                  <c:v>6</c:v>
                </c:pt>
                <c:pt idx="1324">
                  <c:v>6</c:v>
                </c:pt>
                <c:pt idx="1325">
                  <c:v>6</c:v>
                </c:pt>
                <c:pt idx="1326">
                  <c:v>6</c:v>
                </c:pt>
                <c:pt idx="1327">
                  <c:v>6</c:v>
                </c:pt>
                <c:pt idx="1328">
                  <c:v>6</c:v>
                </c:pt>
                <c:pt idx="1329">
                  <c:v>6</c:v>
                </c:pt>
                <c:pt idx="1330">
                  <c:v>6</c:v>
                </c:pt>
                <c:pt idx="1331">
                  <c:v>6</c:v>
                </c:pt>
                <c:pt idx="1332">
                  <c:v>6</c:v>
                </c:pt>
                <c:pt idx="1333">
                  <c:v>6</c:v>
                </c:pt>
                <c:pt idx="1334">
                  <c:v>6</c:v>
                </c:pt>
                <c:pt idx="1335">
                  <c:v>6</c:v>
                </c:pt>
                <c:pt idx="1336">
                  <c:v>6</c:v>
                </c:pt>
                <c:pt idx="1337">
                  <c:v>6</c:v>
                </c:pt>
                <c:pt idx="1338">
                  <c:v>6</c:v>
                </c:pt>
                <c:pt idx="1339">
                  <c:v>6</c:v>
                </c:pt>
                <c:pt idx="1340">
                  <c:v>6</c:v>
                </c:pt>
                <c:pt idx="1341">
                  <c:v>6</c:v>
                </c:pt>
                <c:pt idx="1342">
                  <c:v>6</c:v>
                </c:pt>
                <c:pt idx="1343">
                  <c:v>6</c:v>
                </c:pt>
                <c:pt idx="1344">
                  <c:v>6</c:v>
                </c:pt>
                <c:pt idx="1345">
                  <c:v>6</c:v>
                </c:pt>
                <c:pt idx="1346">
                  <c:v>6</c:v>
                </c:pt>
                <c:pt idx="1347">
                  <c:v>6</c:v>
                </c:pt>
                <c:pt idx="1348">
                  <c:v>6</c:v>
                </c:pt>
                <c:pt idx="1349">
                  <c:v>6</c:v>
                </c:pt>
                <c:pt idx="1350">
                  <c:v>6</c:v>
                </c:pt>
                <c:pt idx="1351">
                  <c:v>6</c:v>
                </c:pt>
                <c:pt idx="1352">
                  <c:v>6</c:v>
                </c:pt>
                <c:pt idx="1353">
                  <c:v>6</c:v>
                </c:pt>
                <c:pt idx="1354">
                  <c:v>6</c:v>
                </c:pt>
                <c:pt idx="1355">
                  <c:v>6</c:v>
                </c:pt>
                <c:pt idx="1356">
                  <c:v>6</c:v>
                </c:pt>
                <c:pt idx="1357">
                  <c:v>6</c:v>
                </c:pt>
                <c:pt idx="1358">
                  <c:v>6</c:v>
                </c:pt>
                <c:pt idx="1359">
                  <c:v>6</c:v>
                </c:pt>
                <c:pt idx="1360">
                  <c:v>6</c:v>
                </c:pt>
                <c:pt idx="1361">
                  <c:v>6</c:v>
                </c:pt>
                <c:pt idx="1362">
                  <c:v>6</c:v>
                </c:pt>
                <c:pt idx="1363">
                  <c:v>6</c:v>
                </c:pt>
                <c:pt idx="1364">
                  <c:v>6</c:v>
                </c:pt>
                <c:pt idx="1365">
                  <c:v>6</c:v>
                </c:pt>
                <c:pt idx="1366">
                  <c:v>6</c:v>
                </c:pt>
                <c:pt idx="1367">
                  <c:v>6</c:v>
                </c:pt>
                <c:pt idx="1368">
                  <c:v>6</c:v>
                </c:pt>
                <c:pt idx="1369">
                  <c:v>6</c:v>
                </c:pt>
                <c:pt idx="1370">
                  <c:v>6</c:v>
                </c:pt>
                <c:pt idx="1371">
                  <c:v>6</c:v>
                </c:pt>
                <c:pt idx="1372">
                  <c:v>6</c:v>
                </c:pt>
                <c:pt idx="1373">
                  <c:v>6</c:v>
                </c:pt>
                <c:pt idx="1374">
                  <c:v>6</c:v>
                </c:pt>
                <c:pt idx="1375">
                  <c:v>6</c:v>
                </c:pt>
                <c:pt idx="1376">
                  <c:v>6</c:v>
                </c:pt>
                <c:pt idx="1377">
                  <c:v>6</c:v>
                </c:pt>
                <c:pt idx="1378">
                  <c:v>6</c:v>
                </c:pt>
                <c:pt idx="1379">
                  <c:v>6</c:v>
                </c:pt>
                <c:pt idx="1380">
                  <c:v>6</c:v>
                </c:pt>
                <c:pt idx="1381">
                  <c:v>6</c:v>
                </c:pt>
                <c:pt idx="1382">
                  <c:v>6</c:v>
                </c:pt>
                <c:pt idx="1383">
                  <c:v>6</c:v>
                </c:pt>
                <c:pt idx="1384">
                  <c:v>6</c:v>
                </c:pt>
                <c:pt idx="1385">
                  <c:v>6</c:v>
                </c:pt>
                <c:pt idx="1386">
                  <c:v>6</c:v>
                </c:pt>
                <c:pt idx="1387">
                  <c:v>6</c:v>
                </c:pt>
                <c:pt idx="1388">
                  <c:v>6</c:v>
                </c:pt>
                <c:pt idx="1389">
                  <c:v>6</c:v>
                </c:pt>
                <c:pt idx="1390">
                  <c:v>6</c:v>
                </c:pt>
                <c:pt idx="1391">
                  <c:v>6</c:v>
                </c:pt>
                <c:pt idx="1392">
                  <c:v>6</c:v>
                </c:pt>
                <c:pt idx="1393">
                  <c:v>6</c:v>
                </c:pt>
                <c:pt idx="1394">
                  <c:v>6</c:v>
                </c:pt>
                <c:pt idx="1395">
                  <c:v>6</c:v>
                </c:pt>
                <c:pt idx="1396">
                  <c:v>6</c:v>
                </c:pt>
                <c:pt idx="1397">
                  <c:v>6</c:v>
                </c:pt>
                <c:pt idx="1398">
                  <c:v>6</c:v>
                </c:pt>
                <c:pt idx="1399">
                  <c:v>6</c:v>
                </c:pt>
                <c:pt idx="1400">
                  <c:v>6</c:v>
                </c:pt>
                <c:pt idx="1401">
                  <c:v>6</c:v>
                </c:pt>
                <c:pt idx="1402">
                  <c:v>6</c:v>
                </c:pt>
                <c:pt idx="1403">
                  <c:v>6</c:v>
                </c:pt>
                <c:pt idx="1404">
                  <c:v>6</c:v>
                </c:pt>
                <c:pt idx="1405">
                  <c:v>6</c:v>
                </c:pt>
                <c:pt idx="1406">
                  <c:v>6</c:v>
                </c:pt>
                <c:pt idx="1407">
                  <c:v>6</c:v>
                </c:pt>
                <c:pt idx="1408">
                  <c:v>6</c:v>
                </c:pt>
                <c:pt idx="1409">
                  <c:v>6</c:v>
                </c:pt>
                <c:pt idx="1410">
                  <c:v>6</c:v>
                </c:pt>
                <c:pt idx="1411">
                  <c:v>6</c:v>
                </c:pt>
                <c:pt idx="1412">
                  <c:v>6</c:v>
                </c:pt>
                <c:pt idx="1413">
                  <c:v>6</c:v>
                </c:pt>
                <c:pt idx="1414">
                  <c:v>6</c:v>
                </c:pt>
                <c:pt idx="1415">
                  <c:v>6</c:v>
                </c:pt>
                <c:pt idx="1416">
                  <c:v>6</c:v>
                </c:pt>
                <c:pt idx="1417">
                  <c:v>6</c:v>
                </c:pt>
                <c:pt idx="1418">
                  <c:v>6</c:v>
                </c:pt>
                <c:pt idx="1419">
                  <c:v>6</c:v>
                </c:pt>
                <c:pt idx="1420">
                  <c:v>6</c:v>
                </c:pt>
                <c:pt idx="1421">
                  <c:v>6</c:v>
                </c:pt>
                <c:pt idx="1422">
                  <c:v>6</c:v>
                </c:pt>
                <c:pt idx="1423">
                  <c:v>6</c:v>
                </c:pt>
                <c:pt idx="1424">
                  <c:v>6</c:v>
                </c:pt>
                <c:pt idx="1425">
                  <c:v>6</c:v>
                </c:pt>
                <c:pt idx="1426">
                  <c:v>6</c:v>
                </c:pt>
                <c:pt idx="1427">
                  <c:v>6</c:v>
                </c:pt>
                <c:pt idx="1428">
                  <c:v>6</c:v>
                </c:pt>
                <c:pt idx="1429">
                  <c:v>6</c:v>
                </c:pt>
                <c:pt idx="1430">
                  <c:v>6</c:v>
                </c:pt>
                <c:pt idx="1431">
                  <c:v>6</c:v>
                </c:pt>
                <c:pt idx="1432">
                  <c:v>6</c:v>
                </c:pt>
                <c:pt idx="1433">
                  <c:v>6</c:v>
                </c:pt>
                <c:pt idx="1434">
                  <c:v>6</c:v>
                </c:pt>
                <c:pt idx="1435">
                  <c:v>6</c:v>
                </c:pt>
                <c:pt idx="1436">
                  <c:v>6</c:v>
                </c:pt>
                <c:pt idx="1437">
                  <c:v>6</c:v>
                </c:pt>
                <c:pt idx="1438">
                  <c:v>6</c:v>
                </c:pt>
                <c:pt idx="1439">
                  <c:v>6</c:v>
                </c:pt>
                <c:pt idx="1440">
                  <c:v>6</c:v>
                </c:pt>
                <c:pt idx="1441">
                  <c:v>6</c:v>
                </c:pt>
                <c:pt idx="1442">
                  <c:v>6</c:v>
                </c:pt>
                <c:pt idx="1443">
                  <c:v>6</c:v>
                </c:pt>
                <c:pt idx="1444">
                  <c:v>6</c:v>
                </c:pt>
                <c:pt idx="1445">
                  <c:v>6</c:v>
                </c:pt>
                <c:pt idx="1446">
                  <c:v>6</c:v>
                </c:pt>
                <c:pt idx="1447">
                  <c:v>6</c:v>
                </c:pt>
                <c:pt idx="1448">
                  <c:v>6</c:v>
                </c:pt>
                <c:pt idx="1449">
                  <c:v>6</c:v>
                </c:pt>
                <c:pt idx="1450">
                  <c:v>6</c:v>
                </c:pt>
                <c:pt idx="1451">
                  <c:v>6</c:v>
                </c:pt>
                <c:pt idx="1452">
                  <c:v>6</c:v>
                </c:pt>
                <c:pt idx="1453">
                  <c:v>6</c:v>
                </c:pt>
                <c:pt idx="1454">
                  <c:v>6</c:v>
                </c:pt>
                <c:pt idx="1455">
                  <c:v>6</c:v>
                </c:pt>
                <c:pt idx="1456">
                  <c:v>6</c:v>
                </c:pt>
                <c:pt idx="1457">
                  <c:v>6</c:v>
                </c:pt>
                <c:pt idx="1458">
                  <c:v>6</c:v>
                </c:pt>
                <c:pt idx="1459">
                  <c:v>6</c:v>
                </c:pt>
                <c:pt idx="1460">
                  <c:v>6</c:v>
                </c:pt>
                <c:pt idx="1461">
                  <c:v>6</c:v>
                </c:pt>
                <c:pt idx="1462">
                  <c:v>6</c:v>
                </c:pt>
                <c:pt idx="1463">
                  <c:v>6</c:v>
                </c:pt>
                <c:pt idx="1464">
                  <c:v>6</c:v>
                </c:pt>
                <c:pt idx="1465">
                  <c:v>6</c:v>
                </c:pt>
                <c:pt idx="1466">
                  <c:v>6</c:v>
                </c:pt>
                <c:pt idx="1467">
                  <c:v>6</c:v>
                </c:pt>
                <c:pt idx="1468">
                  <c:v>6</c:v>
                </c:pt>
                <c:pt idx="1469">
                  <c:v>6</c:v>
                </c:pt>
                <c:pt idx="1470">
                  <c:v>6</c:v>
                </c:pt>
                <c:pt idx="1471">
                  <c:v>6</c:v>
                </c:pt>
                <c:pt idx="1472">
                  <c:v>6</c:v>
                </c:pt>
                <c:pt idx="1473">
                  <c:v>6</c:v>
                </c:pt>
                <c:pt idx="1474">
                  <c:v>6</c:v>
                </c:pt>
                <c:pt idx="1475">
                  <c:v>6</c:v>
                </c:pt>
                <c:pt idx="1476">
                  <c:v>6</c:v>
                </c:pt>
                <c:pt idx="1477">
                  <c:v>6</c:v>
                </c:pt>
                <c:pt idx="1478">
                  <c:v>6</c:v>
                </c:pt>
                <c:pt idx="1479">
                  <c:v>6</c:v>
                </c:pt>
                <c:pt idx="1480">
                  <c:v>6</c:v>
                </c:pt>
                <c:pt idx="1481">
                  <c:v>6</c:v>
                </c:pt>
                <c:pt idx="1482">
                  <c:v>6</c:v>
                </c:pt>
                <c:pt idx="1483">
                  <c:v>6</c:v>
                </c:pt>
                <c:pt idx="1484">
                  <c:v>6</c:v>
                </c:pt>
                <c:pt idx="1485">
                  <c:v>6</c:v>
                </c:pt>
                <c:pt idx="1486">
                  <c:v>6</c:v>
                </c:pt>
                <c:pt idx="1487">
                  <c:v>6</c:v>
                </c:pt>
                <c:pt idx="1488">
                  <c:v>6</c:v>
                </c:pt>
                <c:pt idx="1489">
                  <c:v>6</c:v>
                </c:pt>
                <c:pt idx="1490">
                  <c:v>6</c:v>
                </c:pt>
                <c:pt idx="1491">
                  <c:v>6</c:v>
                </c:pt>
                <c:pt idx="1492">
                  <c:v>6</c:v>
                </c:pt>
                <c:pt idx="1493">
                  <c:v>6</c:v>
                </c:pt>
                <c:pt idx="1494">
                  <c:v>6</c:v>
                </c:pt>
                <c:pt idx="1495">
                  <c:v>6</c:v>
                </c:pt>
                <c:pt idx="1496">
                  <c:v>6</c:v>
                </c:pt>
                <c:pt idx="1497">
                  <c:v>6</c:v>
                </c:pt>
                <c:pt idx="1498">
                  <c:v>6</c:v>
                </c:pt>
                <c:pt idx="1499">
                  <c:v>6</c:v>
                </c:pt>
                <c:pt idx="1500">
                  <c:v>6</c:v>
                </c:pt>
                <c:pt idx="1501">
                  <c:v>6</c:v>
                </c:pt>
                <c:pt idx="1502">
                  <c:v>6</c:v>
                </c:pt>
                <c:pt idx="1503">
                  <c:v>6</c:v>
                </c:pt>
                <c:pt idx="1504">
                  <c:v>6</c:v>
                </c:pt>
                <c:pt idx="1505">
                  <c:v>6</c:v>
                </c:pt>
                <c:pt idx="1506">
                  <c:v>6</c:v>
                </c:pt>
                <c:pt idx="1507">
                  <c:v>6</c:v>
                </c:pt>
                <c:pt idx="1508">
                  <c:v>6</c:v>
                </c:pt>
                <c:pt idx="1509">
                  <c:v>6</c:v>
                </c:pt>
                <c:pt idx="1510">
                  <c:v>6</c:v>
                </c:pt>
                <c:pt idx="1511">
                  <c:v>6</c:v>
                </c:pt>
                <c:pt idx="1512">
                  <c:v>6</c:v>
                </c:pt>
                <c:pt idx="1513">
                  <c:v>6</c:v>
                </c:pt>
                <c:pt idx="1514">
                  <c:v>6</c:v>
                </c:pt>
                <c:pt idx="1515">
                  <c:v>6</c:v>
                </c:pt>
                <c:pt idx="1516">
                  <c:v>6</c:v>
                </c:pt>
                <c:pt idx="1517">
                  <c:v>6</c:v>
                </c:pt>
                <c:pt idx="1518">
                  <c:v>6</c:v>
                </c:pt>
                <c:pt idx="1519">
                  <c:v>6</c:v>
                </c:pt>
                <c:pt idx="1520">
                  <c:v>6</c:v>
                </c:pt>
                <c:pt idx="1521">
                  <c:v>6</c:v>
                </c:pt>
                <c:pt idx="1522">
                  <c:v>6</c:v>
                </c:pt>
                <c:pt idx="1523">
                  <c:v>6</c:v>
                </c:pt>
                <c:pt idx="1524">
                  <c:v>6</c:v>
                </c:pt>
                <c:pt idx="1525">
                  <c:v>6</c:v>
                </c:pt>
                <c:pt idx="1526">
                  <c:v>6</c:v>
                </c:pt>
                <c:pt idx="1527">
                  <c:v>6</c:v>
                </c:pt>
                <c:pt idx="1528">
                  <c:v>6</c:v>
                </c:pt>
                <c:pt idx="1529">
                  <c:v>6</c:v>
                </c:pt>
                <c:pt idx="1530">
                  <c:v>6</c:v>
                </c:pt>
                <c:pt idx="1531">
                  <c:v>6</c:v>
                </c:pt>
                <c:pt idx="1532">
                  <c:v>6</c:v>
                </c:pt>
                <c:pt idx="1533">
                  <c:v>6</c:v>
                </c:pt>
                <c:pt idx="1534">
                  <c:v>6</c:v>
                </c:pt>
                <c:pt idx="1535">
                  <c:v>6</c:v>
                </c:pt>
                <c:pt idx="1536">
                  <c:v>6</c:v>
                </c:pt>
                <c:pt idx="1537">
                  <c:v>6</c:v>
                </c:pt>
                <c:pt idx="1538">
                  <c:v>6</c:v>
                </c:pt>
                <c:pt idx="1539">
                  <c:v>6</c:v>
                </c:pt>
                <c:pt idx="1540">
                  <c:v>6</c:v>
                </c:pt>
                <c:pt idx="1541">
                  <c:v>6</c:v>
                </c:pt>
                <c:pt idx="1542">
                  <c:v>6</c:v>
                </c:pt>
                <c:pt idx="1543">
                  <c:v>6</c:v>
                </c:pt>
                <c:pt idx="1544">
                  <c:v>6</c:v>
                </c:pt>
                <c:pt idx="1545">
                  <c:v>6</c:v>
                </c:pt>
                <c:pt idx="1546">
                  <c:v>6</c:v>
                </c:pt>
                <c:pt idx="1547">
                  <c:v>6</c:v>
                </c:pt>
                <c:pt idx="1548">
                  <c:v>6</c:v>
                </c:pt>
                <c:pt idx="1549">
                  <c:v>6</c:v>
                </c:pt>
                <c:pt idx="1550">
                  <c:v>6</c:v>
                </c:pt>
                <c:pt idx="1551">
                  <c:v>6</c:v>
                </c:pt>
                <c:pt idx="1552">
                  <c:v>6</c:v>
                </c:pt>
                <c:pt idx="1553">
                  <c:v>6</c:v>
                </c:pt>
                <c:pt idx="1554">
                  <c:v>6</c:v>
                </c:pt>
                <c:pt idx="1555">
                  <c:v>6</c:v>
                </c:pt>
                <c:pt idx="1556">
                  <c:v>6</c:v>
                </c:pt>
                <c:pt idx="1557">
                  <c:v>6</c:v>
                </c:pt>
                <c:pt idx="1558">
                  <c:v>6</c:v>
                </c:pt>
                <c:pt idx="1559">
                  <c:v>6</c:v>
                </c:pt>
                <c:pt idx="1560">
                  <c:v>6</c:v>
                </c:pt>
                <c:pt idx="1561">
                  <c:v>6</c:v>
                </c:pt>
                <c:pt idx="1562">
                  <c:v>6</c:v>
                </c:pt>
                <c:pt idx="1563">
                  <c:v>6</c:v>
                </c:pt>
                <c:pt idx="1564">
                  <c:v>6</c:v>
                </c:pt>
                <c:pt idx="1565">
                  <c:v>6</c:v>
                </c:pt>
                <c:pt idx="1566">
                  <c:v>6</c:v>
                </c:pt>
                <c:pt idx="1567">
                  <c:v>6</c:v>
                </c:pt>
                <c:pt idx="1568">
                  <c:v>6</c:v>
                </c:pt>
                <c:pt idx="1569">
                  <c:v>6</c:v>
                </c:pt>
                <c:pt idx="1570">
                  <c:v>6</c:v>
                </c:pt>
                <c:pt idx="1571">
                  <c:v>6</c:v>
                </c:pt>
                <c:pt idx="1572">
                  <c:v>6</c:v>
                </c:pt>
                <c:pt idx="1573">
                  <c:v>6</c:v>
                </c:pt>
                <c:pt idx="1574">
                  <c:v>6</c:v>
                </c:pt>
                <c:pt idx="1575">
                  <c:v>6</c:v>
                </c:pt>
                <c:pt idx="1576">
                  <c:v>6</c:v>
                </c:pt>
                <c:pt idx="1577">
                  <c:v>6</c:v>
                </c:pt>
                <c:pt idx="1578">
                  <c:v>6</c:v>
                </c:pt>
                <c:pt idx="1579">
                  <c:v>6</c:v>
                </c:pt>
                <c:pt idx="1580">
                  <c:v>6</c:v>
                </c:pt>
                <c:pt idx="1581">
                  <c:v>6</c:v>
                </c:pt>
                <c:pt idx="1582">
                  <c:v>6</c:v>
                </c:pt>
                <c:pt idx="1583">
                  <c:v>6</c:v>
                </c:pt>
                <c:pt idx="1584">
                  <c:v>6</c:v>
                </c:pt>
                <c:pt idx="1585">
                  <c:v>6</c:v>
                </c:pt>
                <c:pt idx="1586">
                  <c:v>6</c:v>
                </c:pt>
                <c:pt idx="1587">
                  <c:v>6</c:v>
                </c:pt>
                <c:pt idx="1588">
                  <c:v>6</c:v>
                </c:pt>
                <c:pt idx="1589">
                  <c:v>6</c:v>
                </c:pt>
                <c:pt idx="1590">
                  <c:v>6</c:v>
                </c:pt>
                <c:pt idx="1591">
                  <c:v>6</c:v>
                </c:pt>
                <c:pt idx="1592">
                  <c:v>6</c:v>
                </c:pt>
                <c:pt idx="1593">
                  <c:v>6</c:v>
                </c:pt>
                <c:pt idx="1594">
                  <c:v>6</c:v>
                </c:pt>
                <c:pt idx="1595">
                  <c:v>6</c:v>
                </c:pt>
                <c:pt idx="1596">
                  <c:v>6</c:v>
                </c:pt>
                <c:pt idx="1597">
                  <c:v>6</c:v>
                </c:pt>
                <c:pt idx="1598">
                  <c:v>6</c:v>
                </c:pt>
                <c:pt idx="1599">
                  <c:v>6</c:v>
                </c:pt>
                <c:pt idx="1600">
                  <c:v>6</c:v>
                </c:pt>
                <c:pt idx="1601">
                  <c:v>6</c:v>
                </c:pt>
                <c:pt idx="1602">
                  <c:v>6</c:v>
                </c:pt>
                <c:pt idx="1603">
                  <c:v>6</c:v>
                </c:pt>
                <c:pt idx="1604">
                  <c:v>6</c:v>
                </c:pt>
                <c:pt idx="1605">
                  <c:v>6</c:v>
                </c:pt>
                <c:pt idx="1606">
                  <c:v>6</c:v>
                </c:pt>
                <c:pt idx="1607">
                  <c:v>6</c:v>
                </c:pt>
                <c:pt idx="1608">
                  <c:v>6</c:v>
                </c:pt>
                <c:pt idx="1609">
                  <c:v>6</c:v>
                </c:pt>
                <c:pt idx="1610">
                  <c:v>6</c:v>
                </c:pt>
                <c:pt idx="1611">
                  <c:v>6</c:v>
                </c:pt>
                <c:pt idx="1612">
                  <c:v>6</c:v>
                </c:pt>
                <c:pt idx="1613">
                  <c:v>6</c:v>
                </c:pt>
                <c:pt idx="1614">
                  <c:v>6</c:v>
                </c:pt>
                <c:pt idx="1615">
                  <c:v>6</c:v>
                </c:pt>
                <c:pt idx="1616">
                  <c:v>6</c:v>
                </c:pt>
                <c:pt idx="1617">
                  <c:v>6</c:v>
                </c:pt>
                <c:pt idx="1618">
                  <c:v>6</c:v>
                </c:pt>
                <c:pt idx="1619">
                  <c:v>6</c:v>
                </c:pt>
                <c:pt idx="1620">
                  <c:v>6</c:v>
                </c:pt>
                <c:pt idx="1621">
                  <c:v>6</c:v>
                </c:pt>
                <c:pt idx="1622">
                  <c:v>6</c:v>
                </c:pt>
                <c:pt idx="1623">
                  <c:v>6</c:v>
                </c:pt>
                <c:pt idx="1624">
                  <c:v>6</c:v>
                </c:pt>
                <c:pt idx="1625">
                  <c:v>6</c:v>
                </c:pt>
                <c:pt idx="1626">
                  <c:v>6</c:v>
                </c:pt>
                <c:pt idx="1627">
                  <c:v>6</c:v>
                </c:pt>
                <c:pt idx="1628">
                  <c:v>6</c:v>
                </c:pt>
                <c:pt idx="1629">
                  <c:v>6</c:v>
                </c:pt>
                <c:pt idx="1630">
                  <c:v>6</c:v>
                </c:pt>
                <c:pt idx="1631">
                  <c:v>6</c:v>
                </c:pt>
                <c:pt idx="1632">
                  <c:v>6</c:v>
                </c:pt>
                <c:pt idx="1633">
                  <c:v>6</c:v>
                </c:pt>
                <c:pt idx="1634">
                  <c:v>6</c:v>
                </c:pt>
                <c:pt idx="1635">
                  <c:v>6</c:v>
                </c:pt>
                <c:pt idx="1636">
                  <c:v>6</c:v>
                </c:pt>
                <c:pt idx="1637">
                  <c:v>6</c:v>
                </c:pt>
                <c:pt idx="1638">
                  <c:v>6</c:v>
                </c:pt>
                <c:pt idx="1639">
                  <c:v>6</c:v>
                </c:pt>
                <c:pt idx="1640">
                  <c:v>6</c:v>
                </c:pt>
                <c:pt idx="1641">
                  <c:v>6</c:v>
                </c:pt>
                <c:pt idx="1642">
                  <c:v>6</c:v>
                </c:pt>
                <c:pt idx="1643">
                  <c:v>6</c:v>
                </c:pt>
                <c:pt idx="1644">
                  <c:v>6</c:v>
                </c:pt>
                <c:pt idx="1645">
                  <c:v>6</c:v>
                </c:pt>
                <c:pt idx="1646">
                  <c:v>6</c:v>
                </c:pt>
                <c:pt idx="1647">
                  <c:v>6</c:v>
                </c:pt>
                <c:pt idx="1648">
                  <c:v>6</c:v>
                </c:pt>
                <c:pt idx="1649">
                  <c:v>6</c:v>
                </c:pt>
                <c:pt idx="1650">
                  <c:v>6</c:v>
                </c:pt>
                <c:pt idx="1651">
                  <c:v>6</c:v>
                </c:pt>
                <c:pt idx="1652">
                  <c:v>6</c:v>
                </c:pt>
                <c:pt idx="1653">
                  <c:v>6</c:v>
                </c:pt>
                <c:pt idx="1654">
                  <c:v>6</c:v>
                </c:pt>
                <c:pt idx="1655">
                  <c:v>6</c:v>
                </c:pt>
                <c:pt idx="1656">
                  <c:v>6</c:v>
                </c:pt>
                <c:pt idx="1657">
                  <c:v>6</c:v>
                </c:pt>
                <c:pt idx="1658">
                  <c:v>6</c:v>
                </c:pt>
                <c:pt idx="1659">
                  <c:v>6</c:v>
                </c:pt>
                <c:pt idx="1660">
                  <c:v>6</c:v>
                </c:pt>
                <c:pt idx="1661">
                  <c:v>6</c:v>
                </c:pt>
                <c:pt idx="1662">
                  <c:v>6</c:v>
                </c:pt>
                <c:pt idx="1663">
                  <c:v>6</c:v>
                </c:pt>
                <c:pt idx="1664">
                  <c:v>6</c:v>
                </c:pt>
                <c:pt idx="1665">
                  <c:v>6</c:v>
                </c:pt>
                <c:pt idx="1666">
                  <c:v>6</c:v>
                </c:pt>
                <c:pt idx="1667">
                  <c:v>6</c:v>
                </c:pt>
                <c:pt idx="1668">
                  <c:v>6</c:v>
                </c:pt>
                <c:pt idx="1669">
                  <c:v>6</c:v>
                </c:pt>
                <c:pt idx="1670">
                  <c:v>6</c:v>
                </c:pt>
                <c:pt idx="1671">
                  <c:v>6</c:v>
                </c:pt>
                <c:pt idx="1672">
                  <c:v>6</c:v>
                </c:pt>
                <c:pt idx="1673">
                  <c:v>6</c:v>
                </c:pt>
                <c:pt idx="1674">
                  <c:v>6</c:v>
                </c:pt>
                <c:pt idx="1675">
                  <c:v>6</c:v>
                </c:pt>
                <c:pt idx="1676">
                  <c:v>6</c:v>
                </c:pt>
                <c:pt idx="1677">
                  <c:v>6</c:v>
                </c:pt>
                <c:pt idx="1678">
                  <c:v>6</c:v>
                </c:pt>
                <c:pt idx="1679">
                  <c:v>6</c:v>
                </c:pt>
                <c:pt idx="1680">
                  <c:v>6</c:v>
                </c:pt>
                <c:pt idx="1681">
                  <c:v>6</c:v>
                </c:pt>
                <c:pt idx="1682">
                  <c:v>6</c:v>
                </c:pt>
                <c:pt idx="1683">
                  <c:v>6</c:v>
                </c:pt>
                <c:pt idx="1684">
                  <c:v>6</c:v>
                </c:pt>
                <c:pt idx="1685">
                  <c:v>6</c:v>
                </c:pt>
                <c:pt idx="1686">
                  <c:v>6</c:v>
                </c:pt>
                <c:pt idx="1687">
                  <c:v>6</c:v>
                </c:pt>
                <c:pt idx="1688">
                  <c:v>6</c:v>
                </c:pt>
                <c:pt idx="1689">
                  <c:v>6</c:v>
                </c:pt>
                <c:pt idx="1690">
                  <c:v>6</c:v>
                </c:pt>
                <c:pt idx="1691">
                  <c:v>6</c:v>
                </c:pt>
                <c:pt idx="1692">
                  <c:v>6</c:v>
                </c:pt>
                <c:pt idx="1693">
                  <c:v>6</c:v>
                </c:pt>
                <c:pt idx="1694">
                  <c:v>6</c:v>
                </c:pt>
                <c:pt idx="1695">
                  <c:v>6</c:v>
                </c:pt>
                <c:pt idx="1696">
                  <c:v>6</c:v>
                </c:pt>
                <c:pt idx="1697">
                  <c:v>6</c:v>
                </c:pt>
                <c:pt idx="1698">
                  <c:v>6</c:v>
                </c:pt>
                <c:pt idx="1699">
                  <c:v>6</c:v>
                </c:pt>
              </c:numCache>
            </c:numRef>
          </c:yVal>
          <c:smooth val="0"/>
        </c:ser>
        <c:ser>
          <c:idx val="1"/>
          <c:order val="1"/>
          <c:tx>
            <c:strRef>
              <c:f>"Conventional PI"</c:f>
              <c:strCache>
                <c:ptCount val="1"/>
                <c:pt idx="0">
                  <c:v>Conventional PI</c:v>
                </c:pt>
              </c:strCache>
            </c:strRef>
          </c:tx>
          <c:spPr>
            <a:solidFill>
              <a:srgbClr val="1f77b4"/>
            </a:solidFill>
            <a:ln w="1800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12_Traces!$C$5:$C$1704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4.63780005422104</c:v>
                </c:pt>
                <c:pt idx="203">
                  <c:v>5.11131592461161</c:v>
                </c:pt>
                <c:pt idx="204">
                  <c:v>9.02537327170946</c:v>
                </c:pt>
                <c:pt idx="205">
                  <c:v>8.93844115384066</c:v>
                </c:pt>
                <c:pt idx="206">
                  <c:v>4.64627569791958</c:v>
                </c:pt>
                <c:pt idx="207">
                  <c:v>4.59707627930904</c:v>
                </c:pt>
                <c:pt idx="208">
                  <c:v>6.51025845277048</c:v>
                </c:pt>
                <c:pt idx="209">
                  <c:v>9.40908788426739</c:v>
                </c:pt>
                <c:pt idx="210">
                  <c:v>8.96953574478437</c:v>
                </c:pt>
                <c:pt idx="211">
                  <c:v>4.6918560110394</c:v>
                </c:pt>
                <c:pt idx="212">
                  <c:v>4.68684222876409</c:v>
                </c:pt>
                <c:pt idx="213">
                  <c:v>8.81897355072069</c:v>
                </c:pt>
                <c:pt idx="214">
                  <c:v>9.42718648067602</c:v>
                </c:pt>
                <c:pt idx="215">
                  <c:v>8.48203102858324</c:v>
                </c:pt>
                <c:pt idx="216">
                  <c:v>4.5926530129857</c:v>
                </c:pt>
                <c:pt idx="217">
                  <c:v>4.84174397854388</c:v>
                </c:pt>
                <c:pt idx="218">
                  <c:v>9.14980753790524</c:v>
                </c:pt>
                <c:pt idx="219">
                  <c:v>9.37024658035304</c:v>
                </c:pt>
                <c:pt idx="220">
                  <c:v>5.55367738949544</c:v>
                </c:pt>
                <c:pt idx="221">
                  <c:v>4.52500813407461</c:v>
                </c:pt>
                <c:pt idx="222">
                  <c:v>5.0528382694246</c:v>
                </c:pt>
                <c:pt idx="223">
                  <c:v>9.3010791504493</c:v>
                </c:pt>
                <c:pt idx="224">
                  <c:v>9.28166195885878</c:v>
                </c:pt>
                <c:pt idx="225">
                  <c:v>5.06732453092858</c:v>
                </c:pt>
                <c:pt idx="226">
                  <c:v>4.56295140025515</c:v>
                </c:pt>
                <c:pt idx="227">
                  <c:v>5.50697605367579</c:v>
                </c:pt>
                <c:pt idx="228">
                  <c:v>9.40377610950259</c:v>
                </c:pt>
                <c:pt idx="229">
                  <c:v>9.1522010553339</c:v>
                </c:pt>
                <c:pt idx="230">
                  <c:v>4.842510630148</c:v>
                </c:pt>
                <c:pt idx="231">
                  <c:v>4.62698621422214</c:v>
                </c:pt>
                <c:pt idx="232">
                  <c:v>8.43461404652219</c:v>
                </c:pt>
                <c:pt idx="233">
                  <c:v>9.47298189742196</c:v>
                </c:pt>
                <c:pt idx="234">
                  <c:v>8.94619980555122</c:v>
                </c:pt>
                <c:pt idx="235">
                  <c:v>4.69800480962249</c:v>
                </c:pt>
                <c:pt idx="236">
                  <c:v>4.71748681275972</c:v>
                </c:pt>
                <c:pt idx="237">
                  <c:v>8.93282758269684</c:v>
                </c:pt>
                <c:pt idx="238">
                  <c:v>9.43595696641451</c:v>
                </c:pt>
                <c:pt idx="239">
                  <c:v>8.49432406558034</c:v>
                </c:pt>
                <c:pt idx="240">
                  <c:v>4.59544049856108</c:v>
                </c:pt>
                <c:pt idx="241">
                  <c:v>4.847409312132</c:v>
                </c:pt>
                <c:pt idx="242">
                  <c:v>9.15747798072398</c:v>
                </c:pt>
                <c:pt idx="243">
                  <c:v>9.37213075480926</c:v>
                </c:pt>
                <c:pt idx="244">
                  <c:v>5.56786569608239</c:v>
                </c:pt>
                <c:pt idx="245">
                  <c:v>4.52597268445442</c:v>
                </c:pt>
                <c:pt idx="246">
                  <c:v>5.05392779158003</c:v>
                </c:pt>
                <c:pt idx="247">
                  <c:v>9.30161026265146</c:v>
                </c:pt>
                <c:pt idx="248">
                  <c:v>9.28185370165014</c:v>
                </c:pt>
                <c:pt idx="249">
                  <c:v>5.06778087939695</c:v>
                </c:pt>
                <c:pt idx="250">
                  <c:v>4.56301971582824</c:v>
                </c:pt>
                <c:pt idx="251">
                  <c:v>5.50742313914928</c:v>
                </c:pt>
                <c:pt idx="252">
                  <c:v>9.40383486537965</c:v>
                </c:pt>
                <c:pt idx="253">
                  <c:v>9.15223414634962</c:v>
                </c:pt>
                <c:pt idx="254">
                  <c:v>4.84254623300426</c:v>
                </c:pt>
                <c:pt idx="255">
                  <c:v>4.62699412658802</c:v>
                </c:pt>
                <c:pt idx="256">
                  <c:v>8.43467490101579</c:v>
                </c:pt>
                <c:pt idx="257">
                  <c:v>9.472986314543</c:v>
                </c:pt>
                <c:pt idx="258">
                  <c:v>8.94620617905463</c:v>
                </c:pt>
                <c:pt idx="259">
                  <c:v>4.69800801286591</c:v>
                </c:pt>
                <c:pt idx="260">
                  <c:v>4.71748792668839</c:v>
                </c:pt>
                <c:pt idx="261">
                  <c:v>8.93283010336204</c:v>
                </c:pt>
                <c:pt idx="262">
                  <c:v>9.43595732426675</c:v>
                </c:pt>
                <c:pt idx="263">
                  <c:v>8.49432630103265</c:v>
                </c:pt>
                <c:pt idx="264">
                  <c:v>4.59544079657463</c:v>
                </c:pt>
                <c:pt idx="265">
                  <c:v>4.84740948627881</c:v>
                </c:pt>
                <c:pt idx="266">
                  <c:v>9.15747816955746</c:v>
                </c:pt>
                <c:pt idx="267">
                  <c:v>9.37213079731567</c:v>
                </c:pt>
                <c:pt idx="268">
                  <c:v>5.56786602778982</c:v>
                </c:pt>
                <c:pt idx="269">
                  <c:v>4.52597270841406</c:v>
                </c:pt>
                <c:pt idx="270">
                  <c:v>5.05392782529384</c:v>
                </c:pt>
                <c:pt idx="271">
                  <c:v>9.30161027943659</c:v>
                </c:pt>
                <c:pt idx="272">
                  <c:v>9.28185370749851</c:v>
                </c:pt>
                <c:pt idx="273">
                  <c:v>5.06778089277005</c:v>
                </c:pt>
                <c:pt idx="274">
                  <c:v>4.56301971773716</c:v>
                </c:pt>
                <c:pt idx="275">
                  <c:v>5.5074231511042</c:v>
                </c:pt>
                <c:pt idx="276">
                  <c:v>9.40383486695697</c:v>
                </c:pt>
                <c:pt idx="277">
                  <c:v>9.152234147272</c:v>
                </c:pt>
                <c:pt idx="278">
                  <c:v>4.84254623401079</c:v>
                </c:pt>
                <c:pt idx="279">
                  <c:v>4.62699412681439</c:v>
                </c:pt>
                <c:pt idx="280">
                  <c:v>8.43467490276021</c:v>
                </c:pt>
                <c:pt idx="281">
                  <c:v>9.4729863146698</c:v>
                </c:pt>
                <c:pt idx="282">
                  <c:v>8.94620617923306</c:v>
                </c:pt>
                <c:pt idx="283">
                  <c:v>4.69800801295556</c:v>
                </c:pt>
                <c:pt idx="284">
                  <c:v>4.71748792671964</c:v>
                </c:pt>
                <c:pt idx="285">
                  <c:v>8.93283010343295</c:v>
                </c:pt>
                <c:pt idx="286">
                  <c:v>9.43595732427879</c:v>
                </c:pt>
                <c:pt idx="287">
                  <c:v>8.49432630109497</c:v>
                </c:pt>
                <c:pt idx="288">
                  <c:v>4.59544079658278</c:v>
                </c:pt>
                <c:pt idx="289">
                  <c:v>4.8474094862835</c:v>
                </c:pt>
                <c:pt idx="290">
                  <c:v>9.15747816956275</c:v>
                </c:pt>
                <c:pt idx="291">
                  <c:v>9.3721307973174</c:v>
                </c:pt>
                <c:pt idx="292">
                  <c:v>5.56786602779988</c:v>
                </c:pt>
                <c:pt idx="293">
                  <c:v>4.52597270841479</c:v>
                </c:pt>
                <c:pt idx="294">
                  <c:v>5.05392782529485</c:v>
                </c:pt>
                <c:pt idx="295">
                  <c:v>9.30161027943659</c:v>
                </c:pt>
                <c:pt idx="296">
                  <c:v>9.28185370749851</c:v>
                </c:pt>
                <c:pt idx="297">
                  <c:v>5.06778089277064</c:v>
                </c:pt>
                <c:pt idx="298">
                  <c:v>4.56301971773724</c:v>
                </c:pt>
                <c:pt idx="299">
                  <c:v>5.50742315110462</c:v>
                </c:pt>
                <c:pt idx="300">
                  <c:v>9.40383486695697</c:v>
                </c:pt>
                <c:pt idx="301">
                  <c:v>9.152234147272</c:v>
                </c:pt>
                <c:pt idx="302">
                  <c:v>4.84254623401084</c:v>
                </c:pt>
                <c:pt idx="303">
                  <c:v>4.6269941268144</c:v>
                </c:pt>
                <c:pt idx="304">
                  <c:v>8.43467490276031</c:v>
                </c:pt>
                <c:pt idx="305">
                  <c:v>9.47298631466762</c:v>
                </c:pt>
                <c:pt idx="306">
                  <c:v>8.94620617923306</c:v>
                </c:pt>
                <c:pt idx="307">
                  <c:v>4.69800801295567</c:v>
                </c:pt>
                <c:pt idx="308">
                  <c:v>4.71748792671967</c:v>
                </c:pt>
                <c:pt idx="309">
                  <c:v>8.93283010343295</c:v>
                </c:pt>
                <c:pt idx="310">
                  <c:v>9.43595732427679</c:v>
                </c:pt>
                <c:pt idx="311">
                  <c:v>8.4943263010942</c:v>
                </c:pt>
                <c:pt idx="312">
                  <c:v>4.59544079658278</c:v>
                </c:pt>
                <c:pt idx="313">
                  <c:v>4.84740948628358</c:v>
                </c:pt>
                <c:pt idx="314">
                  <c:v>9.15747816956275</c:v>
                </c:pt>
                <c:pt idx="315">
                  <c:v>9.3721307973174</c:v>
                </c:pt>
                <c:pt idx="316">
                  <c:v>5.56786602780063</c:v>
                </c:pt>
                <c:pt idx="317">
                  <c:v>4.52597270841484</c:v>
                </c:pt>
                <c:pt idx="318">
                  <c:v>5.05392782529487</c:v>
                </c:pt>
                <c:pt idx="319">
                  <c:v>9.30161027943659</c:v>
                </c:pt>
                <c:pt idx="320">
                  <c:v>9.28185370749851</c:v>
                </c:pt>
                <c:pt idx="321">
                  <c:v>5.06778089277061</c:v>
                </c:pt>
                <c:pt idx="322">
                  <c:v>4.56301971773724</c:v>
                </c:pt>
                <c:pt idx="323">
                  <c:v>5.50742315110458</c:v>
                </c:pt>
                <c:pt idx="324">
                  <c:v>9.40383486695697</c:v>
                </c:pt>
                <c:pt idx="325">
                  <c:v>9.152234147272</c:v>
                </c:pt>
                <c:pt idx="326">
                  <c:v>4.84254623401048</c:v>
                </c:pt>
                <c:pt idx="327">
                  <c:v>4.6269941268143</c:v>
                </c:pt>
                <c:pt idx="328">
                  <c:v>8.43467490276019</c:v>
                </c:pt>
                <c:pt idx="329">
                  <c:v>9.47298631466762</c:v>
                </c:pt>
                <c:pt idx="330">
                  <c:v>8.94620617923306</c:v>
                </c:pt>
                <c:pt idx="331">
                  <c:v>4.69800801295549</c:v>
                </c:pt>
                <c:pt idx="332">
                  <c:v>4.71748792671956</c:v>
                </c:pt>
                <c:pt idx="333">
                  <c:v>8.93283010343327</c:v>
                </c:pt>
                <c:pt idx="334">
                  <c:v>9.43595732427679</c:v>
                </c:pt>
                <c:pt idx="335">
                  <c:v>8.49432630109489</c:v>
                </c:pt>
                <c:pt idx="336">
                  <c:v>4.59544079658278</c:v>
                </c:pt>
                <c:pt idx="337">
                  <c:v>4.84740948628355</c:v>
                </c:pt>
                <c:pt idx="338">
                  <c:v>9.15747816956328</c:v>
                </c:pt>
                <c:pt idx="339">
                  <c:v>9.3721307973174</c:v>
                </c:pt>
                <c:pt idx="340">
                  <c:v>5.5678660278002</c:v>
                </c:pt>
                <c:pt idx="341">
                  <c:v>4.52597270841473</c:v>
                </c:pt>
                <c:pt idx="342">
                  <c:v>5.05392782529479</c:v>
                </c:pt>
                <c:pt idx="343">
                  <c:v>9.30161027943659</c:v>
                </c:pt>
                <c:pt idx="344">
                  <c:v>9.28185370749851</c:v>
                </c:pt>
                <c:pt idx="345">
                  <c:v>5.06778089277019</c:v>
                </c:pt>
                <c:pt idx="346">
                  <c:v>4.56301971773712</c:v>
                </c:pt>
                <c:pt idx="347">
                  <c:v>5.50742315110463</c:v>
                </c:pt>
                <c:pt idx="348">
                  <c:v>9.40383486695884</c:v>
                </c:pt>
                <c:pt idx="349">
                  <c:v>9.152234147272</c:v>
                </c:pt>
                <c:pt idx="350">
                  <c:v>4.84254623401044</c:v>
                </c:pt>
                <c:pt idx="351">
                  <c:v>4.62699412681425</c:v>
                </c:pt>
                <c:pt idx="352">
                  <c:v>8.43467490276029</c:v>
                </c:pt>
                <c:pt idx="353">
                  <c:v>9.4729863146698</c:v>
                </c:pt>
                <c:pt idx="354">
                  <c:v>8.94620617923306</c:v>
                </c:pt>
                <c:pt idx="355">
                  <c:v>4.69800801295538</c:v>
                </c:pt>
                <c:pt idx="356">
                  <c:v>4.71748792671957</c:v>
                </c:pt>
                <c:pt idx="357">
                  <c:v>8.93283010343327</c:v>
                </c:pt>
                <c:pt idx="358">
                  <c:v>9.43595732427679</c:v>
                </c:pt>
                <c:pt idx="359">
                  <c:v>8.49432630109566</c:v>
                </c:pt>
                <c:pt idx="360">
                  <c:v>4.59544079658285</c:v>
                </c:pt>
                <c:pt idx="361">
                  <c:v>4.84740948628351</c:v>
                </c:pt>
                <c:pt idx="362">
                  <c:v>9.15747816956275</c:v>
                </c:pt>
                <c:pt idx="363">
                  <c:v>9.3721307973174</c:v>
                </c:pt>
                <c:pt idx="364">
                  <c:v>5.56786602779872</c:v>
                </c:pt>
                <c:pt idx="365">
                  <c:v>4.52597270841463</c:v>
                </c:pt>
                <c:pt idx="366">
                  <c:v>5.05392782529478</c:v>
                </c:pt>
                <c:pt idx="367">
                  <c:v>9.30161027943659</c:v>
                </c:pt>
                <c:pt idx="368">
                  <c:v>9.28185370749851</c:v>
                </c:pt>
                <c:pt idx="369">
                  <c:v>5.06778089276976</c:v>
                </c:pt>
                <c:pt idx="370">
                  <c:v>4.56301971773704</c:v>
                </c:pt>
                <c:pt idx="371">
                  <c:v>5.50742315110431</c:v>
                </c:pt>
                <c:pt idx="372">
                  <c:v>9.40383486695884</c:v>
                </c:pt>
                <c:pt idx="373">
                  <c:v>9.152234147272</c:v>
                </c:pt>
                <c:pt idx="374">
                  <c:v>4.84254623401047</c:v>
                </c:pt>
                <c:pt idx="375">
                  <c:v>4.6269941268143</c:v>
                </c:pt>
                <c:pt idx="376">
                  <c:v>8.43467490276071</c:v>
                </c:pt>
                <c:pt idx="377">
                  <c:v>9.4729863146698</c:v>
                </c:pt>
                <c:pt idx="378">
                  <c:v>8.94620617923306</c:v>
                </c:pt>
                <c:pt idx="379">
                  <c:v>4.69800801295539</c:v>
                </c:pt>
                <c:pt idx="380">
                  <c:v>4.71748792671957</c:v>
                </c:pt>
                <c:pt idx="381">
                  <c:v>8.93283010343327</c:v>
                </c:pt>
                <c:pt idx="382">
                  <c:v>9.43595732427679</c:v>
                </c:pt>
                <c:pt idx="383">
                  <c:v>8.4943263010956</c:v>
                </c:pt>
                <c:pt idx="384">
                  <c:v>4.59544079658287</c:v>
                </c:pt>
                <c:pt idx="385">
                  <c:v>4.84740948628356</c:v>
                </c:pt>
                <c:pt idx="386">
                  <c:v>9.15747816956275</c:v>
                </c:pt>
                <c:pt idx="387">
                  <c:v>9.3721307973174</c:v>
                </c:pt>
                <c:pt idx="388">
                  <c:v>5.56786602779875</c:v>
                </c:pt>
                <c:pt idx="389">
                  <c:v>4.52597270841463</c:v>
                </c:pt>
                <c:pt idx="390">
                  <c:v>5.05392782529477</c:v>
                </c:pt>
                <c:pt idx="391">
                  <c:v>9.30161027943659</c:v>
                </c:pt>
                <c:pt idx="392">
                  <c:v>9.28185370749851</c:v>
                </c:pt>
                <c:pt idx="393">
                  <c:v>5.06778089277028</c:v>
                </c:pt>
                <c:pt idx="394">
                  <c:v>4.56301971773714</c:v>
                </c:pt>
                <c:pt idx="395">
                  <c:v>5.50742315110474</c:v>
                </c:pt>
                <c:pt idx="396">
                  <c:v>9.40383486695697</c:v>
                </c:pt>
                <c:pt idx="397">
                  <c:v>9.152234147272</c:v>
                </c:pt>
                <c:pt idx="398">
                  <c:v>4.84254623401074</c:v>
                </c:pt>
                <c:pt idx="399">
                  <c:v>4.62699412681434</c:v>
                </c:pt>
                <c:pt idx="400">
                  <c:v>8.43467490276071</c:v>
                </c:pt>
                <c:pt idx="401">
                  <c:v>9.47298631466762</c:v>
                </c:pt>
                <c:pt idx="402">
                  <c:v>8.94620617923306</c:v>
                </c:pt>
                <c:pt idx="403">
                  <c:v>4.69800801295546</c:v>
                </c:pt>
                <c:pt idx="404">
                  <c:v>4.71748792671958</c:v>
                </c:pt>
                <c:pt idx="405">
                  <c:v>8.93283010343327</c:v>
                </c:pt>
                <c:pt idx="406">
                  <c:v>9.43595732427679</c:v>
                </c:pt>
                <c:pt idx="407">
                  <c:v>8.49432630109486</c:v>
                </c:pt>
                <c:pt idx="408">
                  <c:v>4.59544079658277</c:v>
                </c:pt>
                <c:pt idx="409">
                  <c:v>4.84740948628354</c:v>
                </c:pt>
                <c:pt idx="410">
                  <c:v>9.15747816956275</c:v>
                </c:pt>
                <c:pt idx="411">
                  <c:v>9.3721307973174</c:v>
                </c:pt>
                <c:pt idx="412">
                  <c:v>5.56786602779961</c:v>
                </c:pt>
                <c:pt idx="413">
                  <c:v>4.52597270841468</c:v>
                </c:pt>
                <c:pt idx="414">
                  <c:v>5.05392782529477</c:v>
                </c:pt>
                <c:pt idx="415">
                  <c:v>9.30161027943659</c:v>
                </c:pt>
                <c:pt idx="416">
                  <c:v>9.28185370749851</c:v>
                </c:pt>
                <c:pt idx="417">
                  <c:v>5.06778089277022</c:v>
                </c:pt>
                <c:pt idx="418">
                  <c:v>4.5630197177371</c:v>
                </c:pt>
                <c:pt idx="419">
                  <c:v>5.50742315110443</c:v>
                </c:pt>
                <c:pt idx="420">
                  <c:v>9.40383486695884</c:v>
                </c:pt>
                <c:pt idx="421">
                  <c:v>9.152234147272</c:v>
                </c:pt>
                <c:pt idx="422">
                  <c:v>4.84254623401063</c:v>
                </c:pt>
                <c:pt idx="423">
                  <c:v>4.62699412681432</c:v>
                </c:pt>
                <c:pt idx="424">
                  <c:v>8.43467490276069</c:v>
                </c:pt>
                <c:pt idx="425">
                  <c:v>9.47298631466762</c:v>
                </c:pt>
                <c:pt idx="426">
                  <c:v>8.94620617923306</c:v>
                </c:pt>
                <c:pt idx="427">
                  <c:v>4.69800801295548</c:v>
                </c:pt>
                <c:pt idx="428">
                  <c:v>4.71748792671959</c:v>
                </c:pt>
                <c:pt idx="429">
                  <c:v>8.93283010343327</c:v>
                </c:pt>
                <c:pt idx="430">
                  <c:v>9.43595732427679</c:v>
                </c:pt>
                <c:pt idx="431">
                  <c:v>8.49432630109486</c:v>
                </c:pt>
                <c:pt idx="432">
                  <c:v>4.59544079658278</c:v>
                </c:pt>
                <c:pt idx="433">
                  <c:v>4.84740948628355</c:v>
                </c:pt>
                <c:pt idx="434">
                  <c:v>9.15747816956275</c:v>
                </c:pt>
                <c:pt idx="435">
                  <c:v>9.3721307973174</c:v>
                </c:pt>
                <c:pt idx="436">
                  <c:v>5.56786602780044</c:v>
                </c:pt>
                <c:pt idx="437">
                  <c:v>4.52597270841474</c:v>
                </c:pt>
                <c:pt idx="438">
                  <c:v>5.05392782529481</c:v>
                </c:pt>
                <c:pt idx="439">
                  <c:v>9.30161027943659</c:v>
                </c:pt>
                <c:pt idx="440">
                  <c:v>9.28185370749851</c:v>
                </c:pt>
                <c:pt idx="441">
                  <c:v>5.06778089276997</c:v>
                </c:pt>
                <c:pt idx="442">
                  <c:v>4.56301971773708</c:v>
                </c:pt>
                <c:pt idx="443">
                  <c:v>5.50742315110446</c:v>
                </c:pt>
                <c:pt idx="444">
                  <c:v>9.40383486695697</c:v>
                </c:pt>
                <c:pt idx="445">
                  <c:v>9.152234147272</c:v>
                </c:pt>
                <c:pt idx="446">
                  <c:v>4.8425462340108</c:v>
                </c:pt>
                <c:pt idx="447">
                  <c:v>4.62699412681434</c:v>
                </c:pt>
                <c:pt idx="448">
                  <c:v>8.43467490276066</c:v>
                </c:pt>
                <c:pt idx="449">
                  <c:v>9.47298631466762</c:v>
                </c:pt>
                <c:pt idx="450">
                  <c:v>8.94620617923306</c:v>
                </c:pt>
                <c:pt idx="451">
                  <c:v>4.69800801295548</c:v>
                </c:pt>
                <c:pt idx="452">
                  <c:v>4.71748792671952</c:v>
                </c:pt>
                <c:pt idx="453">
                  <c:v>8.93283010343327</c:v>
                </c:pt>
                <c:pt idx="454">
                  <c:v>9.43595732427679</c:v>
                </c:pt>
                <c:pt idx="455">
                  <c:v>8.49432630109471</c:v>
                </c:pt>
                <c:pt idx="456">
                  <c:v>4.59544079658276</c:v>
                </c:pt>
                <c:pt idx="457">
                  <c:v>4.84740948628354</c:v>
                </c:pt>
                <c:pt idx="458">
                  <c:v>9.15747816956328</c:v>
                </c:pt>
                <c:pt idx="459">
                  <c:v>9.3721307973174</c:v>
                </c:pt>
                <c:pt idx="460">
                  <c:v>5.56786602779788</c:v>
                </c:pt>
                <c:pt idx="461">
                  <c:v>4.52597270841452</c:v>
                </c:pt>
                <c:pt idx="462">
                  <c:v>5.05392782529458</c:v>
                </c:pt>
                <c:pt idx="463">
                  <c:v>9.30161027943659</c:v>
                </c:pt>
                <c:pt idx="464">
                  <c:v>9.28185370749851</c:v>
                </c:pt>
                <c:pt idx="465">
                  <c:v>5.06778089277033</c:v>
                </c:pt>
                <c:pt idx="466">
                  <c:v>4.56301971773714</c:v>
                </c:pt>
                <c:pt idx="467">
                  <c:v>5.50742315110469</c:v>
                </c:pt>
                <c:pt idx="468">
                  <c:v>9.40383486695884</c:v>
                </c:pt>
                <c:pt idx="469">
                  <c:v>9.15223414727252</c:v>
                </c:pt>
                <c:pt idx="470">
                  <c:v>4.84254623401045</c:v>
                </c:pt>
                <c:pt idx="471">
                  <c:v>4.62699412681423</c:v>
                </c:pt>
                <c:pt idx="472">
                  <c:v>8.43467490276009</c:v>
                </c:pt>
                <c:pt idx="473">
                  <c:v>9.4729863146698</c:v>
                </c:pt>
                <c:pt idx="474">
                  <c:v>8.94620617923306</c:v>
                </c:pt>
                <c:pt idx="475">
                  <c:v>4.69800801295539</c:v>
                </c:pt>
                <c:pt idx="476">
                  <c:v>4.71748792671958</c:v>
                </c:pt>
                <c:pt idx="477">
                  <c:v>8.93283010343327</c:v>
                </c:pt>
                <c:pt idx="478">
                  <c:v>9.43595732427679</c:v>
                </c:pt>
                <c:pt idx="479">
                  <c:v>8.49432630109445</c:v>
                </c:pt>
                <c:pt idx="480">
                  <c:v>4.59544079658272</c:v>
                </c:pt>
                <c:pt idx="481">
                  <c:v>4.84740948628353</c:v>
                </c:pt>
                <c:pt idx="482">
                  <c:v>9.15747816956328</c:v>
                </c:pt>
                <c:pt idx="483">
                  <c:v>9.3721307973174</c:v>
                </c:pt>
                <c:pt idx="484">
                  <c:v>5.56786602779959</c:v>
                </c:pt>
                <c:pt idx="485">
                  <c:v>4.52597270841466</c:v>
                </c:pt>
                <c:pt idx="486">
                  <c:v>5.0539278252947</c:v>
                </c:pt>
                <c:pt idx="487">
                  <c:v>9.30161027943659</c:v>
                </c:pt>
                <c:pt idx="488">
                  <c:v>9.28185370749851</c:v>
                </c:pt>
                <c:pt idx="489">
                  <c:v>5.06778089277056</c:v>
                </c:pt>
                <c:pt idx="490">
                  <c:v>4.56301971773716</c:v>
                </c:pt>
                <c:pt idx="491">
                  <c:v>5.5074231511047</c:v>
                </c:pt>
                <c:pt idx="492">
                  <c:v>9.40383486695884</c:v>
                </c:pt>
                <c:pt idx="493">
                  <c:v>9.152234147272</c:v>
                </c:pt>
                <c:pt idx="494">
                  <c:v>4.84254623401039</c:v>
                </c:pt>
                <c:pt idx="495">
                  <c:v>4.62699412681428</c:v>
                </c:pt>
                <c:pt idx="496">
                  <c:v>8.43467490276069</c:v>
                </c:pt>
                <c:pt idx="497">
                  <c:v>9.4729863146698</c:v>
                </c:pt>
                <c:pt idx="498">
                  <c:v>8.94620617923306</c:v>
                </c:pt>
                <c:pt idx="499">
                  <c:v>4.69800801295539</c:v>
                </c:pt>
                <c:pt idx="500">
                  <c:v>4.71748792671955</c:v>
                </c:pt>
                <c:pt idx="501">
                  <c:v>8.93283010343327</c:v>
                </c:pt>
                <c:pt idx="502">
                  <c:v>9.43595732427679</c:v>
                </c:pt>
                <c:pt idx="503">
                  <c:v>8.49432630109557</c:v>
                </c:pt>
                <c:pt idx="504">
                  <c:v>4.59544079658286</c:v>
                </c:pt>
                <c:pt idx="505">
                  <c:v>4.84740948628355</c:v>
                </c:pt>
                <c:pt idx="506">
                  <c:v>9.15747816956328</c:v>
                </c:pt>
                <c:pt idx="507">
                  <c:v>9.3721307973174</c:v>
                </c:pt>
                <c:pt idx="508">
                  <c:v>5.56786602779772</c:v>
                </c:pt>
                <c:pt idx="509">
                  <c:v>4.52597270841453</c:v>
                </c:pt>
                <c:pt idx="510">
                  <c:v>5.05392782529464</c:v>
                </c:pt>
                <c:pt idx="511">
                  <c:v>9.30161027943659</c:v>
                </c:pt>
                <c:pt idx="512">
                  <c:v>9.28185370749851</c:v>
                </c:pt>
                <c:pt idx="513">
                  <c:v>5.06778089277036</c:v>
                </c:pt>
                <c:pt idx="514">
                  <c:v>4.56301971773713</c:v>
                </c:pt>
                <c:pt idx="515">
                  <c:v>5.50742315110457</c:v>
                </c:pt>
                <c:pt idx="516">
                  <c:v>9.40383486695884</c:v>
                </c:pt>
                <c:pt idx="517">
                  <c:v>9.152234147272</c:v>
                </c:pt>
                <c:pt idx="518">
                  <c:v>4.84254623401041</c:v>
                </c:pt>
                <c:pt idx="519">
                  <c:v>4.62699412681427</c:v>
                </c:pt>
                <c:pt idx="520">
                  <c:v>8.43467490276056</c:v>
                </c:pt>
                <c:pt idx="521">
                  <c:v>9.47298631466762</c:v>
                </c:pt>
                <c:pt idx="522">
                  <c:v>8.94620617923306</c:v>
                </c:pt>
                <c:pt idx="523">
                  <c:v>4.69800801295548</c:v>
                </c:pt>
                <c:pt idx="524">
                  <c:v>4.71748792671956</c:v>
                </c:pt>
                <c:pt idx="525">
                  <c:v>8.93283010343327</c:v>
                </c:pt>
                <c:pt idx="526">
                  <c:v>9.43595732427679</c:v>
                </c:pt>
                <c:pt idx="527">
                  <c:v>8.49432630109546</c:v>
                </c:pt>
                <c:pt idx="528">
                  <c:v>4.59544079658286</c:v>
                </c:pt>
                <c:pt idx="529">
                  <c:v>4.84740948628357</c:v>
                </c:pt>
                <c:pt idx="530">
                  <c:v>9.15747816956328</c:v>
                </c:pt>
                <c:pt idx="531">
                  <c:v>9.3721307973174</c:v>
                </c:pt>
                <c:pt idx="532">
                  <c:v>5.56786602779926</c:v>
                </c:pt>
                <c:pt idx="533">
                  <c:v>4.52597270841467</c:v>
                </c:pt>
                <c:pt idx="534">
                  <c:v>5.05392782529478</c:v>
                </c:pt>
                <c:pt idx="535">
                  <c:v>9.30161027943659</c:v>
                </c:pt>
                <c:pt idx="536">
                  <c:v>9.28185370749851</c:v>
                </c:pt>
                <c:pt idx="537">
                  <c:v>5.06778089277049</c:v>
                </c:pt>
                <c:pt idx="538">
                  <c:v>4.56301971773717</c:v>
                </c:pt>
                <c:pt idx="539">
                  <c:v>5.50742315110476</c:v>
                </c:pt>
                <c:pt idx="540">
                  <c:v>9.40383486695697</c:v>
                </c:pt>
                <c:pt idx="541">
                  <c:v>9.152234147272</c:v>
                </c:pt>
                <c:pt idx="542">
                  <c:v>4.8425462340107</c:v>
                </c:pt>
                <c:pt idx="543">
                  <c:v>4.62699412681433</c:v>
                </c:pt>
                <c:pt idx="544">
                  <c:v>8.43467490276064</c:v>
                </c:pt>
                <c:pt idx="545">
                  <c:v>9.47298631466762</c:v>
                </c:pt>
                <c:pt idx="546">
                  <c:v>8.94620617923306</c:v>
                </c:pt>
                <c:pt idx="547">
                  <c:v>4.69800801295536</c:v>
                </c:pt>
                <c:pt idx="548">
                  <c:v>4.71748792671952</c:v>
                </c:pt>
                <c:pt idx="549">
                  <c:v>8.93283010343327</c:v>
                </c:pt>
                <c:pt idx="550">
                  <c:v>9.43595732427679</c:v>
                </c:pt>
                <c:pt idx="551">
                  <c:v>8.49432630109554</c:v>
                </c:pt>
                <c:pt idx="552">
                  <c:v>4.59544079658287</c:v>
                </c:pt>
                <c:pt idx="553">
                  <c:v>4.84740948628356</c:v>
                </c:pt>
                <c:pt idx="554">
                  <c:v>9.15747816956328</c:v>
                </c:pt>
                <c:pt idx="555">
                  <c:v>9.3721307973174</c:v>
                </c:pt>
                <c:pt idx="556">
                  <c:v>5.56786602780008</c:v>
                </c:pt>
                <c:pt idx="557">
                  <c:v>4.52597270841473</c:v>
                </c:pt>
                <c:pt idx="558">
                  <c:v>5.05392782529482</c:v>
                </c:pt>
                <c:pt idx="559">
                  <c:v>9.30161027943659</c:v>
                </c:pt>
                <c:pt idx="560">
                  <c:v>9.28185370749851</c:v>
                </c:pt>
                <c:pt idx="561">
                  <c:v>5.06778089277027</c:v>
                </c:pt>
                <c:pt idx="562">
                  <c:v>4.56301971773711</c:v>
                </c:pt>
                <c:pt idx="563">
                  <c:v>5.50742315110441</c:v>
                </c:pt>
                <c:pt idx="564">
                  <c:v>9.40383486695884</c:v>
                </c:pt>
                <c:pt idx="565">
                  <c:v>9.152234147272</c:v>
                </c:pt>
                <c:pt idx="566">
                  <c:v>4.84254623401061</c:v>
                </c:pt>
                <c:pt idx="567">
                  <c:v>4.62699412681431</c:v>
                </c:pt>
                <c:pt idx="568">
                  <c:v>8.43467490276066</c:v>
                </c:pt>
                <c:pt idx="569">
                  <c:v>9.47298631466762</c:v>
                </c:pt>
                <c:pt idx="570">
                  <c:v>8.94620617923306</c:v>
                </c:pt>
                <c:pt idx="571">
                  <c:v>4.69800801295549</c:v>
                </c:pt>
                <c:pt idx="572">
                  <c:v>4.71748792671959</c:v>
                </c:pt>
                <c:pt idx="573">
                  <c:v>8.93283010343327</c:v>
                </c:pt>
                <c:pt idx="574">
                  <c:v>9.43595732427679</c:v>
                </c:pt>
                <c:pt idx="575">
                  <c:v>8.49432630109572</c:v>
                </c:pt>
                <c:pt idx="576">
                  <c:v>4.59544079658288</c:v>
                </c:pt>
                <c:pt idx="577">
                  <c:v>4.84740948628356</c:v>
                </c:pt>
                <c:pt idx="578">
                  <c:v>9.15747816956328</c:v>
                </c:pt>
                <c:pt idx="579">
                  <c:v>9.3721307973174</c:v>
                </c:pt>
                <c:pt idx="580">
                  <c:v>5.56786602779848</c:v>
                </c:pt>
                <c:pt idx="581">
                  <c:v>4.52597270841459</c:v>
                </c:pt>
                <c:pt idx="582">
                  <c:v>5.05392782529467</c:v>
                </c:pt>
                <c:pt idx="583">
                  <c:v>9.30161027943659</c:v>
                </c:pt>
                <c:pt idx="584">
                  <c:v>9.28185370749851</c:v>
                </c:pt>
                <c:pt idx="585">
                  <c:v>5.06778089277005</c:v>
                </c:pt>
                <c:pt idx="586">
                  <c:v>4.56301971773708</c:v>
                </c:pt>
                <c:pt idx="587">
                  <c:v>5.50742315110445</c:v>
                </c:pt>
                <c:pt idx="588">
                  <c:v>9.40383486695697</c:v>
                </c:pt>
                <c:pt idx="589">
                  <c:v>9.152234147272</c:v>
                </c:pt>
                <c:pt idx="590">
                  <c:v>4.84254623401078</c:v>
                </c:pt>
                <c:pt idx="591">
                  <c:v>4.62699412681433</c:v>
                </c:pt>
                <c:pt idx="592">
                  <c:v>8.43467490276061</c:v>
                </c:pt>
                <c:pt idx="593">
                  <c:v>9.47298631466762</c:v>
                </c:pt>
                <c:pt idx="594">
                  <c:v>8.94620617923306</c:v>
                </c:pt>
                <c:pt idx="595">
                  <c:v>4.69800801295558</c:v>
                </c:pt>
                <c:pt idx="596">
                  <c:v>4.71748792671958</c:v>
                </c:pt>
                <c:pt idx="597">
                  <c:v>8.93283010343327</c:v>
                </c:pt>
                <c:pt idx="598">
                  <c:v>9.43595732427679</c:v>
                </c:pt>
                <c:pt idx="599">
                  <c:v>8.49432630109405</c:v>
                </c:pt>
                <c:pt idx="600">
                  <c:v>4.59544079658266</c:v>
                </c:pt>
                <c:pt idx="601">
                  <c:v>4.92649080562883</c:v>
                </c:pt>
                <c:pt idx="602">
                  <c:v>9.47135112186989</c:v>
                </c:pt>
                <c:pt idx="603">
                  <c:v>9.62212900983321</c:v>
                </c:pt>
                <c:pt idx="604">
                  <c:v>9.43261475276531</c:v>
                </c:pt>
                <c:pt idx="605">
                  <c:v>8.97521603863669</c:v>
                </c:pt>
                <c:pt idx="606">
                  <c:v>5.11108277862893</c:v>
                </c:pt>
                <c:pt idx="607">
                  <c:v>5.30176317759111</c:v>
                </c:pt>
                <c:pt idx="608">
                  <c:v>9.49642051225114</c:v>
                </c:pt>
                <c:pt idx="609">
                  <c:v>9.52117959051881</c:v>
                </c:pt>
                <c:pt idx="610">
                  <c:v>9.21874430482487</c:v>
                </c:pt>
                <c:pt idx="611">
                  <c:v>5.84693584460402</c:v>
                </c:pt>
                <c:pt idx="612">
                  <c:v>4.8208591222092</c:v>
                </c:pt>
                <c:pt idx="613">
                  <c:v>9.20052226831155</c:v>
                </c:pt>
                <c:pt idx="614">
                  <c:v>9.5765186554288</c:v>
                </c:pt>
                <c:pt idx="615">
                  <c:v>9.3717130867673</c:v>
                </c:pt>
                <c:pt idx="616">
                  <c:v>8.74582325472296</c:v>
                </c:pt>
                <c:pt idx="617">
                  <c:v>4.95205222451212</c:v>
                </c:pt>
                <c:pt idx="618">
                  <c:v>8.16991400668123</c:v>
                </c:pt>
                <c:pt idx="619">
                  <c:v>9.58557951214621</c:v>
                </c:pt>
                <c:pt idx="620">
                  <c:v>9.48038549763817</c:v>
                </c:pt>
                <c:pt idx="621">
                  <c:v>9.10801375402703</c:v>
                </c:pt>
                <c:pt idx="622">
                  <c:v>5.30255406334835</c:v>
                </c:pt>
                <c:pt idx="623">
                  <c:v>4.96744689598382</c:v>
                </c:pt>
                <c:pt idx="624">
                  <c:v>9.37575246465005</c:v>
                </c:pt>
                <c:pt idx="625">
                  <c:v>9.55280022375016</c:v>
                </c:pt>
                <c:pt idx="626">
                  <c:v>9.30143338434578</c:v>
                </c:pt>
                <c:pt idx="627">
                  <c:v>8.29201791205219</c:v>
                </c:pt>
                <c:pt idx="628">
                  <c:v>4.86320468090702</c:v>
                </c:pt>
                <c:pt idx="629">
                  <c:v>8.92968741524753</c:v>
                </c:pt>
                <c:pt idx="630">
                  <c:v>9.59147399743627</c:v>
                </c:pt>
                <c:pt idx="631">
                  <c:v>9.43053619481303</c:v>
                </c:pt>
                <c:pt idx="632">
                  <c:v>8.96286004830542</c:v>
                </c:pt>
                <c:pt idx="633">
                  <c:v>5.08478246183107</c:v>
                </c:pt>
                <c:pt idx="634">
                  <c:v>5.29981244651135</c:v>
                </c:pt>
                <c:pt idx="635">
                  <c:v>9.49726781758846</c:v>
                </c:pt>
                <c:pt idx="636">
                  <c:v>9.52074660220091</c:v>
                </c:pt>
                <c:pt idx="637">
                  <c:v>9.21591654499689</c:v>
                </c:pt>
                <c:pt idx="638">
                  <c:v>5.8015099816215</c:v>
                </c:pt>
                <c:pt idx="639">
                  <c:v>4.81863047283555</c:v>
                </c:pt>
                <c:pt idx="640">
                  <c:v>9.20318145761462</c:v>
                </c:pt>
                <c:pt idx="641">
                  <c:v>9.57679870717189</c:v>
                </c:pt>
                <c:pt idx="642">
                  <c:v>9.37160909179364</c:v>
                </c:pt>
                <c:pt idx="643">
                  <c:v>8.74427307255437</c:v>
                </c:pt>
                <c:pt idx="644">
                  <c:v>4.9510121291068</c:v>
                </c:pt>
                <c:pt idx="645">
                  <c:v>8.17149114470857</c:v>
                </c:pt>
                <c:pt idx="646">
                  <c:v>9.58566668009931</c:v>
                </c:pt>
                <c:pt idx="647">
                  <c:v>9.48037430354952</c:v>
                </c:pt>
                <c:pt idx="648">
                  <c:v>9.10787961752093</c:v>
                </c:pt>
                <c:pt idx="649">
                  <c:v>5.30203596983693</c:v>
                </c:pt>
                <c:pt idx="650">
                  <c:v>6.05007802558092</c:v>
                </c:pt>
                <c:pt idx="651">
                  <c:v>9.9036282245445</c:v>
                </c:pt>
                <c:pt idx="652">
                  <c:v>10.0600573911737</c:v>
                </c:pt>
                <c:pt idx="653">
                  <c:v>10.1102092670283</c:v>
                </c:pt>
                <c:pt idx="654">
                  <c:v>10.1291515469096</c:v>
                </c:pt>
                <c:pt idx="655">
                  <c:v>10.1248654269998</c:v>
                </c:pt>
                <c:pt idx="656">
                  <c:v>10.0997368014285</c:v>
                </c:pt>
                <c:pt idx="657">
                  <c:v>10.0529349095577</c:v>
                </c:pt>
                <c:pt idx="658">
                  <c:v>9.98013608263537</c:v>
                </c:pt>
                <c:pt idx="659">
                  <c:v>9.87101091558362</c:v>
                </c:pt>
                <c:pt idx="660">
                  <c:v>9.70022532120438</c:v>
                </c:pt>
                <c:pt idx="661">
                  <c:v>9.38210450610036</c:v>
                </c:pt>
                <c:pt idx="662">
                  <c:v>5.65528423455175</c:v>
                </c:pt>
                <c:pt idx="663">
                  <c:v>4.62101911728582</c:v>
                </c:pt>
                <c:pt idx="664">
                  <c:v>8.56335950280494</c:v>
                </c:pt>
                <c:pt idx="665">
                  <c:v>9.59120944947316</c:v>
                </c:pt>
                <c:pt idx="666">
                  <c:v>9.4325545111875</c:v>
                </c:pt>
                <c:pt idx="667">
                  <c:v>8.8880549476438</c:v>
                </c:pt>
                <c:pt idx="668">
                  <c:v>4.95929622023024</c:v>
                </c:pt>
                <c:pt idx="669">
                  <c:v>5.47274654952744</c:v>
                </c:pt>
                <c:pt idx="670">
                  <c:v>9.52351953532449</c:v>
                </c:pt>
                <c:pt idx="671">
                  <c:v>9.52140653135303</c:v>
                </c:pt>
                <c:pt idx="672">
                  <c:v>9.20313786901851</c:v>
                </c:pt>
                <c:pt idx="673">
                  <c:v>5.60900863037013</c:v>
                </c:pt>
                <c:pt idx="674">
                  <c:v>4.80445930255107</c:v>
                </c:pt>
                <c:pt idx="675">
                  <c:v>9.20933667093214</c:v>
                </c:pt>
                <c:pt idx="676">
                  <c:v>9.57950011815447</c:v>
                </c:pt>
                <c:pt idx="677">
                  <c:v>9.3756408974199</c:v>
                </c:pt>
                <c:pt idx="678">
                  <c:v>8.7540439547437</c:v>
                </c:pt>
                <c:pt idx="679">
                  <c:v>4.94791155175476</c:v>
                </c:pt>
                <c:pt idx="680">
                  <c:v>8.04863753319116</c:v>
                </c:pt>
                <c:pt idx="681">
                  <c:v>9.58274960379942</c:v>
                </c:pt>
                <c:pt idx="682">
                  <c:v>9.48389396548556</c:v>
                </c:pt>
                <c:pt idx="683">
                  <c:v>9.11763990972798</c:v>
                </c:pt>
                <c:pt idx="684">
                  <c:v>5.31858125788853</c:v>
                </c:pt>
                <c:pt idx="685">
                  <c:v>4.95473903503971</c:v>
                </c:pt>
                <c:pt idx="686">
                  <c:v>9.36721829628419</c:v>
                </c:pt>
                <c:pt idx="687">
                  <c:v>9.55491696025343</c:v>
                </c:pt>
                <c:pt idx="688">
                  <c:v>9.30831162499533</c:v>
                </c:pt>
                <c:pt idx="689">
                  <c:v>8.3513607695388</c:v>
                </c:pt>
                <c:pt idx="690">
                  <c:v>4.86486831193171</c:v>
                </c:pt>
                <c:pt idx="691">
                  <c:v>8.90406123450923</c:v>
                </c:pt>
                <c:pt idx="692">
                  <c:v>9.59172384549818</c:v>
                </c:pt>
                <c:pt idx="693">
                  <c:v>9.43531219561269</c:v>
                </c:pt>
                <c:pt idx="694">
                  <c:v>8.97818421845227</c:v>
                </c:pt>
                <c:pt idx="695">
                  <c:v>5.09542616291468</c:v>
                </c:pt>
                <c:pt idx="696">
                  <c:v>5.26526256387076</c:v>
                </c:pt>
                <c:pt idx="697">
                  <c:v>9.49067495575371</c:v>
                </c:pt>
                <c:pt idx="698">
                  <c:v>9.52369734239605</c:v>
                </c:pt>
                <c:pt idx="699">
                  <c:v>9.22474676544593</c:v>
                </c:pt>
                <c:pt idx="700">
                  <c:v>5.88514523949904</c:v>
                </c:pt>
                <c:pt idx="701">
                  <c:v>4.81553796541805</c:v>
                </c:pt>
                <c:pt idx="702">
                  <c:v>9.18891224332806</c:v>
                </c:pt>
                <c:pt idx="703">
                  <c:v>9.57808911092861</c:v>
                </c:pt>
                <c:pt idx="704">
                  <c:v>9.37746680497974</c:v>
                </c:pt>
                <c:pt idx="705">
                  <c:v>8.76876375944832</c:v>
                </c:pt>
                <c:pt idx="706">
                  <c:v>4.95676280657199</c:v>
                </c:pt>
                <c:pt idx="707">
                  <c:v>8.00805559383731</c:v>
                </c:pt>
                <c:pt idx="708">
                  <c:v>9.58132477055209</c:v>
                </c:pt>
                <c:pt idx="709">
                  <c:v>9.48420779457198</c:v>
                </c:pt>
                <c:pt idx="710">
                  <c:v>9.11922579483059</c:v>
                </c:pt>
                <c:pt idx="711">
                  <c:v>5.32400825484016</c:v>
                </c:pt>
                <c:pt idx="712">
                  <c:v>4.95412011966156</c:v>
                </c:pt>
                <c:pt idx="713">
                  <c:v>9.3663150078298</c:v>
                </c:pt>
                <c:pt idx="714">
                  <c:v>9.55493998242144</c:v>
                </c:pt>
                <c:pt idx="715">
                  <c:v>9.30857115590296</c:v>
                </c:pt>
                <c:pt idx="716">
                  <c:v>8.35439756127016</c:v>
                </c:pt>
                <c:pt idx="717">
                  <c:v>4.86528390187984</c:v>
                </c:pt>
                <c:pt idx="718">
                  <c:v>8.90335080103378</c:v>
                </c:pt>
                <c:pt idx="719">
                  <c:v>9.59169858678374</c:v>
                </c:pt>
                <c:pt idx="720">
                  <c:v>9.43535890249704</c:v>
                </c:pt>
                <c:pt idx="721">
                  <c:v>8.97837235633754</c:v>
                </c:pt>
                <c:pt idx="722">
                  <c:v>5.0956557092211</c:v>
                </c:pt>
                <c:pt idx="723">
                  <c:v>5.26504085679484</c:v>
                </c:pt>
                <c:pt idx="724">
                  <c:v>9.49061399562094</c:v>
                </c:pt>
                <c:pt idx="725">
                  <c:v>9.52370327911818</c:v>
                </c:pt>
                <c:pt idx="726">
                  <c:v>9.22477355642089</c:v>
                </c:pt>
                <c:pt idx="727">
                  <c:v>5.88553377175772</c:v>
                </c:pt>
                <c:pt idx="728">
                  <c:v>4.81554903525762</c:v>
                </c:pt>
                <c:pt idx="729">
                  <c:v>9.18887936010808</c:v>
                </c:pt>
                <c:pt idx="730">
                  <c:v>9.57808876188525</c:v>
                </c:pt>
                <c:pt idx="731">
                  <c:v>9.37747128935933</c:v>
                </c:pt>
                <c:pt idx="732">
                  <c:v>8.76878633880878</c:v>
                </c:pt>
                <c:pt idx="733">
                  <c:v>4.95677357222153</c:v>
                </c:pt>
                <c:pt idx="734">
                  <c:v>8.00794704258824</c:v>
                </c:pt>
                <c:pt idx="735">
                  <c:v>9.58132140784137</c:v>
                </c:pt>
                <c:pt idx="736">
                  <c:v>9.4842084774545</c:v>
                </c:pt>
                <c:pt idx="737">
                  <c:v>9.11922831355472</c:v>
                </c:pt>
                <c:pt idx="738">
                  <c:v>5.32401555002911</c:v>
                </c:pt>
                <c:pt idx="739">
                  <c:v>4.95411863798901</c:v>
                </c:pt>
                <c:pt idx="740">
                  <c:v>9.36631336825929</c:v>
                </c:pt>
                <c:pt idx="741">
                  <c:v>9.5549400318216</c:v>
                </c:pt>
                <c:pt idx="742">
                  <c:v>9.30857154491246</c:v>
                </c:pt>
                <c:pt idx="743">
                  <c:v>8.35440159513117</c:v>
                </c:pt>
                <c:pt idx="744">
                  <c:v>4.86528439203672</c:v>
                </c:pt>
                <c:pt idx="745">
                  <c:v>8.90334970818608</c:v>
                </c:pt>
                <c:pt idx="746">
                  <c:v>9.59169855106023</c:v>
                </c:pt>
                <c:pt idx="747">
                  <c:v>9.43535896766344</c:v>
                </c:pt>
                <c:pt idx="748">
                  <c:v>8.97837259868613</c:v>
                </c:pt>
                <c:pt idx="749">
                  <c:v>5.09565598755287</c:v>
                </c:pt>
                <c:pt idx="750">
                  <c:v>5.26504054848147</c:v>
                </c:pt>
                <c:pt idx="751">
                  <c:v>9.49061391289954</c:v>
                </c:pt>
                <c:pt idx="752">
                  <c:v>9.52370328682356</c:v>
                </c:pt>
                <c:pt idx="753">
                  <c:v>9.22477358970402</c:v>
                </c:pt>
                <c:pt idx="754">
                  <c:v>5.8855342370727</c:v>
                </c:pt>
                <c:pt idx="755">
                  <c:v>4.81554904706014</c:v>
                </c:pt>
                <c:pt idx="756">
                  <c:v>9.18887931867918</c:v>
                </c:pt>
                <c:pt idx="757">
                  <c:v>9.57808876146195</c:v>
                </c:pt>
                <c:pt idx="758">
                  <c:v>9.37747129477237</c:v>
                </c:pt>
                <c:pt idx="759">
                  <c:v>8.76878636540429</c:v>
                </c:pt>
                <c:pt idx="760">
                  <c:v>4.95677358461739</c:v>
                </c:pt>
                <c:pt idx="761">
                  <c:v>8.0079469114441</c:v>
                </c:pt>
                <c:pt idx="762">
                  <c:v>9.58132140378999</c:v>
                </c:pt>
                <c:pt idx="763">
                  <c:v>9.48420847825991</c:v>
                </c:pt>
                <c:pt idx="764">
                  <c:v>9.11922831648289</c:v>
                </c:pt>
                <c:pt idx="765">
                  <c:v>5.32401555840275</c:v>
                </c:pt>
                <c:pt idx="766">
                  <c:v>4.95411863622991</c:v>
                </c:pt>
                <c:pt idx="767">
                  <c:v>9.36631336633882</c:v>
                </c:pt>
                <c:pt idx="768">
                  <c:v>9.55494003187969</c:v>
                </c:pt>
                <c:pt idx="769">
                  <c:v>9.30857154536013</c:v>
                </c:pt>
                <c:pt idx="770">
                  <c:v>8.35440159973454</c:v>
                </c:pt>
                <c:pt idx="771">
                  <c:v>4.86528439259046</c:v>
                </c:pt>
                <c:pt idx="772">
                  <c:v>8.90334970692665</c:v>
                </c:pt>
                <c:pt idx="773">
                  <c:v>9.59169855101425</c:v>
                </c:pt>
                <c:pt idx="774">
                  <c:v>9.43535896773561</c:v>
                </c:pt>
                <c:pt idx="775">
                  <c:v>8.97837259896192</c:v>
                </c:pt>
                <c:pt idx="776">
                  <c:v>5.09565598786815</c:v>
                </c:pt>
                <c:pt idx="777">
                  <c:v>5.26504054812894</c:v>
                </c:pt>
                <c:pt idx="778">
                  <c:v>9.49061391280391</c:v>
                </c:pt>
                <c:pt idx="779">
                  <c:v>9.52370328683339</c:v>
                </c:pt>
                <c:pt idx="780">
                  <c:v>9.22477358974229</c:v>
                </c:pt>
                <c:pt idx="781">
                  <c:v>5.88553423760447</c:v>
                </c:pt>
                <c:pt idx="782">
                  <c:v>4.81554904707343</c:v>
                </c:pt>
                <c:pt idx="783">
                  <c:v>9.18887931863258</c:v>
                </c:pt>
                <c:pt idx="784">
                  <c:v>9.57808876146195</c:v>
                </c:pt>
                <c:pt idx="785">
                  <c:v>9.37747129477763</c:v>
                </c:pt>
                <c:pt idx="786">
                  <c:v>8.76878636543367</c:v>
                </c:pt>
                <c:pt idx="787">
                  <c:v>4.95677358463113</c:v>
                </c:pt>
                <c:pt idx="788">
                  <c:v>8.00794691129796</c:v>
                </c:pt>
                <c:pt idx="789">
                  <c:v>9.58132140378438</c:v>
                </c:pt>
                <c:pt idx="790">
                  <c:v>9.48420847825991</c:v>
                </c:pt>
                <c:pt idx="791">
                  <c:v>9.11922831648531</c:v>
                </c:pt>
                <c:pt idx="792">
                  <c:v>5.32401555840946</c:v>
                </c:pt>
                <c:pt idx="793">
                  <c:v>4.95411863622864</c:v>
                </c:pt>
                <c:pt idx="794">
                  <c:v>9.36631336633711</c:v>
                </c:pt>
                <c:pt idx="795">
                  <c:v>9.55494003187969</c:v>
                </c:pt>
                <c:pt idx="796">
                  <c:v>9.30857154536013</c:v>
                </c:pt>
                <c:pt idx="797">
                  <c:v>8.35440159974105</c:v>
                </c:pt>
                <c:pt idx="798">
                  <c:v>4.86528439259134</c:v>
                </c:pt>
                <c:pt idx="799">
                  <c:v>8.90334970692488</c:v>
                </c:pt>
                <c:pt idx="800">
                  <c:v>9.59169855101425</c:v>
                </c:pt>
                <c:pt idx="801">
                  <c:v>9.39605969007884</c:v>
                </c:pt>
                <c:pt idx="802">
                  <c:v>5.23689625043104</c:v>
                </c:pt>
                <c:pt idx="803">
                  <c:v>4.47964388522112</c:v>
                </c:pt>
                <c:pt idx="804">
                  <c:v>4.92168564865902</c:v>
                </c:pt>
                <c:pt idx="805">
                  <c:v>9.21566907400885</c:v>
                </c:pt>
                <c:pt idx="806">
                  <c:v>9.35118149128142</c:v>
                </c:pt>
                <c:pt idx="807">
                  <c:v>5.32605338734031</c:v>
                </c:pt>
                <c:pt idx="808">
                  <c:v>4.50765960163661</c:v>
                </c:pt>
                <c:pt idx="809">
                  <c:v>5.03012734682956</c:v>
                </c:pt>
                <c:pt idx="810">
                  <c:v>9.29206951619111</c:v>
                </c:pt>
                <c:pt idx="811">
                  <c:v>9.2843785788307</c:v>
                </c:pt>
                <c:pt idx="812">
                  <c:v>5.07543160614176</c:v>
                </c:pt>
                <c:pt idx="813">
                  <c:v>4.56077012229484</c:v>
                </c:pt>
                <c:pt idx="814">
                  <c:v>5.46813343830356</c:v>
                </c:pt>
                <c:pt idx="815">
                  <c:v>9.4005081483288</c:v>
                </c:pt>
                <c:pt idx="816">
                  <c:v>9.15828157283769</c:v>
                </c:pt>
                <c:pt idx="817">
                  <c:v>4.84869154322528</c:v>
                </c:pt>
                <c:pt idx="818">
                  <c:v>4.62422725845099</c:v>
                </c:pt>
                <c:pt idx="819">
                  <c:v>8.39291749414215</c:v>
                </c:pt>
                <c:pt idx="820">
                  <c:v>9.47239102998308</c:v>
                </c:pt>
                <c:pt idx="821">
                  <c:v>8.9575077708061</c:v>
                </c:pt>
                <c:pt idx="822">
                  <c:v>4.70205351946701</c:v>
                </c:pt>
                <c:pt idx="823">
                  <c:v>4.71328715533976</c:v>
                </c:pt>
                <c:pt idx="824">
                  <c:v>8.92066512162552</c:v>
                </c:pt>
                <c:pt idx="825">
                  <c:v>9.43735316512616</c:v>
                </c:pt>
                <c:pt idx="826">
                  <c:v>8.52709471919156</c:v>
                </c:pt>
                <c:pt idx="827">
                  <c:v>4.59785089023553</c:v>
                </c:pt>
                <c:pt idx="828">
                  <c:v>4.84088406651093</c:v>
                </c:pt>
                <c:pt idx="829">
                  <c:v>9.15085820567774</c:v>
                </c:pt>
                <c:pt idx="830">
                  <c:v>9.37479082812884</c:v>
                </c:pt>
                <c:pt idx="831">
                  <c:v>5.60903875650102</c:v>
                </c:pt>
                <c:pt idx="832">
                  <c:v>4.52651897342185</c:v>
                </c:pt>
                <c:pt idx="833">
                  <c:v>5.0425101057991</c:v>
                </c:pt>
                <c:pt idx="834">
                  <c:v>9.29752940922163</c:v>
                </c:pt>
                <c:pt idx="835">
                  <c:v>9.28602709496053</c:v>
                </c:pt>
                <c:pt idx="836">
                  <c:v>5.07993308182427</c:v>
                </c:pt>
                <c:pt idx="837">
                  <c:v>4.56161383359777</c:v>
                </c:pt>
                <c:pt idx="838">
                  <c:v>5.47444204947146</c:v>
                </c:pt>
                <c:pt idx="839">
                  <c:v>9.40142716045646</c:v>
                </c:pt>
                <c:pt idx="840">
                  <c:v>9.15873854264851</c:v>
                </c:pt>
                <c:pt idx="841">
                  <c:v>4.84917389511903</c:v>
                </c:pt>
                <c:pt idx="842">
                  <c:v>4.6243244098761</c:v>
                </c:pt>
                <c:pt idx="843">
                  <c:v>8.39371386615164</c:v>
                </c:pt>
                <c:pt idx="844">
                  <c:v>9.47244726097556</c:v>
                </c:pt>
                <c:pt idx="845">
                  <c:v>8.95758826084034</c:v>
                </c:pt>
                <c:pt idx="846">
                  <c:v>4.70209613892602</c:v>
                </c:pt>
                <c:pt idx="847">
                  <c:v>4.71330157696982</c:v>
                </c:pt>
                <c:pt idx="848">
                  <c:v>8.92069873644513</c:v>
                </c:pt>
                <c:pt idx="849">
                  <c:v>9.43735773146695</c:v>
                </c:pt>
                <c:pt idx="850">
                  <c:v>8.52712040047935</c:v>
                </c:pt>
                <c:pt idx="851">
                  <c:v>4.59785464947108</c:v>
                </c:pt>
                <c:pt idx="852">
                  <c:v>4.84088619233132</c:v>
                </c:pt>
                <c:pt idx="853">
                  <c:v>9.15086059593366</c:v>
                </c:pt>
                <c:pt idx="854">
                  <c:v>9.37479135499408</c:v>
                </c:pt>
                <c:pt idx="855">
                  <c:v>5.60904329093884</c:v>
                </c:pt>
                <c:pt idx="856">
                  <c:v>4.5265192850785</c:v>
                </c:pt>
                <c:pt idx="857">
                  <c:v>5.04251050679608</c:v>
                </c:pt>
                <c:pt idx="858">
                  <c:v>9.29752961701812</c:v>
                </c:pt>
                <c:pt idx="859">
                  <c:v>9.28602716520597</c:v>
                </c:pt>
                <c:pt idx="860">
                  <c:v>5.07993324853732</c:v>
                </c:pt>
                <c:pt idx="861">
                  <c:v>4.56161385670972</c:v>
                </c:pt>
                <c:pt idx="862">
                  <c:v>5.47444218217648</c:v>
                </c:pt>
                <c:pt idx="863">
                  <c:v>9.4014271796987</c:v>
                </c:pt>
                <c:pt idx="864">
                  <c:v>9.15873855348167</c:v>
                </c:pt>
                <c:pt idx="865">
                  <c:v>4.84917390732342</c:v>
                </c:pt>
                <c:pt idx="866">
                  <c:v>4.62432441253793</c:v>
                </c:pt>
                <c:pt idx="867">
                  <c:v>8.39371388865886</c:v>
                </c:pt>
                <c:pt idx="868">
                  <c:v>9.4724472625237</c:v>
                </c:pt>
                <c:pt idx="869">
                  <c:v>8.95758826287218</c:v>
                </c:pt>
                <c:pt idx="870">
                  <c:v>4.70209613998808</c:v>
                </c:pt>
                <c:pt idx="871">
                  <c:v>4.71330157732725</c:v>
                </c:pt>
                <c:pt idx="872">
                  <c:v>8.92069873728485</c:v>
                </c:pt>
                <c:pt idx="873">
                  <c:v>9.43735773158175</c:v>
                </c:pt>
                <c:pt idx="874">
                  <c:v>8.52712040114921</c:v>
                </c:pt>
                <c:pt idx="875">
                  <c:v>4.59785464956915</c:v>
                </c:pt>
                <c:pt idx="876">
                  <c:v>4.84088619238615</c:v>
                </c:pt>
                <c:pt idx="877">
                  <c:v>9.1508605959951</c:v>
                </c:pt>
                <c:pt idx="878">
                  <c:v>9.37479135500803</c:v>
                </c:pt>
                <c:pt idx="879">
                  <c:v>5.60904329105375</c:v>
                </c:pt>
                <c:pt idx="880">
                  <c:v>4.52651928508639</c:v>
                </c:pt>
                <c:pt idx="881">
                  <c:v>5.0425105068063</c:v>
                </c:pt>
                <c:pt idx="882">
                  <c:v>9.29752961702396</c:v>
                </c:pt>
                <c:pt idx="883">
                  <c:v>9.28602716520739</c:v>
                </c:pt>
                <c:pt idx="884">
                  <c:v>5.07993324854155</c:v>
                </c:pt>
                <c:pt idx="885">
                  <c:v>4.56161385671033</c:v>
                </c:pt>
                <c:pt idx="886">
                  <c:v>5.47444218218008</c:v>
                </c:pt>
                <c:pt idx="887">
                  <c:v>9.40142717970055</c:v>
                </c:pt>
                <c:pt idx="888">
                  <c:v>9.1587385534822</c:v>
                </c:pt>
                <c:pt idx="889">
                  <c:v>4.8491739073237</c:v>
                </c:pt>
                <c:pt idx="890">
                  <c:v>4.62432441253803</c:v>
                </c:pt>
                <c:pt idx="891">
                  <c:v>8.39371388865972</c:v>
                </c:pt>
                <c:pt idx="892">
                  <c:v>9.4724472625237</c:v>
                </c:pt>
                <c:pt idx="893">
                  <c:v>8.95758826287251</c:v>
                </c:pt>
                <c:pt idx="894">
                  <c:v>4.70209613998812</c:v>
                </c:pt>
                <c:pt idx="895">
                  <c:v>4.71330157732725</c:v>
                </c:pt>
                <c:pt idx="896">
                  <c:v>8.92069873728485</c:v>
                </c:pt>
                <c:pt idx="897">
                  <c:v>9.43735773158377</c:v>
                </c:pt>
                <c:pt idx="898">
                  <c:v>8.52712040114921</c:v>
                </c:pt>
                <c:pt idx="899">
                  <c:v>4.59785464956905</c:v>
                </c:pt>
                <c:pt idx="900">
                  <c:v>4.84088619238608</c:v>
                </c:pt>
                <c:pt idx="901">
                  <c:v>9.1508605959951</c:v>
                </c:pt>
                <c:pt idx="902">
                  <c:v>9.37479135500803</c:v>
                </c:pt>
                <c:pt idx="903">
                  <c:v>5.6090432910531</c:v>
                </c:pt>
                <c:pt idx="904">
                  <c:v>4.52651928508635</c:v>
                </c:pt>
                <c:pt idx="905">
                  <c:v>5.0425105068063</c:v>
                </c:pt>
                <c:pt idx="906">
                  <c:v>9.29752961702396</c:v>
                </c:pt>
                <c:pt idx="907">
                  <c:v>9.28602716520739</c:v>
                </c:pt>
                <c:pt idx="908">
                  <c:v>5.07993324854163</c:v>
                </c:pt>
                <c:pt idx="909">
                  <c:v>4.56161385671034</c:v>
                </c:pt>
                <c:pt idx="910">
                  <c:v>5.47444218218015</c:v>
                </c:pt>
                <c:pt idx="911">
                  <c:v>9.4014271796987</c:v>
                </c:pt>
                <c:pt idx="912">
                  <c:v>9.15873855348167</c:v>
                </c:pt>
                <c:pt idx="913">
                  <c:v>4.84917390732386</c:v>
                </c:pt>
                <c:pt idx="914">
                  <c:v>4.62432441253807</c:v>
                </c:pt>
                <c:pt idx="915">
                  <c:v>8.3937138886599</c:v>
                </c:pt>
                <c:pt idx="916">
                  <c:v>9.47244726252588</c:v>
                </c:pt>
                <c:pt idx="917">
                  <c:v>8.95758826287218</c:v>
                </c:pt>
                <c:pt idx="918">
                  <c:v>4.70209613998795</c:v>
                </c:pt>
                <c:pt idx="919">
                  <c:v>4.71330157732722</c:v>
                </c:pt>
                <c:pt idx="920">
                  <c:v>8.92069873728485</c:v>
                </c:pt>
                <c:pt idx="921">
                  <c:v>9.43735773158377</c:v>
                </c:pt>
                <c:pt idx="922">
                  <c:v>8.52712040114995</c:v>
                </c:pt>
                <c:pt idx="923">
                  <c:v>4.59785464956916</c:v>
                </c:pt>
                <c:pt idx="924">
                  <c:v>4.8408861923861</c:v>
                </c:pt>
                <c:pt idx="925">
                  <c:v>9.1508605959951</c:v>
                </c:pt>
                <c:pt idx="926">
                  <c:v>9.37479135500803</c:v>
                </c:pt>
                <c:pt idx="927">
                  <c:v>5.60904329105374</c:v>
                </c:pt>
                <c:pt idx="928">
                  <c:v>4.52651928508644</c:v>
                </c:pt>
                <c:pt idx="929">
                  <c:v>5.04251050680646</c:v>
                </c:pt>
                <c:pt idx="930">
                  <c:v>9.29752961702396</c:v>
                </c:pt>
                <c:pt idx="931">
                  <c:v>9.28602716520739</c:v>
                </c:pt>
                <c:pt idx="932">
                  <c:v>5.0799332485416</c:v>
                </c:pt>
                <c:pt idx="933">
                  <c:v>4.56161385671031</c:v>
                </c:pt>
                <c:pt idx="934">
                  <c:v>5.47444218217984</c:v>
                </c:pt>
                <c:pt idx="935">
                  <c:v>9.4014271796987</c:v>
                </c:pt>
                <c:pt idx="936">
                  <c:v>9.1587385534822</c:v>
                </c:pt>
                <c:pt idx="937">
                  <c:v>4.84917390732383</c:v>
                </c:pt>
                <c:pt idx="938">
                  <c:v>4.62432441253804</c:v>
                </c:pt>
                <c:pt idx="939">
                  <c:v>8.39371388865965</c:v>
                </c:pt>
                <c:pt idx="940">
                  <c:v>9.4724472625237</c:v>
                </c:pt>
                <c:pt idx="941">
                  <c:v>8.95758826287218</c:v>
                </c:pt>
                <c:pt idx="942">
                  <c:v>4.70209613998792</c:v>
                </c:pt>
                <c:pt idx="943">
                  <c:v>4.71330157732721</c:v>
                </c:pt>
                <c:pt idx="944">
                  <c:v>8.92069873728485</c:v>
                </c:pt>
                <c:pt idx="945">
                  <c:v>9.43735773158175</c:v>
                </c:pt>
                <c:pt idx="946">
                  <c:v>8.52712040114937</c:v>
                </c:pt>
                <c:pt idx="947">
                  <c:v>4.59785464956916</c:v>
                </c:pt>
                <c:pt idx="948">
                  <c:v>4.84088619238615</c:v>
                </c:pt>
                <c:pt idx="949">
                  <c:v>9.1508605959951</c:v>
                </c:pt>
                <c:pt idx="950">
                  <c:v>9.37479135500803</c:v>
                </c:pt>
                <c:pt idx="951">
                  <c:v>5.60904329105375</c:v>
                </c:pt>
                <c:pt idx="952">
                  <c:v>4.52651928508641</c:v>
                </c:pt>
                <c:pt idx="953">
                  <c:v>5.04251050680637</c:v>
                </c:pt>
                <c:pt idx="954">
                  <c:v>9.29752961702396</c:v>
                </c:pt>
                <c:pt idx="955">
                  <c:v>9.28602716520739</c:v>
                </c:pt>
                <c:pt idx="956">
                  <c:v>5.07993324854157</c:v>
                </c:pt>
                <c:pt idx="957">
                  <c:v>4.56161385671032</c:v>
                </c:pt>
                <c:pt idx="958">
                  <c:v>5.47444218217995</c:v>
                </c:pt>
                <c:pt idx="959">
                  <c:v>9.40142717970055</c:v>
                </c:pt>
                <c:pt idx="960">
                  <c:v>9.15873855348167</c:v>
                </c:pt>
                <c:pt idx="961">
                  <c:v>4.84917390732388</c:v>
                </c:pt>
                <c:pt idx="962">
                  <c:v>4.62432441253809</c:v>
                </c:pt>
                <c:pt idx="963">
                  <c:v>8.39371388866006</c:v>
                </c:pt>
                <c:pt idx="964">
                  <c:v>9.47244726252588</c:v>
                </c:pt>
                <c:pt idx="965">
                  <c:v>8.95758826287251</c:v>
                </c:pt>
                <c:pt idx="966">
                  <c:v>4.702096139988</c:v>
                </c:pt>
                <c:pt idx="967">
                  <c:v>4.71330157732724</c:v>
                </c:pt>
                <c:pt idx="968">
                  <c:v>8.92069873728485</c:v>
                </c:pt>
                <c:pt idx="969">
                  <c:v>9.43735773158377</c:v>
                </c:pt>
                <c:pt idx="970">
                  <c:v>8.52712040114859</c:v>
                </c:pt>
                <c:pt idx="971">
                  <c:v>4.59785464956898</c:v>
                </c:pt>
                <c:pt idx="972">
                  <c:v>4.8408861923861</c:v>
                </c:pt>
                <c:pt idx="973">
                  <c:v>9.1508605959951</c:v>
                </c:pt>
                <c:pt idx="974">
                  <c:v>9.37479135500803</c:v>
                </c:pt>
                <c:pt idx="975">
                  <c:v>5.60904329105303</c:v>
                </c:pt>
                <c:pt idx="976">
                  <c:v>4.52651928508636</c:v>
                </c:pt>
                <c:pt idx="977">
                  <c:v>5.04251050680631</c:v>
                </c:pt>
                <c:pt idx="978">
                  <c:v>9.29752961702396</c:v>
                </c:pt>
                <c:pt idx="979">
                  <c:v>9.28602716520739</c:v>
                </c:pt>
                <c:pt idx="980">
                  <c:v>5.0799332485416</c:v>
                </c:pt>
                <c:pt idx="981">
                  <c:v>4.56161385671035</c:v>
                </c:pt>
                <c:pt idx="982">
                  <c:v>5.47444218218019</c:v>
                </c:pt>
                <c:pt idx="983">
                  <c:v>9.40142717970055</c:v>
                </c:pt>
                <c:pt idx="984">
                  <c:v>9.1587385534822</c:v>
                </c:pt>
                <c:pt idx="985">
                  <c:v>4.84917390732367</c:v>
                </c:pt>
                <c:pt idx="986">
                  <c:v>4.62432441253802</c:v>
                </c:pt>
                <c:pt idx="987">
                  <c:v>8.3937138886597</c:v>
                </c:pt>
                <c:pt idx="988">
                  <c:v>9.4724472625237</c:v>
                </c:pt>
                <c:pt idx="989">
                  <c:v>8.95758826287218</c:v>
                </c:pt>
                <c:pt idx="990">
                  <c:v>4.70209613998802</c:v>
                </c:pt>
                <c:pt idx="991">
                  <c:v>4.71330157732724</c:v>
                </c:pt>
                <c:pt idx="992">
                  <c:v>8.92069873728485</c:v>
                </c:pt>
                <c:pt idx="993">
                  <c:v>9.43735773158377</c:v>
                </c:pt>
                <c:pt idx="994">
                  <c:v>8.52712040114992</c:v>
                </c:pt>
                <c:pt idx="995">
                  <c:v>4.59785464956917</c:v>
                </c:pt>
                <c:pt idx="996">
                  <c:v>4.84088619238613</c:v>
                </c:pt>
                <c:pt idx="997">
                  <c:v>9.1508605959951</c:v>
                </c:pt>
                <c:pt idx="998">
                  <c:v>9.37479135500803</c:v>
                </c:pt>
                <c:pt idx="999">
                  <c:v>5.60904329105362</c:v>
                </c:pt>
                <c:pt idx="1000">
                  <c:v>4.52651928508641</c:v>
                </c:pt>
                <c:pt idx="1001">
                  <c:v>4.94181871778602</c:v>
                </c:pt>
                <c:pt idx="1002">
                  <c:v>8.65793602776045</c:v>
                </c:pt>
                <c:pt idx="1003">
                  <c:v>8.91432935141141</c:v>
                </c:pt>
                <c:pt idx="1004">
                  <c:v>4.56516899956303</c:v>
                </c:pt>
                <c:pt idx="1005">
                  <c:v>4.42330474773035</c:v>
                </c:pt>
                <c:pt idx="1006">
                  <c:v>4.65126336986069</c:v>
                </c:pt>
                <c:pt idx="1007">
                  <c:v>5.35180521729575</c:v>
                </c:pt>
                <c:pt idx="1008">
                  <c:v>9.07472936456489</c:v>
                </c:pt>
                <c:pt idx="1009">
                  <c:v>5.56792561301718</c:v>
                </c:pt>
                <c:pt idx="1010">
                  <c:v>4.3973675018352</c:v>
                </c:pt>
                <c:pt idx="1011">
                  <c:v>4.50818029373467</c:v>
                </c:pt>
                <c:pt idx="1012">
                  <c:v>4.86797107604575</c:v>
                </c:pt>
                <c:pt idx="1013">
                  <c:v>8.64609236269173</c:v>
                </c:pt>
                <c:pt idx="1014">
                  <c:v>9.05519886841595</c:v>
                </c:pt>
                <c:pt idx="1015">
                  <c:v>4.64189806859632</c:v>
                </c:pt>
                <c:pt idx="1016">
                  <c:v>4.44179241903596</c:v>
                </c:pt>
                <c:pt idx="1017">
                  <c:v>4.68619839036659</c:v>
                </c:pt>
                <c:pt idx="1018">
                  <c:v>5.61224315794627</c:v>
                </c:pt>
                <c:pt idx="1019">
                  <c:v>9.13114893382375</c:v>
                </c:pt>
                <c:pt idx="1020">
                  <c:v>5.10867356700762</c:v>
                </c:pt>
                <c:pt idx="1021">
                  <c:v>4.40665171926224</c:v>
                </c:pt>
                <c:pt idx="1022">
                  <c:v>4.56233211818197</c:v>
                </c:pt>
                <c:pt idx="1023">
                  <c:v>5.01868528722546</c:v>
                </c:pt>
                <c:pt idx="1024">
                  <c:v>8.90245349036761</c:v>
                </c:pt>
                <c:pt idx="1025">
                  <c:v>8.73900412222499</c:v>
                </c:pt>
                <c:pt idx="1026">
                  <c:v>4.50908050233277</c:v>
                </c:pt>
                <c:pt idx="1027">
                  <c:v>4.47462545982415</c:v>
                </c:pt>
                <c:pt idx="1028">
                  <c:v>4.77434196411734</c:v>
                </c:pt>
                <c:pt idx="1029">
                  <c:v>8.11940878797956</c:v>
                </c:pt>
                <c:pt idx="1030">
                  <c:v>9.18434148284772</c:v>
                </c:pt>
                <c:pt idx="1031">
                  <c:v>4.81055537138172</c:v>
                </c:pt>
                <c:pt idx="1032">
                  <c:v>4.42017336255205</c:v>
                </c:pt>
                <c:pt idx="1033">
                  <c:v>4.62150145465737</c:v>
                </c:pt>
                <c:pt idx="1034">
                  <c:v>5.23264962729974</c:v>
                </c:pt>
                <c:pt idx="1035">
                  <c:v>9.04414072264138</c:v>
                </c:pt>
                <c:pt idx="1036">
                  <c:v>5.9876867118145</c:v>
                </c:pt>
                <c:pt idx="1037">
                  <c:v>4.41683837266385</c:v>
                </c:pt>
                <c:pt idx="1038">
                  <c:v>4.51440735820498</c:v>
                </c:pt>
                <c:pt idx="1039">
                  <c:v>4.88077633682774</c:v>
                </c:pt>
                <c:pt idx="1040">
                  <c:v>8.67911653125727</c:v>
                </c:pt>
                <c:pt idx="1041">
                  <c:v>9.0453178362064</c:v>
                </c:pt>
                <c:pt idx="1042">
                  <c:v>4.63231970326303</c:v>
                </c:pt>
                <c:pt idx="1043">
                  <c:v>4.44340365548875</c:v>
                </c:pt>
                <c:pt idx="1044">
                  <c:v>4.69073316072711</c:v>
                </c:pt>
                <c:pt idx="1045">
                  <c:v>5.6515321623581</c:v>
                </c:pt>
                <c:pt idx="1046">
                  <c:v>9.13528166535246</c:v>
                </c:pt>
                <c:pt idx="1047">
                  <c:v>5.09537932622093</c:v>
                </c:pt>
                <c:pt idx="1048">
                  <c:v>4.4064999150025</c:v>
                </c:pt>
                <c:pt idx="1049">
                  <c:v>4.56346266272531</c:v>
                </c:pt>
                <c:pt idx="1050">
                  <c:v>5.02226827564626</c:v>
                </c:pt>
                <c:pt idx="1051">
                  <c:v>8.90611448186421</c:v>
                </c:pt>
                <c:pt idx="1052">
                  <c:v>8.73391070170139</c:v>
                </c:pt>
                <c:pt idx="1053">
                  <c:v>4.50775140785229</c:v>
                </c:pt>
                <c:pt idx="1054">
                  <c:v>4.47476399469188</c:v>
                </c:pt>
                <c:pt idx="1055">
                  <c:v>4.77485316715412</c:v>
                </c:pt>
                <c:pt idx="1056">
                  <c:v>8.12584788335627</c:v>
                </c:pt>
                <c:pt idx="1057">
                  <c:v>9.18445656214237</c:v>
                </c:pt>
                <c:pt idx="1058">
                  <c:v>4.80991031669964</c:v>
                </c:pt>
                <c:pt idx="1059">
                  <c:v>4.4201654102083</c:v>
                </c:pt>
                <c:pt idx="1060">
                  <c:v>4.62157570630117</c:v>
                </c:pt>
                <c:pt idx="1061">
                  <c:v>5.23299723195529</c:v>
                </c:pt>
                <c:pt idx="1062">
                  <c:v>9.04429258866764</c:v>
                </c:pt>
                <c:pt idx="1063">
                  <c:v>5.98593135125356</c:v>
                </c:pt>
                <c:pt idx="1064">
                  <c:v>4.41678360701382</c:v>
                </c:pt>
                <c:pt idx="1065">
                  <c:v>4.51441675504896</c:v>
                </c:pt>
                <c:pt idx="1066">
                  <c:v>4.88081049581666</c:v>
                </c:pt>
                <c:pt idx="1067">
                  <c:v>8.67921091072248</c:v>
                </c:pt>
                <c:pt idx="1068">
                  <c:v>9.0452970743789</c:v>
                </c:pt>
                <c:pt idx="1069">
                  <c:v>4.63229735701138</c:v>
                </c:pt>
                <c:pt idx="1070">
                  <c:v>4.44340411409129</c:v>
                </c:pt>
                <c:pt idx="1071">
                  <c:v>4.69073784145385</c:v>
                </c:pt>
                <c:pt idx="1072">
                  <c:v>5.65158073466472</c:v>
                </c:pt>
                <c:pt idx="1073">
                  <c:v>9.13528734765979</c:v>
                </c:pt>
                <c:pt idx="1074">
                  <c:v>5.09536636149123</c:v>
                </c:pt>
                <c:pt idx="1075">
                  <c:v>4.40649945279465</c:v>
                </c:pt>
                <c:pt idx="1076">
                  <c:v>4.56346336369888</c:v>
                </c:pt>
                <c:pt idx="1077">
                  <c:v>5.02227091503536</c:v>
                </c:pt>
                <c:pt idx="1078">
                  <c:v>8.90611749082186</c:v>
                </c:pt>
                <c:pt idx="1079">
                  <c:v>8.73390742219946</c:v>
                </c:pt>
                <c:pt idx="1080">
                  <c:v>4.50775052275595</c:v>
                </c:pt>
                <c:pt idx="1081">
                  <c:v>4.47476406551561</c:v>
                </c:pt>
                <c:pt idx="1082">
                  <c:v>4.77485349978456</c:v>
                </c:pt>
                <c:pt idx="1083">
                  <c:v>8.12585246243876</c:v>
                </c:pt>
                <c:pt idx="1084">
                  <c:v>9.18445668229867</c:v>
                </c:pt>
                <c:pt idx="1085">
                  <c:v>4.80990991124612</c:v>
                </c:pt>
                <c:pt idx="1086">
                  <c:v>4.42016540366372</c:v>
                </c:pt>
                <c:pt idx="1087">
                  <c:v>4.62157575606144</c:v>
                </c:pt>
                <c:pt idx="1088">
                  <c:v>5.23299748333001</c:v>
                </c:pt>
                <c:pt idx="1089">
                  <c:v>9.04429270673004</c:v>
                </c:pt>
                <c:pt idx="1090">
                  <c:v>5.98593018059627</c:v>
                </c:pt>
                <c:pt idx="1091">
                  <c:v>4.416783570058</c:v>
                </c:pt>
                <c:pt idx="1092">
                  <c:v>4.51441676176916</c:v>
                </c:pt>
                <c:pt idx="1093">
                  <c:v>4.88081052152881</c:v>
                </c:pt>
                <c:pt idx="1094">
                  <c:v>8.67921098501846</c:v>
                </c:pt>
                <c:pt idx="1095">
                  <c:v>9.04529705987805</c:v>
                </c:pt>
                <c:pt idx="1096">
                  <c:v>4.63229734063457</c:v>
                </c:pt>
                <c:pt idx="1097">
                  <c:v>4.44340411444284</c:v>
                </c:pt>
                <c:pt idx="1098">
                  <c:v>4.69073784511258</c:v>
                </c:pt>
                <c:pt idx="1099">
                  <c:v>5.65158077380921</c:v>
                </c:pt>
                <c:pt idx="1100">
                  <c:v>9.13528735241115</c:v>
                </c:pt>
                <c:pt idx="1101">
                  <c:v>5.09536635142595</c:v>
                </c:pt>
                <c:pt idx="1102">
                  <c:v>4.4064994524312</c:v>
                </c:pt>
                <c:pt idx="1103">
                  <c:v>4.56346336426276</c:v>
                </c:pt>
                <c:pt idx="1104">
                  <c:v>5.02227091720498</c:v>
                </c:pt>
                <c:pt idx="1105">
                  <c:v>8.90611749334052</c:v>
                </c:pt>
                <c:pt idx="1106">
                  <c:v>8.73390741956291</c:v>
                </c:pt>
                <c:pt idx="1107">
                  <c:v>4.50775052203931</c:v>
                </c:pt>
                <c:pt idx="1108">
                  <c:v>4.47476406557412</c:v>
                </c:pt>
                <c:pt idx="1109">
                  <c:v>4.77485350006213</c:v>
                </c:pt>
                <c:pt idx="1110">
                  <c:v>8.12585246630339</c:v>
                </c:pt>
                <c:pt idx="1111">
                  <c:v>9.1844566824033</c:v>
                </c:pt>
                <c:pt idx="1112">
                  <c:v>4.80990991090933</c:v>
                </c:pt>
                <c:pt idx="1113">
                  <c:v>4.42016540365829</c:v>
                </c:pt>
                <c:pt idx="1114">
                  <c:v>4.62157575610344</c:v>
                </c:pt>
                <c:pt idx="1115">
                  <c:v>5.23299748354381</c:v>
                </c:pt>
                <c:pt idx="1116">
                  <c:v>9.04429270683107</c:v>
                </c:pt>
                <c:pt idx="1117">
                  <c:v>5.98593017960883</c:v>
                </c:pt>
                <c:pt idx="1118">
                  <c:v>4.41678357002679</c:v>
                </c:pt>
                <c:pt idx="1119">
                  <c:v>4.51441676177486</c:v>
                </c:pt>
                <c:pt idx="1120">
                  <c:v>4.88081052155075</c:v>
                </c:pt>
                <c:pt idx="1121">
                  <c:v>8.67921098508217</c:v>
                </c:pt>
                <c:pt idx="1122">
                  <c:v>9.04529705986539</c:v>
                </c:pt>
                <c:pt idx="1123">
                  <c:v>4.63229734062061</c:v>
                </c:pt>
                <c:pt idx="1124">
                  <c:v>4.44340411444313</c:v>
                </c:pt>
                <c:pt idx="1125">
                  <c:v>4.69073784511571</c:v>
                </c:pt>
                <c:pt idx="1126">
                  <c:v>5.65158077384275</c:v>
                </c:pt>
                <c:pt idx="1127">
                  <c:v>9.13528735241567</c:v>
                </c:pt>
                <c:pt idx="1128">
                  <c:v>5.09536635141734</c:v>
                </c:pt>
                <c:pt idx="1129">
                  <c:v>4.40649945243086</c:v>
                </c:pt>
                <c:pt idx="1130">
                  <c:v>4.5634633642632</c:v>
                </c:pt>
                <c:pt idx="1131">
                  <c:v>5.02227091720675</c:v>
                </c:pt>
                <c:pt idx="1132">
                  <c:v>8.9061174933426</c:v>
                </c:pt>
                <c:pt idx="1133">
                  <c:v>8.73390741956081</c:v>
                </c:pt>
                <c:pt idx="1134">
                  <c:v>4.5077505220387</c:v>
                </c:pt>
                <c:pt idx="1135">
                  <c:v>4.47476406557413</c:v>
                </c:pt>
                <c:pt idx="1136">
                  <c:v>4.77485350006229</c:v>
                </c:pt>
                <c:pt idx="1137">
                  <c:v>8.12585246630583</c:v>
                </c:pt>
                <c:pt idx="1138">
                  <c:v>9.18445668240443</c:v>
                </c:pt>
                <c:pt idx="1139">
                  <c:v>4.80990991090914</c:v>
                </c:pt>
                <c:pt idx="1140">
                  <c:v>4.42016540365824</c:v>
                </c:pt>
                <c:pt idx="1141">
                  <c:v>4.62157575610341</c:v>
                </c:pt>
                <c:pt idx="1142">
                  <c:v>5.23299748354369</c:v>
                </c:pt>
                <c:pt idx="1143">
                  <c:v>9.04429270683107</c:v>
                </c:pt>
                <c:pt idx="1144">
                  <c:v>5.98593017960959</c:v>
                </c:pt>
                <c:pt idx="1145">
                  <c:v>4.41678357002681</c:v>
                </c:pt>
                <c:pt idx="1146">
                  <c:v>4.51441676177486</c:v>
                </c:pt>
                <c:pt idx="1147">
                  <c:v>4.88081052155076</c:v>
                </c:pt>
                <c:pt idx="1148">
                  <c:v>8.67921098508217</c:v>
                </c:pt>
                <c:pt idx="1149">
                  <c:v>9.04529705986539</c:v>
                </c:pt>
                <c:pt idx="1150">
                  <c:v>4.63229734062061</c:v>
                </c:pt>
                <c:pt idx="1151">
                  <c:v>4.44340411444313</c:v>
                </c:pt>
                <c:pt idx="1152">
                  <c:v>4.69073784511571</c:v>
                </c:pt>
                <c:pt idx="1153">
                  <c:v>5.65158077384275</c:v>
                </c:pt>
                <c:pt idx="1154">
                  <c:v>9.13528735241567</c:v>
                </c:pt>
                <c:pt idx="1155">
                  <c:v>5.09536635141734</c:v>
                </c:pt>
                <c:pt idx="1156">
                  <c:v>4.40649945243086</c:v>
                </c:pt>
                <c:pt idx="1157">
                  <c:v>4.5634633642632</c:v>
                </c:pt>
                <c:pt idx="1158">
                  <c:v>5.02227091720675</c:v>
                </c:pt>
                <c:pt idx="1159">
                  <c:v>8.9061174933426</c:v>
                </c:pt>
                <c:pt idx="1160">
                  <c:v>8.73390741956081</c:v>
                </c:pt>
                <c:pt idx="1161">
                  <c:v>4.5077505220387</c:v>
                </c:pt>
                <c:pt idx="1162">
                  <c:v>4.47476406557413</c:v>
                </c:pt>
                <c:pt idx="1163">
                  <c:v>4.77485350006229</c:v>
                </c:pt>
                <c:pt idx="1164">
                  <c:v>8.12585246630583</c:v>
                </c:pt>
                <c:pt idx="1165">
                  <c:v>9.18445668240443</c:v>
                </c:pt>
                <c:pt idx="1166">
                  <c:v>4.80990991090914</c:v>
                </c:pt>
                <c:pt idx="1167">
                  <c:v>4.42016540365824</c:v>
                </c:pt>
                <c:pt idx="1168">
                  <c:v>4.62157575610341</c:v>
                </c:pt>
                <c:pt idx="1169">
                  <c:v>5.23299748354369</c:v>
                </c:pt>
                <c:pt idx="1170">
                  <c:v>9.04429270683107</c:v>
                </c:pt>
                <c:pt idx="1171">
                  <c:v>5.98593017960959</c:v>
                </c:pt>
                <c:pt idx="1172">
                  <c:v>4.41678357002681</c:v>
                </c:pt>
                <c:pt idx="1173">
                  <c:v>4.51441676177486</c:v>
                </c:pt>
                <c:pt idx="1174">
                  <c:v>4.88081052155076</c:v>
                </c:pt>
                <c:pt idx="1175">
                  <c:v>8.67921098508217</c:v>
                </c:pt>
                <c:pt idx="1176">
                  <c:v>9.04529705986539</c:v>
                </c:pt>
                <c:pt idx="1177">
                  <c:v>4.63229734062061</c:v>
                </c:pt>
                <c:pt idx="1178">
                  <c:v>4.44340411444313</c:v>
                </c:pt>
                <c:pt idx="1179">
                  <c:v>4.69073784511571</c:v>
                </c:pt>
                <c:pt idx="1180">
                  <c:v>5.65158077384275</c:v>
                </c:pt>
                <c:pt idx="1181">
                  <c:v>9.13528735241567</c:v>
                </c:pt>
                <c:pt idx="1182">
                  <c:v>5.09536635141734</c:v>
                </c:pt>
                <c:pt idx="1183">
                  <c:v>4.40649945243086</c:v>
                </c:pt>
                <c:pt idx="1184">
                  <c:v>4.5634633642632</c:v>
                </c:pt>
                <c:pt idx="1185">
                  <c:v>5.02227091720675</c:v>
                </c:pt>
                <c:pt idx="1186">
                  <c:v>8.9061174933426</c:v>
                </c:pt>
                <c:pt idx="1187">
                  <c:v>8.73390741956081</c:v>
                </c:pt>
                <c:pt idx="1188">
                  <c:v>4.5077505220387</c:v>
                </c:pt>
                <c:pt idx="1189">
                  <c:v>4.47476406557413</c:v>
                </c:pt>
                <c:pt idx="1190">
                  <c:v>4.77485350006229</c:v>
                </c:pt>
                <c:pt idx="1191">
                  <c:v>8.12585246630583</c:v>
                </c:pt>
                <c:pt idx="1192">
                  <c:v>9.18445668240443</c:v>
                </c:pt>
                <c:pt idx="1193">
                  <c:v>4.80990991090914</c:v>
                </c:pt>
                <c:pt idx="1194">
                  <c:v>4.42016540365824</c:v>
                </c:pt>
                <c:pt idx="1195">
                  <c:v>4.62157575610341</c:v>
                </c:pt>
                <c:pt idx="1196">
                  <c:v>5.23299748354369</c:v>
                </c:pt>
                <c:pt idx="1197">
                  <c:v>9.04429270683107</c:v>
                </c:pt>
                <c:pt idx="1198">
                  <c:v>5.98593017960959</c:v>
                </c:pt>
                <c:pt idx="1199">
                  <c:v>4.41678357002681</c:v>
                </c:pt>
                <c:pt idx="1200">
                  <c:v>4.39261641925734</c:v>
                </c:pt>
                <c:pt idx="1201">
                  <c:v>4.15655119782391</c:v>
                </c:pt>
                <c:pt idx="1202">
                  <c:v>4.04711957755236</c:v>
                </c:pt>
                <c:pt idx="1203">
                  <c:v>3.99817527849097</c:v>
                </c:pt>
                <c:pt idx="1204">
                  <c:v>3.98545148218484</c:v>
                </c:pt>
                <c:pt idx="1205">
                  <c:v>4.00091397824047</c:v>
                </c:pt>
                <c:pt idx="1206">
                  <c:v>4.04323218447712</c:v>
                </c:pt>
                <c:pt idx="1207">
                  <c:v>4.11625733524101</c:v>
                </c:pt>
                <c:pt idx="1208">
                  <c:v>4.23159724350476</c:v>
                </c:pt>
                <c:pt idx="1209">
                  <c:v>4.42049941351222</c:v>
                </c:pt>
                <c:pt idx="1210">
                  <c:v>4.80550623143493</c:v>
                </c:pt>
                <c:pt idx="1211">
                  <c:v>8.80583650220545</c:v>
                </c:pt>
                <c:pt idx="1212">
                  <c:v>9.19085501687914</c:v>
                </c:pt>
                <c:pt idx="1213">
                  <c:v>4.75201152661744</c:v>
                </c:pt>
                <c:pt idx="1214">
                  <c:v>4.42864627746065</c:v>
                </c:pt>
                <c:pt idx="1215">
                  <c:v>4.66681543748419</c:v>
                </c:pt>
                <c:pt idx="1216">
                  <c:v>5.58339856363955</c:v>
                </c:pt>
                <c:pt idx="1217">
                  <c:v>9.14811304185319</c:v>
                </c:pt>
                <c:pt idx="1218">
                  <c:v>5.16700622769942</c:v>
                </c:pt>
                <c:pt idx="1219">
                  <c:v>4.39030504488318</c:v>
                </c:pt>
                <c:pt idx="1220">
                  <c:v>4.53497396693939</c:v>
                </c:pt>
                <c:pt idx="1221">
                  <c:v>4.95245137894142</c:v>
                </c:pt>
                <c:pt idx="1222">
                  <c:v>8.83087066151296</c:v>
                </c:pt>
                <c:pt idx="1223">
                  <c:v>8.94891962182983</c:v>
                </c:pt>
                <c:pt idx="1224">
                  <c:v>4.57392195107167</c:v>
                </c:pt>
                <c:pt idx="1225">
                  <c:v>4.43653083702187</c:v>
                </c:pt>
                <c:pt idx="1226">
                  <c:v>4.68993245259371</c:v>
                </c:pt>
                <c:pt idx="1227">
                  <c:v>5.67442169572854</c:v>
                </c:pt>
                <c:pt idx="1228">
                  <c:v>9.13852614192648</c:v>
                </c:pt>
                <c:pt idx="1229">
                  <c:v>5.08954094992063</c:v>
                </c:pt>
                <c:pt idx="1230">
                  <c:v>4.40802400491054</c:v>
                </c:pt>
                <c:pt idx="1231">
                  <c:v>4.56892712771584</c:v>
                </c:pt>
                <c:pt idx="1232">
                  <c:v>5.04056214388768</c:v>
                </c:pt>
                <c:pt idx="1233">
                  <c:v>8.92049745596415</c:v>
                </c:pt>
                <c:pt idx="1234">
                  <c:v>8.69717833437382</c:v>
                </c:pt>
                <c:pt idx="1235">
                  <c:v>4.5005251980293</c:v>
                </c:pt>
                <c:pt idx="1236">
                  <c:v>4.47760264388253</c:v>
                </c:pt>
                <c:pt idx="1237">
                  <c:v>4.78368624449885</c:v>
                </c:pt>
                <c:pt idx="1238">
                  <c:v>8.20883888819879</c:v>
                </c:pt>
                <c:pt idx="1239">
                  <c:v>9.18146943857214</c:v>
                </c:pt>
                <c:pt idx="1240">
                  <c:v>4.79578813917385</c:v>
                </c:pt>
                <c:pt idx="1241">
                  <c:v>4.4214249179746</c:v>
                </c:pt>
                <c:pt idx="1242">
                  <c:v>4.62738741781552</c:v>
                </c:pt>
                <c:pt idx="1243">
                  <c:v>5.2574477004995</c:v>
                </c:pt>
                <c:pt idx="1244">
                  <c:v>9.04998068385137</c:v>
                </c:pt>
                <c:pt idx="1245">
                  <c:v>5.82595720585205</c:v>
                </c:pt>
                <c:pt idx="1246">
                  <c:v>4.41249380763304</c:v>
                </c:pt>
                <c:pt idx="1247">
                  <c:v>4.51819987123152</c:v>
                </c:pt>
                <c:pt idx="1248">
                  <c:v>4.89203779111162</c:v>
                </c:pt>
                <c:pt idx="1249">
                  <c:v>8.70067731144054</c:v>
                </c:pt>
                <c:pt idx="1250">
                  <c:v>9.0321470630012</c:v>
                </c:pt>
                <c:pt idx="1251">
                  <c:v>4.62294532148242</c:v>
                </c:pt>
                <c:pt idx="1252">
                  <c:v>4.44550396871613</c:v>
                </c:pt>
                <c:pt idx="1253">
                  <c:v>4.69780205867989</c:v>
                </c:pt>
                <c:pt idx="1254">
                  <c:v>5.71413629090573</c:v>
                </c:pt>
                <c:pt idx="1255">
                  <c:v>9.13729287740441</c:v>
                </c:pt>
                <c:pt idx="1256">
                  <c:v>5.06942864127885</c:v>
                </c:pt>
                <c:pt idx="1257">
                  <c:v>4.40670487637546</c:v>
                </c:pt>
                <c:pt idx="1258">
                  <c:v>4.56822613701748</c:v>
                </c:pt>
                <c:pt idx="1259">
                  <c:v>5.03762229647853</c:v>
                </c:pt>
                <c:pt idx="1260">
                  <c:v>8.91673051533349</c:v>
                </c:pt>
                <c:pt idx="1261">
                  <c:v>8.69959675489388</c:v>
                </c:pt>
                <c:pt idx="1262">
                  <c:v>4.50119425281371</c:v>
                </c:pt>
                <c:pt idx="1263">
                  <c:v>4.4776786398697</c:v>
                </c:pt>
                <c:pt idx="1264">
                  <c:v>4.78360792299847</c:v>
                </c:pt>
                <c:pt idx="1265">
                  <c:v>8.20671052731506</c:v>
                </c:pt>
                <c:pt idx="1266">
                  <c:v>9.18129607551597</c:v>
                </c:pt>
                <c:pt idx="1267">
                  <c:v>4.7958240532832</c:v>
                </c:pt>
                <c:pt idx="1268">
                  <c:v>4.42142835104744</c:v>
                </c:pt>
                <c:pt idx="1269">
                  <c:v>4.62736667769041</c:v>
                </c:pt>
                <c:pt idx="1270">
                  <c:v>5.25727884753468</c:v>
                </c:pt>
                <c:pt idx="1271">
                  <c:v>9.04988351287077</c:v>
                </c:pt>
                <c:pt idx="1272">
                  <c:v>5.82623736262397</c:v>
                </c:pt>
                <c:pt idx="1273">
                  <c:v>4.41250736802556</c:v>
                </c:pt>
                <c:pt idx="1274">
                  <c:v>4.51820037817939</c:v>
                </c:pt>
                <c:pt idx="1275">
                  <c:v>4.89202949707148</c:v>
                </c:pt>
                <c:pt idx="1276">
                  <c:v>8.70064128583266</c:v>
                </c:pt>
                <c:pt idx="1277">
                  <c:v>9.0321461038629</c:v>
                </c:pt>
                <c:pt idx="1278">
                  <c:v>4.62294799406745</c:v>
                </c:pt>
                <c:pt idx="1279">
                  <c:v>4.44550417510645</c:v>
                </c:pt>
                <c:pt idx="1280">
                  <c:v>4.69780105903101</c:v>
                </c:pt>
                <c:pt idx="1281">
                  <c:v>5.71411688173993</c:v>
                </c:pt>
                <c:pt idx="1282">
                  <c:v>9.13729004021209</c:v>
                </c:pt>
                <c:pt idx="1283">
                  <c:v>5.06943061289653</c:v>
                </c:pt>
                <c:pt idx="1284">
                  <c:v>4.40670507479072</c:v>
                </c:pt>
                <c:pt idx="1285">
                  <c:v>4.5682260885006</c:v>
                </c:pt>
                <c:pt idx="1286">
                  <c:v>5.03762168225808</c:v>
                </c:pt>
                <c:pt idx="1287">
                  <c:v>8.91672953086172</c:v>
                </c:pt>
                <c:pt idx="1288">
                  <c:v>8.69959699834029</c:v>
                </c:pt>
                <c:pt idx="1289">
                  <c:v>4.501194351527</c:v>
                </c:pt>
                <c:pt idx="1290">
                  <c:v>4.47767864360977</c:v>
                </c:pt>
                <c:pt idx="1291">
                  <c:v>4.7836078664109</c:v>
                </c:pt>
                <c:pt idx="1292">
                  <c:v>8.20670953889926</c:v>
                </c:pt>
                <c:pt idx="1293">
                  <c:v>9.18129601642575</c:v>
                </c:pt>
                <c:pt idx="1294">
                  <c:v>4.795824098467</c:v>
                </c:pt>
                <c:pt idx="1295">
                  <c:v>4.42142835603238</c:v>
                </c:pt>
                <c:pt idx="1296">
                  <c:v>4.62736667328601</c:v>
                </c:pt>
                <c:pt idx="1297">
                  <c:v>5.2572787991534</c:v>
                </c:pt>
                <c:pt idx="1298">
                  <c:v>9.049883482563</c:v>
                </c:pt>
                <c:pt idx="1299">
                  <c:v>5.82623742317205</c:v>
                </c:pt>
                <c:pt idx="1300">
                  <c:v>4.41250737117021</c:v>
                </c:pt>
                <c:pt idx="1301">
                  <c:v>4.51820037802852</c:v>
                </c:pt>
                <c:pt idx="1302">
                  <c:v>4.89202949363621</c:v>
                </c:pt>
                <c:pt idx="1303">
                  <c:v>8.7006412722113</c:v>
                </c:pt>
                <c:pt idx="1304">
                  <c:v>9.0321461039342</c:v>
                </c:pt>
                <c:pt idx="1305">
                  <c:v>4.62294799534411</c:v>
                </c:pt>
                <c:pt idx="1306">
                  <c:v>4.44550417522715</c:v>
                </c:pt>
                <c:pt idx="1307">
                  <c:v>4.6978010587336</c:v>
                </c:pt>
                <c:pt idx="1308">
                  <c:v>5.7141168754532</c:v>
                </c:pt>
                <c:pt idx="1309">
                  <c:v>9.13729003926136</c:v>
                </c:pt>
                <c:pt idx="1310">
                  <c:v>5.06943061346879</c:v>
                </c:pt>
                <c:pt idx="1311">
                  <c:v>4.40670507484967</c:v>
                </c:pt>
                <c:pt idx="1312">
                  <c:v>4.56822608847901</c:v>
                </c:pt>
                <c:pt idx="1313">
                  <c:v>5.03762168203465</c:v>
                </c:pt>
                <c:pt idx="1314">
                  <c:v>8.9167295305128</c:v>
                </c:pt>
                <c:pt idx="1315">
                  <c:v>8.69959699844077</c:v>
                </c:pt>
                <c:pt idx="1316">
                  <c:v>4.50119435156439</c:v>
                </c:pt>
                <c:pt idx="1317">
                  <c:v>4.47767864361135</c:v>
                </c:pt>
                <c:pt idx="1318">
                  <c:v>4.78360786639191</c:v>
                </c:pt>
                <c:pt idx="1319">
                  <c:v>8.20670953856639</c:v>
                </c:pt>
                <c:pt idx="1320">
                  <c:v>9.18129601640509</c:v>
                </c:pt>
                <c:pt idx="1321">
                  <c:v>4.79582409848116</c:v>
                </c:pt>
                <c:pt idx="1322">
                  <c:v>4.42142835603364</c:v>
                </c:pt>
                <c:pt idx="1323">
                  <c:v>4.62736667328415</c:v>
                </c:pt>
                <c:pt idx="1324">
                  <c:v>5.25727879913663</c:v>
                </c:pt>
                <c:pt idx="1325">
                  <c:v>9.04988348255268</c:v>
                </c:pt>
                <c:pt idx="1326">
                  <c:v>5.82623742319173</c:v>
                </c:pt>
                <c:pt idx="1327">
                  <c:v>4.41250737117091</c:v>
                </c:pt>
                <c:pt idx="1328">
                  <c:v>4.51820037802818</c:v>
                </c:pt>
                <c:pt idx="1329">
                  <c:v>4.89202949363494</c:v>
                </c:pt>
                <c:pt idx="1330">
                  <c:v>8.7006412722078</c:v>
                </c:pt>
                <c:pt idx="1331">
                  <c:v>9.0321461039346</c:v>
                </c:pt>
                <c:pt idx="1332">
                  <c:v>4.62294799534394</c:v>
                </c:pt>
                <c:pt idx="1333">
                  <c:v>4.44550417522679</c:v>
                </c:pt>
                <c:pt idx="1334">
                  <c:v>4.69780105873317</c:v>
                </c:pt>
                <c:pt idx="1335">
                  <c:v>5.71411687545167</c:v>
                </c:pt>
                <c:pt idx="1336">
                  <c:v>9.13729003926187</c:v>
                </c:pt>
                <c:pt idx="1337">
                  <c:v>5.06943061346842</c:v>
                </c:pt>
                <c:pt idx="1338">
                  <c:v>4.40670507484936</c:v>
                </c:pt>
                <c:pt idx="1339">
                  <c:v>4.56822608847864</c:v>
                </c:pt>
                <c:pt idx="1340">
                  <c:v>5.03762168203377</c:v>
                </c:pt>
                <c:pt idx="1341">
                  <c:v>8.91672953051219</c:v>
                </c:pt>
                <c:pt idx="1342">
                  <c:v>8.69959699844234</c:v>
                </c:pt>
                <c:pt idx="1343">
                  <c:v>4.50119435156472</c:v>
                </c:pt>
                <c:pt idx="1344">
                  <c:v>4.4776786436114</c:v>
                </c:pt>
                <c:pt idx="1345">
                  <c:v>4.78360786639199</c:v>
                </c:pt>
                <c:pt idx="1346">
                  <c:v>8.20670953856727</c:v>
                </c:pt>
                <c:pt idx="1347">
                  <c:v>9.18129601640565</c:v>
                </c:pt>
                <c:pt idx="1348">
                  <c:v>4.79582409848111</c:v>
                </c:pt>
                <c:pt idx="1349">
                  <c:v>4.42142835603363</c:v>
                </c:pt>
                <c:pt idx="1350">
                  <c:v>4.62736667328414</c:v>
                </c:pt>
                <c:pt idx="1351">
                  <c:v>5.25727879913665</c:v>
                </c:pt>
                <c:pt idx="1352">
                  <c:v>9.04988348255309</c:v>
                </c:pt>
                <c:pt idx="1353">
                  <c:v>5.82623742319173</c:v>
                </c:pt>
                <c:pt idx="1354">
                  <c:v>4.4125073711709</c:v>
                </c:pt>
                <c:pt idx="1355">
                  <c:v>4.51820037802817</c:v>
                </c:pt>
                <c:pt idx="1356">
                  <c:v>4.89202949363493</c:v>
                </c:pt>
                <c:pt idx="1357">
                  <c:v>8.7006412722077</c:v>
                </c:pt>
                <c:pt idx="1358">
                  <c:v>9.0321461039346</c:v>
                </c:pt>
                <c:pt idx="1359">
                  <c:v>4.622947995344</c:v>
                </c:pt>
                <c:pt idx="1360">
                  <c:v>4.44550417522682</c:v>
                </c:pt>
                <c:pt idx="1361">
                  <c:v>4.69780105873322</c:v>
                </c:pt>
                <c:pt idx="1362">
                  <c:v>5.71411687545222</c:v>
                </c:pt>
                <c:pt idx="1363">
                  <c:v>9.13729003926187</c:v>
                </c:pt>
                <c:pt idx="1364">
                  <c:v>5.06943061346828</c:v>
                </c:pt>
                <c:pt idx="1365">
                  <c:v>4.40670507484934</c:v>
                </c:pt>
                <c:pt idx="1366">
                  <c:v>4.56822608847863</c:v>
                </c:pt>
                <c:pt idx="1367">
                  <c:v>5.03762168203375</c:v>
                </c:pt>
                <c:pt idx="1368">
                  <c:v>8.91672953051219</c:v>
                </c:pt>
                <c:pt idx="1369">
                  <c:v>8.69959699844234</c:v>
                </c:pt>
                <c:pt idx="1370">
                  <c:v>4.50119435156475</c:v>
                </c:pt>
                <c:pt idx="1371">
                  <c:v>4.47767864361142</c:v>
                </c:pt>
                <c:pt idx="1372">
                  <c:v>4.78360786639204</c:v>
                </c:pt>
                <c:pt idx="1373">
                  <c:v>8.20670953856777</c:v>
                </c:pt>
                <c:pt idx="1374">
                  <c:v>9.18129601640565</c:v>
                </c:pt>
                <c:pt idx="1375">
                  <c:v>4.79582409848102</c:v>
                </c:pt>
                <c:pt idx="1376">
                  <c:v>4.4214283560336</c:v>
                </c:pt>
                <c:pt idx="1377">
                  <c:v>4.62736667328411</c:v>
                </c:pt>
                <c:pt idx="1378">
                  <c:v>5.25727879913654</c:v>
                </c:pt>
                <c:pt idx="1379">
                  <c:v>9.04988348255309</c:v>
                </c:pt>
                <c:pt idx="1380">
                  <c:v>5.82623742319212</c:v>
                </c:pt>
                <c:pt idx="1381">
                  <c:v>4.41250737117093</c:v>
                </c:pt>
                <c:pt idx="1382">
                  <c:v>4.51820037802819</c:v>
                </c:pt>
                <c:pt idx="1383">
                  <c:v>4.89202949363497</c:v>
                </c:pt>
                <c:pt idx="1384">
                  <c:v>8.70064127220789</c:v>
                </c:pt>
                <c:pt idx="1385">
                  <c:v>9.0321461039346</c:v>
                </c:pt>
                <c:pt idx="1386">
                  <c:v>4.62294799534394</c:v>
                </c:pt>
                <c:pt idx="1387">
                  <c:v>4.44550417522679</c:v>
                </c:pt>
                <c:pt idx="1388">
                  <c:v>4.69780105873318</c:v>
                </c:pt>
                <c:pt idx="1389">
                  <c:v>5.71411687545175</c:v>
                </c:pt>
                <c:pt idx="1390">
                  <c:v>9.13729003926187</c:v>
                </c:pt>
                <c:pt idx="1391">
                  <c:v>5.06943061346842</c:v>
                </c:pt>
                <c:pt idx="1392">
                  <c:v>4.40670507484936</c:v>
                </c:pt>
                <c:pt idx="1393">
                  <c:v>4.56822608847864</c:v>
                </c:pt>
                <c:pt idx="1394">
                  <c:v>5.03762168203377</c:v>
                </c:pt>
                <c:pt idx="1395">
                  <c:v>8.91672953051219</c:v>
                </c:pt>
                <c:pt idx="1396">
                  <c:v>8.69959699844234</c:v>
                </c:pt>
                <c:pt idx="1397">
                  <c:v>4.50119435156474</c:v>
                </c:pt>
                <c:pt idx="1398">
                  <c:v>4.47767864361142</c:v>
                </c:pt>
                <c:pt idx="1399">
                  <c:v>4.78360786639203</c:v>
                </c:pt>
                <c:pt idx="1400">
                  <c:v>8.20670953856767</c:v>
                </c:pt>
                <c:pt idx="1401">
                  <c:v>9.18129601640565</c:v>
                </c:pt>
                <c:pt idx="1402">
                  <c:v>4.79582409848105</c:v>
                </c:pt>
                <c:pt idx="1403">
                  <c:v>4.42142835603361</c:v>
                </c:pt>
                <c:pt idx="1404">
                  <c:v>4.62736667328412</c:v>
                </c:pt>
                <c:pt idx="1405">
                  <c:v>5.25727879913655</c:v>
                </c:pt>
                <c:pt idx="1406">
                  <c:v>9.04988348255268</c:v>
                </c:pt>
                <c:pt idx="1407">
                  <c:v>5.82623742319201</c:v>
                </c:pt>
                <c:pt idx="1408">
                  <c:v>4.41250737117095</c:v>
                </c:pt>
                <c:pt idx="1409">
                  <c:v>4.51820037802823</c:v>
                </c:pt>
                <c:pt idx="1410">
                  <c:v>4.89202949363504</c:v>
                </c:pt>
                <c:pt idx="1411">
                  <c:v>8.70064127220798</c:v>
                </c:pt>
                <c:pt idx="1412">
                  <c:v>9.0321461039346</c:v>
                </c:pt>
                <c:pt idx="1413">
                  <c:v>4.62294799534391</c:v>
                </c:pt>
                <c:pt idx="1414">
                  <c:v>4.4455041752268</c:v>
                </c:pt>
                <c:pt idx="1415">
                  <c:v>4.69780105873319</c:v>
                </c:pt>
                <c:pt idx="1416">
                  <c:v>5.71411687545181</c:v>
                </c:pt>
                <c:pt idx="1417">
                  <c:v>9.13729003926187</c:v>
                </c:pt>
                <c:pt idx="1418">
                  <c:v>5.06943061346839</c:v>
                </c:pt>
                <c:pt idx="1419">
                  <c:v>4.40670507484938</c:v>
                </c:pt>
                <c:pt idx="1420">
                  <c:v>4.56822608847867</c:v>
                </c:pt>
                <c:pt idx="1421">
                  <c:v>5.03762168203385</c:v>
                </c:pt>
                <c:pt idx="1422">
                  <c:v>8.91672953051219</c:v>
                </c:pt>
                <c:pt idx="1423">
                  <c:v>8.69959699844225</c:v>
                </c:pt>
                <c:pt idx="1424">
                  <c:v>4.5011943515647</c:v>
                </c:pt>
                <c:pt idx="1425">
                  <c:v>4.4776786436114</c:v>
                </c:pt>
                <c:pt idx="1426">
                  <c:v>4.783607866392</c:v>
                </c:pt>
                <c:pt idx="1427">
                  <c:v>8.20670953856732</c:v>
                </c:pt>
                <c:pt idx="1428">
                  <c:v>9.18129601640509</c:v>
                </c:pt>
                <c:pt idx="1429">
                  <c:v>4.79582409848107</c:v>
                </c:pt>
                <c:pt idx="1430">
                  <c:v>4.42142835603363</c:v>
                </c:pt>
                <c:pt idx="1431">
                  <c:v>4.62736667328415</c:v>
                </c:pt>
                <c:pt idx="1432">
                  <c:v>5.25727879913668</c:v>
                </c:pt>
                <c:pt idx="1433">
                  <c:v>9.04988348255309</c:v>
                </c:pt>
                <c:pt idx="1434">
                  <c:v>5.82623742319167</c:v>
                </c:pt>
                <c:pt idx="1435">
                  <c:v>4.41250737117091</c:v>
                </c:pt>
                <c:pt idx="1436">
                  <c:v>4.5182003780282</c:v>
                </c:pt>
                <c:pt idx="1437">
                  <c:v>4.89202949363498</c:v>
                </c:pt>
                <c:pt idx="1438">
                  <c:v>8.70064127220789</c:v>
                </c:pt>
                <c:pt idx="1439">
                  <c:v>9.0321461039342</c:v>
                </c:pt>
                <c:pt idx="1440">
                  <c:v>4.62294799534395</c:v>
                </c:pt>
                <c:pt idx="1441">
                  <c:v>4.44550417522682</c:v>
                </c:pt>
                <c:pt idx="1442">
                  <c:v>4.69780105873322</c:v>
                </c:pt>
                <c:pt idx="1443">
                  <c:v>5.71411687545219</c:v>
                </c:pt>
                <c:pt idx="1444">
                  <c:v>9.13729003926136</c:v>
                </c:pt>
                <c:pt idx="1445">
                  <c:v>5.06943061346833</c:v>
                </c:pt>
                <c:pt idx="1446">
                  <c:v>4.40670507484937</c:v>
                </c:pt>
                <c:pt idx="1447">
                  <c:v>4.56822608847866</c:v>
                </c:pt>
                <c:pt idx="1448">
                  <c:v>5.03762168203383</c:v>
                </c:pt>
                <c:pt idx="1449">
                  <c:v>8.91672953051219</c:v>
                </c:pt>
                <c:pt idx="1450">
                  <c:v>8.69959699844225</c:v>
                </c:pt>
                <c:pt idx="1451">
                  <c:v>4.50119435156472</c:v>
                </c:pt>
                <c:pt idx="1452">
                  <c:v>4.47767864361142</c:v>
                </c:pt>
                <c:pt idx="1453">
                  <c:v>4.78360786639203</c:v>
                </c:pt>
                <c:pt idx="1454">
                  <c:v>8.20670953856769</c:v>
                </c:pt>
                <c:pt idx="1455">
                  <c:v>9.18129601640565</c:v>
                </c:pt>
                <c:pt idx="1456">
                  <c:v>4.79582409848102</c:v>
                </c:pt>
                <c:pt idx="1457">
                  <c:v>4.4214283560336</c:v>
                </c:pt>
                <c:pt idx="1458">
                  <c:v>4.6273666732841</c:v>
                </c:pt>
                <c:pt idx="1459">
                  <c:v>5.25727879913647</c:v>
                </c:pt>
                <c:pt idx="1460">
                  <c:v>9.04988348255268</c:v>
                </c:pt>
                <c:pt idx="1461">
                  <c:v>5.82623742319225</c:v>
                </c:pt>
                <c:pt idx="1462">
                  <c:v>4.41250737117093</c:v>
                </c:pt>
                <c:pt idx="1463">
                  <c:v>4.51820037802819</c:v>
                </c:pt>
                <c:pt idx="1464">
                  <c:v>4.89202949363495</c:v>
                </c:pt>
                <c:pt idx="1465">
                  <c:v>8.7006412722078</c:v>
                </c:pt>
                <c:pt idx="1466">
                  <c:v>9.0321461039346</c:v>
                </c:pt>
                <c:pt idx="1467">
                  <c:v>4.62294799534396</c:v>
                </c:pt>
                <c:pt idx="1468">
                  <c:v>4.4455041752268</c:v>
                </c:pt>
                <c:pt idx="1469">
                  <c:v>4.69780105873319</c:v>
                </c:pt>
                <c:pt idx="1470">
                  <c:v>5.71411687545181</c:v>
                </c:pt>
                <c:pt idx="1471">
                  <c:v>9.13729003926187</c:v>
                </c:pt>
                <c:pt idx="1472">
                  <c:v>5.06943061346834</c:v>
                </c:pt>
                <c:pt idx="1473">
                  <c:v>4.40670507484935</c:v>
                </c:pt>
                <c:pt idx="1474">
                  <c:v>4.56822608847863</c:v>
                </c:pt>
                <c:pt idx="1475">
                  <c:v>5.03762168203373</c:v>
                </c:pt>
                <c:pt idx="1476">
                  <c:v>8.91672953051219</c:v>
                </c:pt>
                <c:pt idx="1477">
                  <c:v>8.69959699844243</c:v>
                </c:pt>
                <c:pt idx="1478">
                  <c:v>4.50119435156475</c:v>
                </c:pt>
                <c:pt idx="1479">
                  <c:v>4.47767864361142</c:v>
                </c:pt>
                <c:pt idx="1480">
                  <c:v>4.78360786639203</c:v>
                </c:pt>
                <c:pt idx="1481">
                  <c:v>8.20670953856765</c:v>
                </c:pt>
                <c:pt idx="1482">
                  <c:v>9.18129601640565</c:v>
                </c:pt>
                <c:pt idx="1483">
                  <c:v>4.79582409848105</c:v>
                </c:pt>
                <c:pt idx="1484">
                  <c:v>4.42142835603361</c:v>
                </c:pt>
                <c:pt idx="1485">
                  <c:v>4.62736667328412</c:v>
                </c:pt>
                <c:pt idx="1486">
                  <c:v>5.25727879913657</c:v>
                </c:pt>
                <c:pt idx="1487">
                  <c:v>9.04988348255268</c:v>
                </c:pt>
                <c:pt idx="1488">
                  <c:v>5.82623742319195</c:v>
                </c:pt>
                <c:pt idx="1489">
                  <c:v>4.41250737117093</c:v>
                </c:pt>
                <c:pt idx="1490">
                  <c:v>4.51820037802821</c:v>
                </c:pt>
                <c:pt idx="1491">
                  <c:v>4.892029493635</c:v>
                </c:pt>
                <c:pt idx="1492">
                  <c:v>8.70064127220789</c:v>
                </c:pt>
                <c:pt idx="1493">
                  <c:v>9.0321461039346</c:v>
                </c:pt>
                <c:pt idx="1494">
                  <c:v>4.62294799534394</c:v>
                </c:pt>
                <c:pt idx="1495">
                  <c:v>4.44550417522681</c:v>
                </c:pt>
                <c:pt idx="1496">
                  <c:v>4.69780105873321</c:v>
                </c:pt>
                <c:pt idx="1497">
                  <c:v>5.71411687545209</c:v>
                </c:pt>
                <c:pt idx="1498">
                  <c:v>9.13729003926187</c:v>
                </c:pt>
                <c:pt idx="1499">
                  <c:v>5.06943061346835</c:v>
                </c:pt>
                <c:pt idx="1500">
                  <c:v>4.40670507484937</c:v>
                </c:pt>
                <c:pt idx="1501">
                  <c:v>4.56822608847866</c:v>
                </c:pt>
                <c:pt idx="1502">
                  <c:v>5.03762168203383</c:v>
                </c:pt>
                <c:pt idx="1503">
                  <c:v>8.91672953051219</c:v>
                </c:pt>
                <c:pt idx="1504">
                  <c:v>8.69959699844225</c:v>
                </c:pt>
                <c:pt idx="1505">
                  <c:v>4.50119435156472</c:v>
                </c:pt>
                <c:pt idx="1506">
                  <c:v>4.47767864361142</c:v>
                </c:pt>
                <c:pt idx="1507">
                  <c:v>4.78360786639203</c:v>
                </c:pt>
                <c:pt idx="1508">
                  <c:v>8.20670953856767</c:v>
                </c:pt>
                <c:pt idx="1509">
                  <c:v>9.18129601640509</c:v>
                </c:pt>
                <c:pt idx="1510">
                  <c:v>4.79582409848105</c:v>
                </c:pt>
                <c:pt idx="1511">
                  <c:v>4.42142835603363</c:v>
                </c:pt>
                <c:pt idx="1512">
                  <c:v>4.62736667328415</c:v>
                </c:pt>
                <c:pt idx="1513">
                  <c:v>5.25727879913667</c:v>
                </c:pt>
                <c:pt idx="1514">
                  <c:v>9.04988348255309</c:v>
                </c:pt>
                <c:pt idx="1515">
                  <c:v>5.82623742319165</c:v>
                </c:pt>
                <c:pt idx="1516">
                  <c:v>4.41250737117089</c:v>
                </c:pt>
                <c:pt idx="1517">
                  <c:v>4.51820037802817</c:v>
                </c:pt>
                <c:pt idx="1518">
                  <c:v>4.89202949363491</c:v>
                </c:pt>
                <c:pt idx="1519">
                  <c:v>8.7006412722077</c:v>
                </c:pt>
                <c:pt idx="1520">
                  <c:v>9.0321461039346</c:v>
                </c:pt>
                <c:pt idx="1521">
                  <c:v>4.62294799534398</c:v>
                </c:pt>
                <c:pt idx="1522">
                  <c:v>4.4455041752268</c:v>
                </c:pt>
                <c:pt idx="1523">
                  <c:v>4.69780105873319</c:v>
                </c:pt>
                <c:pt idx="1524">
                  <c:v>5.71411687545183</c:v>
                </c:pt>
                <c:pt idx="1525">
                  <c:v>9.13729003926187</c:v>
                </c:pt>
                <c:pt idx="1526">
                  <c:v>5.06943061346838</c:v>
                </c:pt>
                <c:pt idx="1527">
                  <c:v>4.40670507484936</c:v>
                </c:pt>
                <c:pt idx="1528">
                  <c:v>4.56822608847864</c:v>
                </c:pt>
                <c:pt idx="1529">
                  <c:v>5.03762168203375</c:v>
                </c:pt>
                <c:pt idx="1530">
                  <c:v>8.91672953051219</c:v>
                </c:pt>
                <c:pt idx="1531">
                  <c:v>8.69959699844234</c:v>
                </c:pt>
                <c:pt idx="1532">
                  <c:v>4.50119435156471</c:v>
                </c:pt>
                <c:pt idx="1533">
                  <c:v>4.47767864361139</c:v>
                </c:pt>
                <c:pt idx="1534">
                  <c:v>4.78360786639198</c:v>
                </c:pt>
                <c:pt idx="1535">
                  <c:v>8.20670953856716</c:v>
                </c:pt>
                <c:pt idx="1536">
                  <c:v>9.18129601640565</c:v>
                </c:pt>
                <c:pt idx="1537">
                  <c:v>4.79582409848113</c:v>
                </c:pt>
                <c:pt idx="1538">
                  <c:v>4.42142835603363</c:v>
                </c:pt>
                <c:pt idx="1539">
                  <c:v>4.62736667328415</c:v>
                </c:pt>
                <c:pt idx="1540">
                  <c:v>5.25727879913666</c:v>
                </c:pt>
                <c:pt idx="1541">
                  <c:v>9.04988348255268</c:v>
                </c:pt>
                <c:pt idx="1542">
                  <c:v>5.82623742319171</c:v>
                </c:pt>
                <c:pt idx="1543">
                  <c:v>4.41250737117091</c:v>
                </c:pt>
                <c:pt idx="1544">
                  <c:v>4.51820037802819</c:v>
                </c:pt>
                <c:pt idx="1545">
                  <c:v>4.89202949363495</c:v>
                </c:pt>
                <c:pt idx="1546">
                  <c:v>8.7006412722078</c:v>
                </c:pt>
                <c:pt idx="1547">
                  <c:v>9.0321461039346</c:v>
                </c:pt>
                <c:pt idx="1548">
                  <c:v>4.62294799534398</c:v>
                </c:pt>
                <c:pt idx="1549">
                  <c:v>4.44550417522682</c:v>
                </c:pt>
                <c:pt idx="1550">
                  <c:v>4.69780105873322</c:v>
                </c:pt>
                <c:pt idx="1551">
                  <c:v>5.7141168754522</c:v>
                </c:pt>
                <c:pt idx="1552">
                  <c:v>9.13729003926187</c:v>
                </c:pt>
                <c:pt idx="1553">
                  <c:v>5.06943061346827</c:v>
                </c:pt>
                <c:pt idx="1554">
                  <c:v>4.40670507484936</c:v>
                </c:pt>
                <c:pt idx="1555">
                  <c:v>4.56822608847865</c:v>
                </c:pt>
                <c:pt idx="1556">
                  <c:v>5.03762168203381</c:v>
                </c:pt>
                <c:pt idx="1557">
                  <c:v>8.91672953051219</c:v>
                </c:pt>
                <c:pt idx="1558">
                  <c:v>8.69959699844225</c:v>
                </c:pt>
                <c:pt idx="1559">
                  <c:v>4.50119435156472</c:v>
                </c:pt>
                <c:pt idx="1560">
                  <c:v>4.47767864361142</c:v>
                </c:pt>
                <c:pt idx="1561">
                  <c:v>4.78360786639204</c:v>
                </c:pt>
                <c:pt idx="1562">
                  <c:v>8.20670953856773</c:v>
                </c:pt>
                <c:pt idx="1563">
                  <c:v>9.18129601640565</c:v>
                </c:pt>
                <c:pt idx="1564">
                  <c:v>4.79582409848108</c:v>
                </c:pt>
                <c:pt idx="1565">
                  <c:v>4.42142835603363</c:v>
                </c:pt>
                <c:pt idx="1566">
                  <c:v>4.62736667328415</c:v>
                </c:pt>
                <c:pt idx="1567">
                  <c:v>5.25727879913666</c:v>
                </c:pt>
                <c:pt idx="1568">
                  <c:v>9.04988348255268</c:v>
                </c:pt>
                <c:pt idx="1569">
                  <c:v>5.82623742319166</c:v>
                </c:pt>
                <c:pt idx="1570">
                  <c:v>4.41250737117092</c:v>
                </c:pt>
                <c:pt idx="1571">
                  <c:v>4.51820037802821</c:v>
                </c:pt>
                <c:pt idx="1572">
                  <c:v>4.892029493635</c:v>
                </c:pt>
                <c:pt idx="1573">
                  <c:v>8.70064127220789</c:v>
                </c:pt>
                <c:pt idx="1574">
                  <c:v>9.0321461039346</c:v>
                </c:pt>
                <c:pt idx="1575">
                  <c:v>4.62294799534392</c:v>
                </c:pt>
                <c:pt idx="1576">
                  <c:v>4.44550417522679</c:v>
                </c:pt>
                <c:pt idx="1577">
                  <c:v>4.69780105873317</c:v>
                </c:pt>
                <c:pt idx="1578">
                  <c:v>5.71411687545162</c:v>
                </c:pt>
                <c:pt idx="1579">
                  <c:v>9.13729003926187</c:v>
                </c:pt>
                <c:pt idx="1580">
                  <c:v>5.06943061346843</c:v>
                </c:pt>
                <c:pt idx="1581">
                  <c:v>4.40670507484936</c:v>
                </c:pt>
                <c:pt idx="1582">
                  <c:v>4.56822608847864</c:v>
                </c:pt>
                <c:pt idx="1583">
                  <c:v>5.03762168203376</c:v>
                </c:pt>
                <c:pt idx="1584">
                  <c:v>8.91672953051219</c:v>
                </c:pt>
                <c:pt idx="1585">
                  <c:v>8.69959699844234</c:v>
                </c:pt>
                <c:pt idx="1586">
                  <c:v>4.50119435156472</c:v>
                </c:pt>
                <c:pt idx="1587">
                  <c:v>4.4776786436114</c:v>
                </c:pt>
                <c:pt idx="1588">
                  <c:v>4.78360786639199</c:v>
                </c:pt>
                <c:pt idx="1589">
                  <c:v>8.20670953856727</c:v>
                </c:pt>
                <c:pt idx="1590">
                  <c:v>9.18129601640565</c:v>
                </c:pt>
                <c:pt idx="1591">
                  <c:v>4.79582409848106</c:v>
                </c:pt>
                <c:pt idx="1592">
                  <c:v>4.4214283560336</c:v>
                </c:pt>
                <c:pt idx="1593">
                  <c:v>4.62736667328411</c:v>
                </c:pt>
                <c:pt idx="1594">
                  <c:v>5.2572787991365</c:v>
                </c:pt>
                <c:pt idx="1595">
                  <c:v>9.04988348255268</c:v>
                </c:pt>
                <c:pt idx="1596">
                  <c:v>5.82623742319217</c:v>
                </c:pt>
                <c:pt idx="1597">
                  <c:v>4.41250737117094</c:v>
                </c:pt>
                <c:pt idx="1598">
                  <c:v>4.51820037802821</c:v>
                </c:pt>
                <c:pt idx="1599">
                  <c:v>4.89202949363499</c:v>
                </c:pt>
                <c:pt idx="1600">
                  <c:v>8.70064127220789</c:v>
                </c:pt>
                <c:pt idx="1601">
                  <c:v>9.0321461039346</c:v>
                </c:pt>
                <c:pt idx="1602">
                  <c:v>4.62294799534394</c:v>
                </c:pt>
                <c:pt idx="1603">
                  <c:v>4.4455041752268</c:v>
                </c:pt>
                <c:pt idx="1604">
                  <c:v>4.69780105873319</c:v>
                </c:pt>
                <c:pt idx="1605">
                  <c:v>5.71411687545188</c:v>
                </c:pt>
                <c:pt idx="1606">
                  <c:v>9.13729003926187</c:v>
                </c:pt>
                <c:pt idx="1607">
                  <c:v>5.06943061346837</c:v>
                </c:pt>
                <c:pt idx="1608">
                  <c:v>4.40670507484937</c:v>
                </c:pt>
                <c:pt idx="1609">
                  <c:v>4.56822608847866</c:v>
                </c:pt>
                <c:pt idx="1610">
                  <c:v>5.03762168203384</c:v>
                </c:pt>
                <c:pt idx="1611">
                  <c:v>8.91672953051219</c:v>
                </c:pt>
                <c:pt idx="1612">
                  <c:v>8.69959699844225</c:v>
                </c:pt>
                <c:pt idx="1613">
                  <c:v>4.50119435156471</c:v>
                </c:pt>
                <c:pt idx="1614">
                  <c:v>4.47767864361141</c:v>
                </c:pt>
                <c:pt idx="1615">
                  <c:v>4.78360786639202</c:v>
                </c:pt>
                <c:pt idx="1616">
                  <c:v>8.20670953856762</c:v>
                </c:pt>
                <c:pt idx="1617">
                  <c:v>9.18129601640565</c:v>
                </c:pt>
                <c:pt idx="1618">
                  <c:v>4.79582409848106</c:v>
                </c:pt>
                <c:pt idx="1619">
                  <c:v>4.42142835603363</c:v>
                </c:pt>
                <c:pt idx="1620">
                  <c:v>4.62736667328415</c:v>
                </c:pt>
                <c:pt idx="1621">
                  <c:v>5.25727879913668</c:v>
                </c:pt>
                <c:pt idx="1622">
                  <c:v>9.04988348255268</c:v>
                </c:pt>
                <c:pt idx="1623">
                  <c:v>5.82623742319169</c:v>
                </c:pt>
                <c:pt idx="1624">
                  <c:v>4.41250737117092</c:v>
                </c:pt>
                <c:pt idx="1625">
                  <c:v>4.51820037802821</c:v>
                </c:pt>
                <c:pt idx="1626">
                  <c:v>4.892029493635</c:v>
                </c:pt>
                <c:pt idx="1627">
                  <c:v>8.70064127220789</c:v>
                </c:pt>
                <c:pt idx="1628">
                  <c:v>9.0321461039346</c:v>
                </c:pt>
                <c:pt idx="1629">
                  <c:v>4.62294799534396</c:v>
                </c:pt>
                <c:pt idx="1630">
                  <c:v>4.44550417522682</c:v>
                </c:pt>
                <c:pt idx="1631">
                  <c:v>4.69780105873322</c:v>
                </c:pt>
                <c:pt idx="1632">
                  <c:v>5.71411687545216</c:v>
                </c:pt>
                <c:pt idx="1633">
                  <c:v>9.13729003926187</c:v>
                </c:pt>
                <c:pt idx="1634">
                  <c:v>5.06943061346827</c:v>
                </c:pt>
                <c:pt idx="1635">
                  <c:v>4.40670507484934</c:v>
                </c:pt>
                <c:pt idx="1636">
                  <c:v>4.56822608847862</c:v>
                </c:pt>
                <c:pt idx="1637">
                  <c:v>5.03762168203371</c:v>
                </c:pt>
                <c:pt idx="1638">
                  <c:v>8.91672953051219</c:v>
                </c:pt>
                <c:pt idx="1639">
                  <c:v>8.69959699844243</c:v>
                </c:pt>
                <c:pt idx="1640">
                  <c:v>4.50119435156473</c:v>
                </c:pt>
                <c:pt idx="1641">
                  <c:v>4.4776786436114</c:v>
                </c:pt>
                <c:pt idx="1642">
                  <c:v>4.78360786639199</c:v>
                </c:pt>
                <c:pt idx="1643">
                  <c:v>8.2067095385673</c:v>
                </c:pt>
                <c:pt idx="1644">
                  <c:v>9.18129601640565</c:v>
                </c:pt>
                <c:pt idx="1645">
                  <c:v>4.79582409848108</c:v>
                </c:pt>
                <c:pt idx="1646">
                  <c:v>4.42142835603361</c:v>
                </c:pt>
                <c:pt idx="1647">
                  <c:v>4.62736667328412</c:v>
                </c:pt>
                <c:pt idx="1648">
                  <c:v>5.25727879913654</c:v>
                </c:pt>
                <c:pt idx="1649">
                  <c:v>9.04988348255309</c:v>
                </c:pt>
                <c:pt idx="1650">
                  <c:v>5.82623742319201</c:v>
                </c:pt>
                <c:pt idx="1651">
                  <c:v>4.41250737117091</c:v>
                </c:pt>
                <c:pt idx="1652">
                  <c:v>4.51820037802818</c:v>
                </c:pt>
                <c:pt idx="1653">
                  <c:v>4.89202949363492</c:v>
                </c:pt>
                <c:pt idx="1654">
                  <c:v>8.7006412722077</c:v>
                </c:pt>
                <c:pt idx="1655">
                  <c:v>9.0321461039346</c:v>
                </c:pt>
                <c:pt idx="1656">
                  <c:v>4.62294799534399</c:v>
                </c:pt>
                <c:pt idx="1657">
                  <c:v>4.44550417522682</c:v>
                </c:pt>
                <c:pt idx="1658">
                  <c:v>4.69780105873322</c:v>
                </c:pt>
                <c:pt idx="1659">
                  <c:v>5.71411687545213</c:v>
                </c:pt>
                <c:pt idx="1660">
                  <c:v>9.13729003926187</c:v>
                </c:pt>
                <c:pt idx="1661">
                  <c:v>5.06943061346833</c:v>
                </c:pt>
                <c:pt idx="1662">
                  <c:v>4.40670507484936</c:v>
                </c:pt>
                <c:pt idx="1663">
                  <c:v>4.56822608847864</c:v>
                </c:pt>
                <c:pt idx="1664">
                  <c:v>5.03762168203377</c:v>
                </c:pt>
                <c:pt idx="1665">
                  <c:v>8.91672953051219</c:v>
                </c:pt>
                <c:pt idx="1666">
                  <c:v>8.69959699844234</c:v>
                </c:pt>
                <c:pt idx="1667">
                  <c:v>4.50119435156474</c:v>
                </c:pt>
                <c:pt idx="1668">
                  <c:v>4.47767864361142</c:v>
                </c:pt>
                <c:pt idx="1669">
                  <c:v>4.78360786639204</c:v>
                </c:pt>
                <c:pt idx="1670">
                  <c:v>8.20670953856773</c:v>
                </c:pt>
                <c:pt idx="1671">
                  <c:v>9.18129601640509</c:v>
                </c:pt>
                <c:pt idx="1672">
                  <c:v>4.79582409848102</c:v>
                </c:pt>
                <c:pt idx="1673">
                  <c:v>4.42142835603362</c:v>
                </c:pt>
                <c:pt idx="1674">
                  <c:v>4.62736667328414</c:v>
                </c:pt>
                <c:pt idx="1675">
                  <c:v>5.25727879913664</c:v>
                </c:pt>
                <c:pt idx="1676">
                  <c:v>9.04988348255268</c:v>
                </c:pt>
                <c:pt idx="1677">
                  <c:v>5.82623742319181</c:v>
                </c:pt>
                <c:pt idx="1678">
                  <c:v>4.41250737117093</c:v>
                </c:pt>
                <c:pt idx="1679">
                  <c:v>4.51820037802821</c:v>
                </c:pt>
                <c:pt idx="1680">
                  <c:v>4.892029493635</c:v>
                </c:pt>
                <c:pt idx="1681">
                  <c:v>8.70064127220789</c:v>
                </c:pt>
                <c:pt idx="1682">
                  <c:v>9.0321461039346</c:v>
                </c:pt>
                <c:pt idx="1683">
                  <c:v>4.62294799534396</c:v>
                </c:pt>
                <c:pt idx="1684">
                  <c:v>4.44550417522682</c:v>
                </c:pt>
                <c:pt idx="1685">
                  <c:v>4.69780105873322</c:v>
                </c:pt>
                <c:pt idx="1686">
                  <c:v>5.71411687545215</c:v>
                </c:pt>
                <c:pt idx="1687">
                  <c:v>9.13729003926187</c:v>
                </c:pt>
                <c:pt idx="1688">
                  <c:v>5.06943061346832</c:v>
                </c:pt>
                <c:pt idx="1689">
                  <c:v>4.40670507484937</c:v>
                </c:pt>
                <c:pt idx="1690">
                  <c:v>4.56822608847866</c:v>
                </c:pt>
                <c:pt idx="1691">
                  <c:v>5.03762168203383</c:v>
                </c:pt>
                <c:pt idx="1692">
                  <c:v>8.91672953051219</c:v>
                </c:pt>
                <c:pt idx="1693">
                  <c:v>8.69959699844225</c:v>
                </c:pt>
                <c:pt idx="1694">
                  <c:v>4.50119435156468</c:v>
                </c:pt>
                <c:pt idx="1695">
                  <c:v>4.47767864361138</c:v>
                </c:pt>
                <c:pt idx="1696">
                  <c:v>4.78360786639197</c:v>
                </c:pt>
                <c:pt idx="1697">
                  <c:v>8.20670953856705</c:v>
                </c:pt>
                <c:pt idx="1698">
                  <c:v>9.18129601640565</c:v>
                </c:pt>
                <c:pt idx="1699">
                  <c:v>4.79582409848111</c:v>
                </c:pt>
              </c:numCache>
            </c:numRef>
          </c:yVal>
          <c:smooth val="0"/>
        </c:ser>
        <c:ser>
          <c:idx val="2"/>
          <c:order val="2"/>
          <c:tx>
            <c:strRef>
              <c:f>"IMC PI"</c:f>
              <c:strCache>
                <c:ptCount val="1"/>
                <c:pt idx="0">
                  <c:v>IMC PI</c:v>
                </c:pt>
              </c:strCache>
            </c:strRef>
          </c:tx>
          <c:spPr>
            <a:solidFill>
              <a:srgbClr val="d62728"/>
            </a:solidFill>
            <a:ln w="18000">
              <a:solidFill>
                <a:srgbClr val="d6272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12_Traces!$D$5:$D$1704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4.41143228526327</c:v>
                </c:pt>
                <c:pt idx="203">
                  <c:v>4.34780550243334</c:v>
                </c:pt>
                <c:pt idx="204">
                  <c:v>4.31528628231905</c:v>
                </c:pt>
                <c:pt idx="205">
                  <c:v>4.30367018044227</c:v>
                </c:pt>
                <c:pt idx="206">
                  <c:v>4.30854188097345</c:v>
                </c:pt>
                <c:pt idx="207">
                  <c:v>4.32804635977076</c:v>
                </c:pt>
                <c:pt idx="208">
                  <c:v>4.36196300140138</c:v>
                </c:pt>
                <c:pt idx="209">
                  <c:v>4.41153204227621</c:v>
                </c:pt>
                <c:pt idx="210">
                  <c:v>4.47982036180259</c:v>
                </c:pt>
                <c:pt idx="211">
                  <c:v>4.57290964465209</c:v>
                </c:pt>
                <c:pt idx="212">
                  <c:v>4.70315698523777</c:v>
                </c:pt>
                <c:pt idx="213">
                  <c:v>4.89993562057657</c:v>
                </c:pt>
                <c:pt idx="214">
                  <c:v>5.26651420791226</c:v>
                </c:pt>
                <c:pt idx="215">
                  <c:v>8.06739492747268</c:v>
                </c:pt>
                <c:pt idx="216">
                  <c:v>8.64492148554649</c:v>
                </c:pt>
                <c:pt idx="217">
                  <c:v>5.27785989622504</c:v>
                </c:pt>
                <c:pt idx="218">
                  <c:v>5.03317462983122</c:v>
                </c:pt>
                <c:pt idx="219">
                  <c:v>5.75577395822961</c:v>
                </c:pt>
                <c:pt idx="220">
                  <c:v>8.74071352590033</c:v>
                </c:pt>
                <c:pt idx="221">
                  <c:v>8.17435472972895</c:v>
                </c:pt>
                <c:pt idx="222">
                  <c:v>5.0740343014988</c:v>
                </c:pt>
                <c:pt idx="223">
                  <c:v>5.27248847980302</c:v>
                </c:pt>
                <c:pt idx="224">
                  <c:v>8.51281872463423</c:v>
                </c:pt>
                <c:pt idx="225">
                  <c:v>8.78779252749954</c:v>
                </c:pt>
                <c:pt idx="226">
                  <c:v>5.48706301891148</c:v>
                </c:pt>
                <c:pt idx="227">
                  <c:v>5.0582398537684</c:v>
                </c:pt>
                <c:pt idx="228">
                  <c:v>6.28104055205065</c:v>
                </c:pt>
                <c:pt idx="229">
                  <c:v>8.88090212807732</c:v>
                </c:pt>
                <c:pt idx="230">
                  <c:v>8.29514907268751</c:v>
                </c:pt>
                <c:pt idx="231">
                  <c:v>5.12941581725137</c:v>
                </c:pt>
                <c:pt idx="232">
                  <c:v>5.3304452859962</c:v>
                </c:pt>
                <c:pt idx="233">
                  <c:v>8.64715184766493</c:v>
                </c:pt>
                <c:pt idx="234">
                  <c:v>8.78679919215004</c:v>
                </c:pt>
                <c:pt idx="235">
                  <c:v>5.50434687012797</c:v>
                </c:pt>
                <c:pt idx="236">
                  <c:v>5.08904099579381</c:v>
                </c:pt>
                <c:pt idx="237">
                  <c:v>7.6403162451828</c:v>
                </c:pt>
                <c:pt idx="238">
                  <c:v>8.92838280987017</c:v>
                </c:pt>
                <c:pt idx="239">
                  <c:v>8.11389224918707</c:v>
                </c:pt>
                <c:pt idx="240">
                  <c:v>5.11389291375846</c:v>
                </c:pt>
                <c:pt idx="241">
                  <c:v>5.46229483689743</c:v>
                </c:pt>
                <c:pt idx="242">
                  <c:v>8.75797614495027</c:v>
                </c:pt>
                <c:pt idx="243">
                  <c:v>8.70748481075902</c:v>
                </c:pt>
                <c:pt idx="244">
                  <c:v>5.37852156407073</c:v>
                </c:pt>
                <c:pt idx="245">
                  <c:v>5.16713456263695</c:v>
                </c:pt>
                <c:pt idx="246">
                  <c:v>8.33214137228943</c:v>
                </c:pt>
                <c:pt idx="247">
                  <c:v>8.90731943225839</c:v>
                </c:pt>
                <c:pt idx="248">
                  <c:v>6.50663131980028</c:v>
                </c:pt>
                <c:pt idx="249">
                  <c:v>5.06514381001427</c:v>
                </c:pt>
                <c:pt idx="250">
                  <c:v>5.75370564124985</c:v>
                </c:pt>
                <c:pt idx="251">
                  <c:v>8.85729438121087</c:v>
                </c:pt>
                <c:pt idx="252">
                  <c:v>8.56287024472448</c:v>
                </c:pt>
                <c:pt idx="253">
                  <c:v>5.25077334249873</c:v>
                </c:pt>
                <c:pt idx="254">
                  <c:v>5.25647057494073</c:v>
                </c:pt>
                <c:pt idx="255">
                  <c:v>8.56538899473476</c:v>
                </c:pt>
                <c:pt idx="256">
                  <c:v>8.86704428455722</c:v>
                </c:pt>
                <c:pt idx="257">
                  <c:v>5.81678466185585</c:v>
                </c:pt>
                <c:pt idx="258">
                  <c:v>5.05122911157689</c:v>
                </c:pt>
                <c:pt idx="259">
                  <c:v>6.04022242478703</c:v>
                </c:pt>
                <c:pt idx="260">
                  <c:v>8.89631678049388</c:v>
                </c:pt>
                <c:pt idx="261">
                  <c:v>8.48683401643979</c:v>
                </c:pt>
                <c:pt idx="262">
                  <c:v>5.2096654726635</c:v>
                </c:pt>
                <c:pt idx="263">
                  <c:v>5.30263499688214</c:v>
                </c:pt>
                <c:pt idx="264">
                  <c:v>8.63293414479143</c:v>
                </c:pt>
                <c:pt idx="265">
                  <c:v>8.82177668709877</c:v>
                </c:pt>
                <c:pt idx="266">
                  <c:v>5.62125987413379</c:v>
                </c:pt>
                <c:pt idx="267">
                  <c:v>5.09596737129594</c:v>
                </c:pt>
                <c:pt idx="268">
                  <c:v>7.64441329517548</c:v>
                </c:pt>
                <c:pt idx="269">
                  <c:v>8.93594038269377</c:v>
                </c:pt>
                <c:pt idx="270">
                  <c:v>8.1923663605507</c:v>
                </c:pt>
                <c:pt idx="271">
                  <c:v>5.13135715751182</c:v>
                </c:pt>
                <c:pt idx="272">
                  <c:v>5.46255580427852</c:v>
                </c:pt>
                <c:pt idx="273">
                  <c:v>8.76239808771512</c:v>
                </c:pt>
                <c:pt idx="274">
                  <c:v>8.71739667158292</c:v>
                </c:pt>
                <c:pt idx="275">
                  <c:v>5.39598824557579</c:v>
                </c:pt>
                <c:pt idx="276">
                  <c:v>5.16544857250938</c:v>
                </c:pt>
                <c:pt idx="277">
                  <c:v>8.32798896668286</c:v>
                </c:pt>
                <c:pt idx="278">
                  <c:v>8.91195450022002</c:v>
                </c:pt>
                <c:pt idx="279">
                  <c:v>6.70449461129904</c:v>
                </c:pt>
                <c:pt idx="280">
                  <c:v>5.0705029170633</c:v>
                </c:pt>
                <c:pt idx="281">
                  <c:v>5.72460911780824</c:v>
                </c:pt>
                <c:pt idx="282">
                  <c:v>8.85315346936364</c:v>
                </c:pt>
                <c:pt idx="283">
                  <c:v>8.59362742556813</c:v>
                </c:pt>
                <c:pt idx="284">
                  <c:v>5.27110660696563</c:v>
                </c:pt>
                <c:pt idx="285">
                  <c:v>5.22025871602794</c:v>
                </c:pt>
                <c:pt idx="286">
                  <c:v>8.50542541351164</c:v>
                </c:pt>
                <c:pt idx="287">
                  <c:v>8.89390360116314</c:v>
                </c:pt>
                <c:pt idx="288">
                  <c:v>6.03981996261743</c:v>
                </c:pt>
                <c:pt idx="289">
                  <c:v>5.05306998801613</c:v>
                </c:pt>
                <c:pt idx="290">
                  <c:v>5.89307199207276</c:v>
                </c:pt>
                <c:pt idx="291">
                  <c:v>8.88140952124754</c:v>
                </c:pt>
                <c:pt idx="292">
                  <c:v>8.51252917249162</c:v>
                </c:pt>
                <c:pt idx="293">
                  <c:v>5.22347991381829</c:v>
                </c:pt>
                <c:pt idx="294">
                  <c:v>5.29510889817029</c:v>
                </c:pt>
                <c:pt idx="295">
                  <c:v>8.62195215034991</c:v>
                </c:pt>
                <c:pt idx="296">
                  <c:v>8.8256260519987</c:v>
                </c:pt>
                <c:pt idx="297">
                  <c:v>5.63762070929614</c:v>
                </c:pt>
                <c:pt idx="298">
                  <c:v>5.09429565721158</c:v>
                </c:pt>
                <c:pt idx="299">
                  <c:v>7.57711828317939</c:v>
                </c:pt>
                <c:pt idx="300">
                  <c:v>8.93438856242742</c:v>
                </c:pt>
                <c:pt idx="301">
                  <c:v>8.21012347737599</c:v>
                </c:pt>
                <c:pt idx="302">
                  <c:v>5.13446768825007</c:v>
                </c:pt>
                <c:pt idx="303">
                  <c:v>5.454789718196</c:v>
                </c:pt>
                <c:pt idx="304">
                  <c:v>8.75809373398742</c:v>
                </c:pt>
                <c:pt idx="305">
                  <c:v>8.72329892279098</c:v>
                </c:pt>
                <c:pt idx="306">
                  <c:v>5.40434613836201</c:v>
                </c:pt>
                <c:pt idx="307">
                  <c:v>5.15983148750518</c:v>
                </c:pt>
                <c:pt idx="308">
                  <c:v>8.30578161192183</c:v>
                </c:pt>
                <c:pt idx="309">
                  <c:v>8.91872197869582</c:v>
                </c:pt>
                <c:pt idx="310">
                  <c:v>7.0742778334237</c:v>
                </c:pt>
                <c:pt idx="311">
                  <c:v>5.0754003673853</c:v>
                </c:pt>
                <c:pt idx="312">
                  <c:v>5.6496540757858</c:v>
                </c:pt>
                <c:pt idx="313">
                  <c:v>8.83632932808154</c:v>
                </c:pt>
                <c:pt idx="314">
                  <c:v>8.65361092556111</c:v>
                </c:pt>
                <c:pt idx="315">
                  <c:v>5.31652983099686</c:v>
                </c:pt>
                <c:pt idx="316">
                  <c:v>5.18985891732972</c:v>
                </c:pt>
                <c:pt idx="317">
                  <c:v>8.42921326893401</c:v>
                </c:pt>
                <c:pt idx="318">
                  <c:v>8.9003344178961</c:v>
                </c:pt>
                <c:pt idx="319">
                  <c:v>6.20846029926857</c:v>
                </c:pt>
                <c:pt idx="320">
                  <c:v>5.05905931934425</c:v>
                </c:pt>
                <c:pt idx="321">
                  <c:v>5.84370980802713</c:v>
                </c:pt>
                <c:pt idx="322">
                  <c:v>8.87415129705021</c:v>
                </c:pt>
                <c:pt idx="323">
                  <c:v>8.5244557462487</c:v>
                </c:pt>
                <c:pt idx="324">
                  <c:v>5.23018076047574</c:v>
                </c:pt>
                <c:pt idx="325">
                  <c:v>5.28978119822951</c:v>
                </c:pt>
                <c:pt idx="326">
                  <c:v>8.61431959809594</c:v>
                </c:pt>
                <c:pt idx="327">
                  <c:v>8.82872553609976</c:v>
                </c:pt>
                <c:pt idx="328">
                  <c:v>5.65018326697993</c:v>
                </c:pt>
                <c:pt idx="329">
                  <c:v>5.09234633927577</c:v>
                </c:pt>
                <c:pt idx="330">
                  <c:v>7.50104883871271</c:v>
                </c:pt>
                <c:pt idx="331">
                  <c:v>8.93273152280943</c:v>
                </c:pt>
                <c:pt idx="332">
                  <c:v>8.22844742842917</c:v>
                </c:pt>
                <c:pt idx="333">
                  <c:v>5.13769485323853</c:v>
                </c:pt>
                <c:pt idx="334">
                  <c:v>5.44450899399495</c:v>
                </c:pt>
                <c:pt idx="335">
                  <c:v>8.75220494182389</c:v>
                </c:pt>
                <c:pt idx="336">
                  <c:v>8.73277963304942</c:v>
                </c:pt>
                <c:pt idx="337">
                  <c:v>5.41785316308395</c:v>
                </c:pt>
                <c:pt idx="338">
                  <c:v>5.14757497045941</c:v>
                </c:pt>
                <c:pt idx="339">
                  <c:v>8.25447481124712</c:v>
                </c:pt>
                <c:pt idx="340">
                  <c:v>8.93693588151177</c:v>
                </c:pt>
                <c:pt idx="341">
                  <c:v>7.72268502968329</c:v>
                </c:pt>
                <c:pt idx="342">
                  <c:v>5.0894670675969</c:v>
                </c:pt>
                <c:pt idx="343">
                  <c:v>5.54410622860534</c:v>
                </c:pt>
                <c:pt idx="344">
                  <c:v>8.8034842032196</c:v>
                </c:pt>
                <c:pt idx="345">
                  <c:v>8.68858040756853</c:v>
                </c:pt>
                <c:pt idx="346">
                  <c:v>5.35468419720102</c:v>
                </c:pt>
                <c:pt idx="347">
                  <c:v>5.18056227200789</c:v>
                </c:pt>
                <c:pt idx="348">
                  <c:v>8.39072120328477</c:v>
                </c:pt>
                <c:pt idx="349">
                  <c:v>8.90250348169588</c:v>
                </c:pt>
                <c:pt idx="350">
                  <c:v>6.30914413693804</c:v>
                </c:pt>
                <c:pt idx="351">
                  <c:v>5.06231534410434</c:v>
                </c:pt>
                <c:pt idx="352">
                  <c:v>5.81835077878407</c:v>
                </c:pt>
                <c:pt idx="353">
                  <c:v>8.87008805981541</c:v>
                </c:pt>
                <c:pt idx="354">
                  <c:v>8.53282441092052</c:v>
                </c:pt>
                <c:pt idx="355">
                  <c:v>5.23487419919907</c:v>
                </c:pt>
                <c:pt idx="356">
                  <c:v>5.28513869729376</c:v>
                </c:pt>
                <c:pt idx="357">
                  <c:v>8.6077872674338</c:v>
                </c:pt>
                <c:pt idx="358">
                  <c:v>8.8319770851808</c:v>
                </c:pt>
                <c:pt idx="359">
                  <c:v>5.66307828194054</c:v>
                </c:pt>
                <c:pt idx="360">
                  <c:v>5.08981203421459</c:v>
                </c:pt>
                <c:pt idx="361">
                  <c:v>7.3947339999473</c:v>
                </c:pt>
                <c:pt idx="362">
                  <c:v>8.930748919648</c:v>
                </c:pt>
                <c:pt idx="363">
                  <c:v>8.25323781326656</c:v>
                </c:pt>
                <c:pt idx="364">
                  <c:v>5.14227916451106</c:v>
                </c:pt>
                <c:pt idx="365">
                  <c:v>5.42655563058656</c:v>
                </c:pt>
                <c:pt idx="366">
                  <c:v>8.74156719505885</c:v>
                </c:pt>
                <c:pt idx="367">
                  <c:v>8.75505535103403</c:v>
                </c:pt>
                <c:pt idx="368">
                  <c:v>5.45161043987794</c:v>
                </c:pt>
                <c:pt idx="369">
                  <c:v>5.1187458812162</c:v>
                </c:pt>
                <c:pt idx="370">
                  <c:v>8.09359457236121</c:v>
                </c:pt>
                <c:pt idx="371">
                  <c:v>8.94966169132468</c:v>
                </c:pt>
                <c:pt idx="372">
                  <c:v>8.04297433318873</c:v>
                </c:pt>
                <c:pt idx="373">
                  <c:v>5.11062265904809</c:v>
                </c:pt>
                <c:pt idx="374">
                  <c:v>5.49885017884986</c:v>
                </c:pt>
                <c:pt idx="375">
                  <c:v>8.78266966810608</c:v>
                </c:pt>
                <c:pt idx="376">
                  <c:v>8.70064464187982</c:v>
                </c:pt>
                <c:pt idx="377">
                  <c:v>5.37207331465419</c:v>
                </c:pt>
                <c:pt idx="378">
                  <c:v>5.17610215176805</c:v>
                </c:pt>
                <c:pt idx="379">
                  <c:v>8.37089660135561</c:v>
                </c:pt>
                <c:pt idx="380">
                  <c:v>8.90434103601773</c:v>
                </c:pt>
                <c:pt idx="381">
                  <c:v>6.38356442686397</c:v>
                </c:pt>
                <c:pt idx="382">
                  <c:v>5.06434433774864</c:v>
                </c:pt>
                <c:pt idx="383">
                  <c:v>5.79989144512474</c:v>
                </c:pt>
                <c:pt idx="384">
                  <c:v>8.86701917966082</c:v>
                </c:pt>
                <c:pt idx="385">
                  <c:v>8.54038678743436</c:v>
                </c:pt>
                <c:pt idx="386">
                  <c:v>5.23912609321979</c:v>
                </c:pt>
                <c:pt idx="387">
                  <c:v>5.28011033857419</c:v>
                </c:pt>
                <c:pt idx="388">
                  <c:v>8.60074478046336</c:v>
                </c:pt>
                <c:pt idx="389">
                  <c:v>8.83622994295593</c:v>
                </c:pt>
                <c:pt idx="390">
                  <c:v>5.6798630928176</c:v>
                </c:pt>
                <c:pt idx="391">
                  <c:v>5.08555955393934</c:v>
                </c:pt>
                <c:pt idx="392">
                  <c:v>7.18628631319038</c:v>
                </c:pt>
                <c:pt idx="393">
                  <c:v>8.92762467154194</c:v>
                </c:pt>
                <c:pt idx="394">
                  <c:v>8.29890041221404</c:v>
                </c:pt>
                <c:pt idx="395">
                  <c:v>5.15151852459779</c:v>
                </c:pt>
                <c:pt idx="396">
                  <c:v>5.38288955811972</c:v>
                </c:pt>
                <c:pt idx="397">
                  <c:v>8.71280304709752</c:v>
                </c:pt>
                <c:pt idx="398">
                  <c:v>8.79607447600106</c:v>
                </c:pt>
                <c:pt idx="399">
                  <c:v>5.53070803584871</c:v>
                </c:pt>
                <c:pt idx="400">
                  <c:v>5.10173105194568</c:v>
                </c:pt>
                <c:pt idx="401">
                  <c:v>7.87884034736868</c:v>
                </c:pt>
                <c:pt idx="402">
                  <c:v>8.94374889691728</c:v>
                </c:pt>
                <c:pt idx="403">
                  <c:v>8.1331525334367</c:v>
                </c:pt>
                <c:pt idx="404">
                  <c:v>5.12206740465848</c:v>
                </c:pt>
                <c:pt idx="405">
                  <c:v>5.4816609938525</c:v>
                </c:pt>
                <c:pt idx="406">
                  <c:v>8.77317965600095</c:v>
                </c:pt>
                <c:pt idx="407">
                  <c:v>8.70710384853296</c:v>
                </c:pt>
                <c:pt idx="408">
                  <c:v>5.38151181327956</c:v>
                </c:pt>
                <c:pt idx="409">
                  <c:v>5.1727859030847</c:v>
                </c:pt>
                <c:pt idx="410">
                  <c:v>8.35714373600555</c:v>
                </c:pt>
                <c:pt idx="411">
                  <c:v>8.90616646695197</c:v>
                </c:pt>
                <c:pt idx="412">
                  <c:v>6.4541582312646</c:v>
                </c:pt>
                <c:pt idx="413">
                  <c:v>5.06601077820699</c:v>
                </c:pt>
                <c:pt idx="414">
                  <c:v>5.78265836595347</c:v>
                </c:pt>
                <c:pt idx="415">
                  <c:v>8.86405614086468</c:v>
                </c:pt>
                <c:pt idx="416">
                  <c:v>8.54894047075987</c:v>
                </c:pt>
                <c:pt idx="417">
                  <c:v>5.2439847002419</c:v>
                </c:pt>
                <c:pt idx="418">
                  <c:v>5.27321238005232</c:v>
                </c:pt>
                <c:pt idx="419">
                  <c:v>8.59103524959508</c:v>
                </c:pt>
                <c:pt idx="420">
                  <c:v>8.84364716591215</c:v>
                </c:pt>
                <c:pt idx="421">
                  <c:v>5.7096870771747</c:v>
                </c:pt>
                <c:pt idx="422">
                  <c:v>5.07525887764779</c:v>
                </c:pt>
                <c:pt idx="423">
                  <c:v>6.65065789529736</c:v>
                </c:pt>
                <c:pt idx="424">
                  <c:v>8.92025130477186</c:v>
                </c:pt>
                <c:pt idx="425">
                  <c:v>8.39906247120353</c:v>
                </c:pt>
                <c:pt idx="426">
                  <c:v>5.17690640746771</c:v>
                </c:pt>
                <c:pt idx="427">
                  <c:v>5.32674749287866</c:v>
                </c:pt>
                <c:pt idx="428">
                  <c:v>8.66416188705309</c:v>
                </c:pt>
                <c:pt idx="429">
                  <c:v>8.81501835803475</c:v>
                </c:pt>
                <c:pt idx="430">
                  <c:v>5.59084852616088</c:v>
                </c:pt>
                <c:pt idx="431">
                  <c:v>5.09836651837974</c:v>
                </c:pt>
                <c:pt idx="432">
                  <c:v>7.74495760571479</c:v>
                </c:pt>
                <c:pt idx="433">
                  <c:v>8.93904794069319</c:v>
                </c:pt>
                <c:pt idx="434">
                  <c:v>8.16857183033968</c:v>
                </c:pt>
                <c:pt idx="435">
                  <c:v>5.12756292610433</c:v>
                </c:pt>
                <c:pt idx="436">
                  <c:v>5.47173861719849</c:v>
                </c:pt>
                <c:pt idx="437">
                  <c:v>8.76762064869664</c:v>
                </c:pt>
                <c:pt idx="438">
                  <c:v>8.71199368104007</c:v>
                </c:pt>
                <c:pt idx="439">
                  <c:v>5.3884658448968</c:v>
                </c:pt>
                <c:pt idx="440">
                  <c:v>5.16969655656233</c:v>
                </c:pt>
                <c:pt idx="441">
                  <c:v>8.3447952935438</c:v>
                </c:pt>
                <c:pt idx="442">
                  <c:v>8.90828279919758</c:v>
                </c:pt>
                <c:pt idx="443">
                  <c:v>6.53895471477983</c:v>
                </c:pt>
                <c:pt idx="444">
                  <c:v>5.06775098042874</c:v>
                </c:pt>
                <c:pt idx="445">
                  <c:v>5.76247724917746</c:v>
                </c:pt>
                <c:pt idx="446">
                  <c:v>8.86044613204482</c:v>
                </c:pt>
                <c:pt idx="447">
                  <c:v>8.56137698199204</c:v>
                </c:pt>
                <c:pt idx="448">
                  <c:v>5.25119747459939</c:v>
                </c:pt>
                <c:pt idx="449">
                  <c:v>5.26025143526696</c:v>
                </c:pt>
                <c:pt idx="450">
                  <c:v>8.57231705748594</c:v>
                </c:pt>
                <c:pt idx="451">
                  <c:v>8.862389763216</c:v>
                </c:pt>
                <c:pt idx="452">
                  <c:v>5.79413868225252</c:v>
                </c:pt>
                <c:pt idx="453">
                  <c:v>5.05392815897476</c:v>
                </c:pt>
                <c:pt idx="454">
                  <c:v>6.09548741000723</c:v>
                </c:pt>
                <c:pt idx="455">
                  <c:v>8.90080409714317</c:v>
                </c:pt>
                <c:pt idx="456">
                  <c:v>8.48114224483042</c:v>
                </c:pt>
                <c:pt idx="457">
                  <c:v>5.20722058208591</c:v>
                </c:pt>
                <c:pt idx="458">
                  <c:v>5.30495060159661</c:v>
                </c:pt>
                <c:pt idx="459">
                  <c:v>8.6364340846859</c:v>
                </c:pt>
                <c:pt idx="460">
                  <c:v>8.82130368812138</c:v>
                </c:pt>
                <c:pt idx="461">
                  <c:v>5.61904487074722</c:v>
                </c:pt>
                <c:pt idx="462">
                  <c:v>5.09640699515209</c:v>
                </c:pt>
                <c:pt idx="463">
                  <c:v>7.65920202837531</c:v>
                </c:pt>
                <c:pt idx="464">
                  <c:v>8.93647312292461</c:v>
                </c:pt>
                <c:pt idx="465">
                  <c:v>8.18997221142957</c:v>
                </c:pt>
                <c:pt idx="466">
                  <c:v>5.13105868697284</c:v>
                </c:pt>
                <c:pt idx="467">
                  <c:v>5.46392684253593</c:v>
                </c:pt>
                <c:pt idx="468">
                  <c:v>8.76324768464781</c:v>
                </c:pt>
                <c:pt idx="469">
                  <c:v>8.71665863233828</c:v>
                </c:pt>
                <c:pt idx="470">
                  <c:v>5.39502135187173</c:v>
                </c:pt>
                <c:pt idx="471">
                  <c:v>5.16615602872801</c:v>
                </c:pt>
                <c:pt idx="472">
                  <c:v>8.33083779310629</c:v>
                </c:pt>
                <c:pt idx="473">
                  <c:v>8.91130804612923</c:v>
                </c:pt>
                <c:pt idx="474">
                  <c:v>6.67326603904475</c:v>
                </c:pt>
                <c:pt idx="475">
                  <c:v>5.07006015661279</c:v>
                </c:pt>
                <c:pt idx="476">
                  <c:v>5.73177072660581</c:v>
                </c:pt>
                <c:pt idx="477">
                  <c:v>8.85460880398096</c:v>
                </c:pt>
                <c:pt idx="478">
                  <c:v>8.58673197368418</c:v>
                </c:pt>
                <c:pt idx="479">
                  <c:v>5.266685479799</c:v>
                </c:pt>
                <c:pt idx="480">
                  <c:v>5.22748295024818</c:v>
                </c:pt>
                <c:pt idx="481">
                  <c:v>8.51907210502318</c:v>
                </c:pt>
                <c:pt idx="482">
                  <c:v>8.8912925878665</c:v>
                </c:pt>
                <c:pt idx="483">
                  <c:v>6.00416170541251</c:v>
                </c:pt>
                <c:pt idx="484">
                  <c:v>5.05196716824075</c:v>
                </c:pt>
                <c:pt idx="485">
                  <c:v>5.90670758157912</c:v>
                </c:pt>
                <c:pt idx="486">
                  <c:v>8.88321975450143</c:v>
                </c:pt>
                <c:pt idx="487">
                  <c:v>8.50987791699604</c:v>
                </c:pt>
                <c:pt idx="488">
                  <c:v>5.22200519298641</c:v>
                </c:pt>
                <c:pt idx="489">
                  <c:v>5.29614016561299</c:v>
                </c:pt>
                <c:pt idx="490">
                  <c:v>8.62345744469805</c:v>
                </c:pt>
                <c:pt idx="491">
                  <c:v>8.82509938966311</c:v>
                </c:pt>
                <c:pt idx="492">
                  <c:v>5.63543818762217</c:v>
                </c:pt>
                <c:pt idx="493">
                  <c:v>5.09459148676991</c:v>
                </c:pt>
                <c:pt idx="494">
                  <c:v>7.58845096083619</c:v>
                </c:pt>
                <c:pt idx="495">
                  <c:v>8.93465802533419</c:v>
                </c:pt>
                <c:pt idx="496">
                  <c:v>8.20737558251309</c:v>
                </c:pt>
                <c:pt idx="497">
                  <c:v>5.13399592896878</c:v>
                </c:pt>
                <c:pt idx="498">
                  <c:v>5.45615992856539</c:v>
                </c:pt>
                <c:pt idx="499">
                  <c:v>8.75887145841988</c:v>
                </c:pt>
                <c:pt idx="500">
                  <c:v>8.72220920819566</c:v>
                </c:pt>
                <c:pt idx="501">
                  <c:v>5.40281237455957</c:v>
                </c:pt>
                <c:pt idx="502">
                  <c:v>5.16098928116734</c:v>
                </c:pt>
                <c:pt idx="503">
                  <c:v>8.31040934703448</c:v>
                </c:pt>
                <c:pt idx="504">
                  <c:v>8.91715581422424</c:v>
                </c:pt>
                <c:pt idx="505">
                  <c:v>6.9860952272718</c:v>
                </c:pt>
                <c:pt idx="506">
                  <c:v>5.07428487890951</c:v>
                </c:pt>
                <c:pt idx="507">
                  <c:v>5.66651348026432</c:v>
                </c:pt>
                <c:pt idx="508">
                  <c:v>8.84046202839723</c:v>
                </c:pt>
                <c:pt idx="509">
                  <c:v>8.6440506287739</c:v>
                </c:pt>
                <c:pt idx="510">
                  <c:v>5.30819319219129</c:v>
                </c:pt>
                <c:pt idx="511">
                  <c:v>5.19271270230713</c:v>
                </c:pt>
                <c:pt idx="512">
                  <c:v>8.43883631605881</c:v>
                </c:pt>
                <c:pt idx="513">
                  <c:v>8.89985785591182</c:v>
                </c:pt>
                <c:pt idx="514">
                  <c:v>6.18722935129226</c:v>
                </c:pt>
                <c:pt idx="515">
                  <c:v>5.05831284592031</c:v>
                </c:pt>
                <c:pt idx="516">
                  <c:v>5.84924258023169</c:v>
                </c:pt>
                <c:pt idx="517">
                  <c:v>8.87501537897836</c:v>
                </c:pt>
                <c:pt idx="518">
                  <c:v>8.52288590292123</c:v>
                </c:pt>
                <c:pt idx="519">
                  <c:v>5.22930034756642</c:v>
                </c:pt>
                <c:pt idx="520">
                  <c:v>5.29056466060169</c:v>
                </c:pt>
                <c:pt idx="521">
                  <c:v>8.61543116258743</c:v>
                </c:pt>
                <c:pt idx="522">
                  <c:v>8.82823256594957</c:v>
                </c:pt>
                <c:pt idx="523">
                  <c:v>5.64821057539155</c:v>
                </c:pt>
                <c:pt idx="524">
                  <c:v>5.09268548278862</c:v>
                </c:pt>
                <c:pt idx="525">
                  <c:v>7.51452773816655</c:v>
                </c:pt>
                <c:pt idx="526">
                  <c:v>8.93300959006677</c:v>
                </c:pt>
                <c:pt idx="527">
                  <c:v>8.2252400938012</c:v>
                </c:pt>
                <c:pt idx="528">
                  <c:v>5.13712122130353</c:v>
                </c:pt>
                <c:pt idx="529">
                  <c:v>5.44647232340663</c:v>
                </c:pt>
                <c:pt idx="530">
                  <c:v>8.75333957837957</c:v>
                </c:pt>
                <c:pt idx="531">
                  <c:v>8.73078079673141</c:v>
                </c:pt>
                <c:pt idx="532">
                  <c:v>5.41497723597255</c:v>
                </c:pt>
                <c:pt idx="533">
                  <c:v>5.15047178055166</c:v>
                </c:pt>
                <c:pt idx="534">
                  <c:v>8.2670900184562</c:v>
                </c:pt>
                <c:pt idx="535">
                  <c:v>8.93305565214995</c:v>
                </c:pt>
                <c:pt idx="536">
                  <c:v>7.63029742943785</c:v>
                </c:pt>
                <c:pt idx="537">
                  <c:v>5.08614870526248</c:v>
                </c:pt>
                <c:pt idx="538">
                  <c:v>5.5573732335929</c:v>
                </c:pt>
                <c:pt idx="539">
                  <c:v>8.80852745311829</c:v>
                </c:pt>
                <c:pt idx="540">
                  <c:v>8.68528543889573</c:v>
                </c:pt>
                <c:pt idx="541">
                  <c:v>5.35031998767594</c:v>
                </c:pt>
                <c:pt idx="542">
                  <c:v>5.18153384842492</c:v>
                </c:pt>
                <c:pt idx="543">
                  <c:v>8.39514649815494</c:v>
                </c:pt>
                <c:pt idx="544">
                  <c:v>8.90219130478946</c:v>
                </c:pt>
                <c:pt idx="545">
                  <c:v>6.29547096075646</c:v>
                </c:pt>
                <c:pt idx="546">
                  <c:v>5.0619079769552</c:v>
                </c:pt>
                <c:pt idx="547">
                  <c:v>5.82176716961261</c:v>
                </c:pt>
                <c:pt idx="548">
                  <c:v>8.87064587504954</c:v>
                </c:pt>
                <c:pt idx="549">
                  <c:v>8.53157590195694</c:v>
                </c:pt>
                <c:pt idx="550">
                  <c:v>5.23417449434183</c:v>
                </c:pt>
                <c:pt idx="551">
                  <c:v>5.28588842012463</c:v>
                </c:pt>
                <c:pt idx="552">
                  <c:v>8.6088387941936</c:v>
                </c:pt>
                <c:pt idx="553">
                  <c:v>8.83141260440018</c:v>
                </c:pt>
                <c:pt idx="554">
                  <c:v>5.66084970168098</c:v>
                </c:pt>
                <c:pt idx="555">
                  <c:v>5.09029278408656</c:v>
                </c:pt>
                <c:pt idx="556">
                  <c:v>7.41578160186725</c:v>
                </c:pt>
                <c:pt idx="557">
                  <c:v>8.93111529184448</c:v>
                </c:pt>
                <c:pt idx="558">
                  <c:v>8.24841067384761</c:v>
                </c:pt>
                <c:pt idx="559">
                  <c:v>5.14136522171146</c:v>
                </c:pt>
                <c:pt idx="560">
                  <c:v>5.43046841424488</c:v>
                </c:pt>
                <c:pt idx="561">
                  <c:v>8.74393109340014</c:v>
                </c:pt>
                <c:pt idx="562">
                  <c:v>8.74974450358615</c:v>
                </c:pt>
                <c:pt idx="563">
                  <c:v>5.44321441592619</c:v>
                </c:pt>
                <c:pt idx="564">
                  <c:v>5.12383674993289</c:v>
                </c:pt>
                <c:pt idx="565">
                  <c:v>8.12932493721285</c:v>
                </c:pt>
                <c:pt idx="566">
                  <c:v>8.94958343789966</c:v>
                </c:pt>
                <c:pt idx="567">
                  <c:v>8.01472176645185</c:v>
                </c:pt>
                <c:pt idx="568">
                  <c:v>5.10776440799463</c:v>
                </c:pt>
                <c:pt idx="569">
                  <c:v>5.50322945854604</c:v>
                </c:pt>
                <c:pt idx="570">
                  <c:v>8.78497498368725</c:v>
                </c:pt>
                <c:pt idx="571">
                  <c:v>8.69927126649372</c:v>
                </c:pt>
                <c:pt idx="572">
                  <c:v>5.37003621693348</c:v>
                </c:pt>
                <c:pt idx="573">
                  <c:v>5.1767069871972</c:v>
                </c:pt>
                <c:pt idx="574">
                  <c:v>8.37349429013436</c:v>
                </c:pt>
                <c:pt idx="575">
                  <c:v>8.90404992188746</c:v>
                </c:pt>
                <c:pt idx="576">
                  <c:v>6.37222824629682</c:v>
                </c:pt>
                <c:pt idx="577">
                  <c:v>5.06405380086388</c:v>
                </c:pt>
                <c:pt idx="578">
                  <c:v>5.80267820528512</c:v>
                </c:pt>
                <c:pt idx="579">
                  <c:v>8.86748820904643</c:v>
                </c:pt>
                <c:pt idx="580">
                  <c:v>8.53914636929451</c:v>
                </c:pt>
                <c:pt idx="581">
                  <c:v>5.23842593560664</c:v>
                </c:pt>
                <c:pt idx="582">
                  <c:v>5.28099602448469</c:v>
                </c:pt>
                <c:pt idx="583">
                  <c:v>8.60198503049565</c:v>
                </c:pt>
                <c:pt idx="584">
                  <c:v>8.83541682971888</c:v>
                </c:pt>
                <c:pt idx="585">
                  <c:v>5.67664709802776</c:v>
                </c:pt>
                <c:pt idx="586">
                  <c:v>5.08646435625562</c:v>
                </c:pt>
                <c:pt idx="587">
                  <c:v>7.23406015306057</c:v>
                </c:pt>
                <c:pt idx="588">
                  <c:v>8.92827679403265</c:v>
                </c:pt>
                <c:pt idx="589">
                  <c:v>8.28877882485124</c:v>
                </c:pt>
                <c:pt idx="590">
                  <c:v>5.14937032602604</c:v>
                </c:pt>
                <c:pt idx="591">
                  <c:v>5.39272064490871</c:v>
                </c:pt>
                <c:pt idx="592">
                  <c:v>8.71973307585179</c:v>
                </c:pt>
                <c:pt idx="593">
                  <c:v>8.7902573009463</c:v>
                </c:pt>
                <c:pt idx="594">
                  <c:v>5.51707889337646</c:v>
                </c:pt>
                <c:pt idx="595">
                  <c:v>5.1029232857003</c:v>
                </c:pt>
                <c:pt idx="596">
                  <c:v>7.90839392524661</c:v>
                </c:pt>
                <c:pt idx="597">
                  <c:v>8.94481312972021</c:v>
                </c:pt>
                <c:pt idx="598">
                  <c:v>8.12439436831297</c:v>
                </c:pt>
                <c:pt idx="599">
                  <c:v>5.12078472696527</c:v>
                </c:pt>
                <c:pt idx="600">
                  <c:v>5.48370913440458</c:v>
                </c:pt>
                <c:pt idx="601">
                  <c:v>8.84145154033002</c:v>
                </c:pt>
                <c:pt idx="602">
                  <c:v>9.0461038284203</c:v>
                </c:pt>
                <c:pt idx="603">
                  <c:v>8.80055756973867</c:v>
                </c:pt>
                <c:pt idx="604">
                  <c:v>8.19932961406524</c:v>
                </c:pt>
                <c:pt idx="605">
                  <c:v>5.81381553799342</c:v>
                </c:pt>
                <c:pt idx="606">
                  <c:v>8.48004369761451</c:v>
                </c:pt>
                <c:pt idx="607">
                  <c:v>9.06704197874987</c:v>
                </c:pt>
                <c:pt idx="608">
                  <c:v>8.89024174570431</c:v>
                </c:pt>
                <c:pt idx="609">
                  <c:v>8.44403666258993</c:v>
                </c:pt>
                <c:pt idx="610">
                  <c:v>6.00492396881465</c:v>
                </c:pt>
                <c:pt idx="611">
                  <c:v>7.47667396706128</c:v>
                </c:pt>
                <c:pt idx="612">
                  <c:v>9.04252771876923</c:v>
                </c:pt>
                <c:pt idx="613">
                  <c:v>8.95382430423911</c:v>
                </c:pt>
                <c:pt idx="614">
                  <c:v>8.59223872372628</c:v>
                </c:pt>
                <c:pt idx="615">
                  <c:v>6.50527502442004</c:v>
                </c:pt>
                <c:pt idx="616">
                  <c:v>5.81908127126535</c:v>
                </c:pt>
                <c:pt idx="617">
                  <c:v>8.92964010713466</c:v>
                </c:pt>
                <c:pt idx="618">
                  <c:v>9.01206265743936</c:v>
                </c:pt>
                <c:pt idx="619">
                  <c:v>8.72200845436515</c:v>
                </c:pt>
                <c:pt idx="620">
                  <c:v>7.84767662050877</c:v>
                </c:pt>
                <c:pt idx="621">
                  <c:v>5.73311042763412</c:v>
                </c:pt>
                <c:pt idx="622">
                  <c:v>8.73618145628818</c:v>
                </c:pt>
                <c:pt idx="623">
                  <c:v>9.05307993228298</c:v>
                </c:pt>
                <c:pt idx="624">
                  <c:v>8.8257257855953</c:v>
                </c:pt>
                <c:pt idx="625">
                  <c:v>8.26036497562311</c:v>
                </c:pt>
                <c:pt idx="626">
                  <c:v>5.81730695440331</c:v>
                </c:pt>
                <c:pt idx="627">
                  <c:v>8.380697597299</c:v>
                </c:pt>
                <c:pt idx="628">
                  <c:v>9.06480849791292</c:v>
                </c:pt>
                <c:pt idx="629">
                  <c:v>8.89790037278551</c:v>
                </c:pt>
                <c:pt idx="630">
                  <c:v>8.45822554211792</c:v>
                </c:pt>
                <c:pt idx="631">
                  <c:v>6.01113725585598</c:v>
                </c:pt>
                <c:pt idx="632">
                  <c:v>7.22058694205903</c:v>
                </c:pt>
                <c:pt idx="633">
                  <c:v>9.03720644064927</c:v>
                </c:pt>
                <c:pt idx="634">
                  <c:v>8.96211279502902</c:v>
                </c:pt>
                <c:pt idx="635">
                  <c:v>8.60753150966838</c:v>
                </c:pt>
                <c:pt idx="636">
                  <c:v>6.60663110425437</c:v>
                </c:pt>
                <c:pt idx="637">
                  <c:v>5.78885316689132</c:v>
                </c:pt>
                <c:pt idx="638">
                  <c:v>8.91607826674026</c:v>
                </c:pt>
                <c:pt idx="639">
                  <c:v>9.02171772304823</c:v>
                </c:pt>
                <c:pt idx="640">
                  <c:v>8.7405751385921</c:v>
                </c:pt>
                <c:pt idx="641">
                  <c:v>7.93629004943453</c:v>
                </c:pt>
                <c:pt idx="642">
                  <c:v>5.73475368264516</c:v>
                </c:pt>
                <c:pt idx="643">
                  <c:v>8.69248729802533</c:v>
                </c:pt>
                <c:pt idx="644">
                  <c:v>9.0516408616453</c:v>
                </c:pt>
                <c:pt idx="645">
                  <c:v>8.83032945059973</c:v>
                </c:pt>
                <c:pt idx="646">
                  <c:v>8.27491119936609</c:v>
                </c:pt>
                <c:pt idx="647">
                  <c:v>5.82429649937169</c:v>
                </c:pt>
                <c:pt idx="648">
                  <c:v>8.35414284202576</c:v>
                </c:pt>
                <c:pt idx="649">
                  <c:v>9.06539901341527</c:v>
                </c:pt>
                <c:pt idx="650">
                  <c:v>9.2524130097709</c:v>
                </c:pt>
                <c:pt idx="651">
                  <c:v>9.77388588126674</c:v>
                </c:pt>
                <c:pt idx="652">
                  <c:v>9.972437596784</c:v>
                </c:pt>
                <c:pt idx="653">
                  <c:v>10.0874521895762</c:v>
                </c:pt>
                <c:pt idx="654">
                  <c:v>10.1647082097323</c:v>
                </c:pt>
                <c:pt idx="655">
                  <c:v>10.2199774110082</c:v>
                </c:pt>
                <c:pt idx="656">
                  <c:v>10.2607403873512</c:v>
                </c:pt>
                <c:pt idx="657">
                  <c:v>10.2911557812726</c:v>
                </c:pt>
                <c:pt idx="658">
                  <c:v>10.3137741066788</c:v>
                </c:pt>
                <c:pt idx="659">
                  <c:v>10.3302682452217</c:v>
                </c:pt>
                <c:pt idx="660">
                  <c:v>10.3417895779536</c:v>
                </c:pt>
                <c:pt idx="661">
                  <c:v>10.3491589256636</c:v>
                </c:pt>
                <c:pt idx="662">
                  <c:v>10.3529764731229</c:v>
                </c:pt>
                <c:pt idx="663">
                  <c:v>10.3536886241464</c:v>
                </c:pt>
                <c:pt idx="664">
                  <c:v>10.351630443318</c:v>
                </c:pt>
                <c:pt idx="665">
                  <c:v>10.3470534996363</c:v>
                </c:pt>
                <c:pt idx="666">
                  <c:v>10.340144564401</c:v>
                </c:pt>
                <c:pt idx="667">
                  <c:v>10.3310383309142</c:v>
                </c:pt>
                <c:pt idx="668">
                  <c:v>10.3198260531885</c:v>
                </c:pt>
                <c:pt idx="669">
                  <c:v>10.3065612632633</c:v>
                </c:pt>
                <c:pt idx="670">
                  <c:v>10.2912632767752</c:v>
                </c:pt>
                <c:pt idx="671">
                  <c:v>10.2739188998094</c:v>
                </c:pt>
                <c:pt idx="672">
                  <c:v>10.254482541163</c:v>
                </c:pt>
                <c:pt idx="673">
                  <c:v>10.2328747653668</c:v>
                </c:pt>
                <c:pt idx="674">
                  <c:v>10.2089791605723</c:v>
                </c:pt>
                <c:pt idx="675">
                  <c:v>10.182637216112</c:v>
                </c:pt>
                <c:pt idx="676">
                  <c:v>10.1536406704196</c:v>
                </c:pt>
                <c:pt idx="677">
                  <c:v>10.1217204492377</c:v>
                </c:pt>
                <c:pt idx="678">
                  <c:v>10.0865307944324</c:v>
                </c:pt>
                <c:pt idx="679">
                  <c:v>10.0476263246595</c:v>
                </c:pt>
                <c:pt idx="680">
                  <c:v>10.0044283085208</c:v>
                </c:pt>
                <c:pt idx="681">
                  <c:v>9.95617381233295</c:v>
                </c:pt>
                <c:pt idx="682">
                  <c:v>9.9018364490833</c:v>
                </c:pt>
                <c:pt idx="683">
                  <c:v>9.83999759697268</c:v>
                </c:pt>
                <c:pt idx="684">
                  <c:v>9.7686258131025</c:v>
                </c:pt>
                <c:pt idx="685">
                  <c:v>9.68467268297459</c:v>
                </c:pt>
                <c:pt idx="686">
                  <c:v>9.58326376962676</c:v>
                </c:pt>
                <c:pt idx="687">
                  <c:v>9.45586887343953</c:v>
                </c:pt>
                <c:pt idx="688">
                  <c:v>9.28534445075889</c:v>
                </c:pt>
                <c:pt idx="689">
                  <c:v>9.0277172124313</c:v>
                </c:pt>
                <c:pt idx="690">
                  <c:v>8.47523784235891</c:v>
                </c:pt>
                <c:pt idx="691">
                  <c:v>5.5217166130089</c:v>
                </c:pt>
                <c:pt idx="692">
                  <c:v>6.20277985169459</c:v>
                </c:pt>
                <c:pt idx="693">
                  <c:v>9.03524802790825</c:v>
                </c:pt>
                <c:pt idx="694">
                  <c:v>8.96657597176062</c:v>
                </c:pt>
                <c:pt idx="695">
                  <c:v>8.49288155586016</c:v>
                </c:pt>
                <c:pt idx="696">
                  <c:v>5.71780234030117</c:v>
                </c:pt>
                <c:pt idx="697">
                  <c:v>6.55264622283343</c:v>
                </c:pt>
                <c:pt idx="698">
                  <c:v>9.04462166644714</c:v>
                </c:pt>
                <c:pt idx="699">
                  <c:v>8.97950237454106</c:v>
                </c:pt>
                <c:pt idx="700">
                  <c:v>8.58365704205372</c:v>
                </c:pt>
                <c:pt idx="701">
                  <c:v>6.02826810463812</c:v>
                </c:pt>
                <c:pt idx="702">
                  <c:v>5.84923035332344</c:v>
                </c:pt>
                <c:pt idx="703">
                  <c:v>8.97770367601873</c:v>
                </c:pt>
                <c:pt idx="704">
                  <c:v>8.99715608801609</c:v>
                </c:pt>
                <c:pt idx="705">
                  <c:v>8.66057818376463</c:v>
                </c:pt>
                <c:pt idx="706">
                  <c:v>6.73461991171315</c:v>
                </c:pt>
                <c:pt idx="707">
                  <c:v>5.66534567484676</c:v>
                </c:pt>
                <c:pt idx="708">
                  <c:v>8.87859448451767</c:v>
                </c:pt>
                <c:pt idx="709">
                  <c:v>9.0315436631535</c:v>
                </c:pt>
                <c:pt idx="710">
                  <c:v>8.75452423820932</c:v>
                </c:pt>
                <c:pt idx="711">
                  <c:v>7.93167203685326</c:v>
                </c:pt>
                <c:pt idx="712">
                  <c:v>5.6888582893864</c:v>
                </c:pt>
                <c:pt idx="713">
                  <c:v>8.68679706964409</c:v>
                </c:pt>
                <c:pt idx="714">
                  <c:v>9.05645834743184</c:v>
                </c:pt>
                <c:pt idx="715">
                  <c:v>8.8354355579216</c:v>
                </c:pt>
                <c:pt idx="716">
                  <c:v>8.27218992951008</c:v>
                </c:pt>
                <c:pt idx="717">
                  <c:v>5.79325165117489</c:v>
                </c:pt>
                <c:pt idx="718">
                  <c:v>8.35452917413964</c:v>
                </c:pt>
                <c:pt idx="719">
                  <c:v>9.06988937821411</c:v>
                </c:pt>
                <c:pt idx="720">
                  <c:v>8.90763527730621</c:v>
                </c:pt>
                <c:pt idx="721">
                  <c:v>8.47524504355952</c:v>
                </c:pt>
                <c:pt idx="722">
                  <c:v>6.01367671545717</c:v>
                </c:pt>
                <c:pt idx="723">
                  <c:v>6.78483168450522</c:v>
                </c:pt>
                <c:pt idx="724">
                  <c:v>9.03132676202914</c:v>
                </c:pt>
                <c:pt idx="725">
                  <c:v>8.98070747052138</c:v>
                </c:pt>
                <c:pt idx="726">
                  <c:v>8.64378671157204</c:v>
                </c:pt>
                <c:pt idx="727">
                  <c:v>7.00041532487551</c:v>
                </c:pt>
                <c:pt idx="728">
                  <c:v>5.73514112834646</c:v>
                </c:pt>
                <c:pt idx="729">
                  <c:v>8.8733313618254</c:v>
                </c:pt>
                <c:pt idx="730">
                  <c:v>9.02885393492945</c:v>
                </c:pt>
                <c:pt idx="731">
                  <c:v>8.76105423814837</c:v>
                </c:pt>
                <c:pt idx="732">
                  <c:v>8.02284350942748</c:v>
                </c:pt>
                <c:pt idx="733">
                  <c:v>5.73440292106033</c:v>
                </c:pt>
                <c:pt idx="734">
                  <c:v>8.64045993578458</c:v>
                </c:pt>
                <c:pt idx="735">
                  <c:v>9.05748151594812</c:v>
                </c:pt>
                <c:pt idx="736">
                  <c:v>8.84936673743069</c:v>
                </c:pt>
                <c:pt idx="737">
                  <c:v>8.32857822199886</c:v>
                </c:pt>
                <c:pt idx="738">
                  <c:v>5.85045945581565</c:v>
                </c:pt>
                <c:pt idx="739">
                  <c:v>8.23589086980873</c:v>
                </c:pt>
                <c:pt idx="740">
                  <c:v>9.07970455270424</c:v>
                </c:pt>
                <c:pt idx="741">
                  <c:v>8.93845233711442</c:v>
                </c:pt>
                <c:pt idx="742">
                  <c:v>8.54880704625903</c:v>
                </c:pt>
                <c:pt idx="743">
                  <c:v>6.22432850124383</c:v>
                </c:pt>
                <c:pt idx="744">
                  <c:v>5.95460525329443</c:v>
                </c:pt>
                <c:pt idx="745">
                  <c:v>8.97355796159089</c:v>
                </c:pt>
                <c:pt idx="746">
                  <c:v>8.99438112273412</c:v>
                </c:pt>
                <c:pt idx="747">
                  <c:v>8.68158812841012</c:v>
                </c:pt>
                <c:pt idx="748">
                  <c:v>7.53701944399468</c:v>
                </c:pt>
                <c:pt idx="749">
                  <c:v>5.72163945595802</c:v>
                </c:pt>
                <c:pt idx="750">
                  <c:v>8.81210337277704</c:v>
                </c:pt>
                <c:pt idx="751">
                  <c:v>9.03800444999336</c:v>
                </c:pt>
                <c:pt idx="752">
                  <c:v>8.78867571883505</c:v>
                </c:pt>
                <c:pt idx="753">
                  <c:v>8.136172832447</c:v>
                </c:pt>
                <c:pt idx="754">
                  <c:v>5.76059256162507</c:v>
                </c:pt>
                <c:pt idx="755">
                  <c:v>8.55701557325922</c:v>
                </c:pt>
                <c:pt idx="756">
                  <c:v>9.07466849392507</c:v>
                </c:pt>
                <c:pt idx="757">
                  <c:v>8.88932245706145</c:v>
                </c:pt>
                <c:pt idx="758">
                  <c:v>8.43215333018462</c:v>
                </c:pt>
                <c:pt idx="759">
                  <c:v>5.95748319124529</c:v>
                </c:pt>
                <c:pt idx="760">
                  <c:v>7.62886437322207</c:v>
                </c:pt>
                <c:pt idx="761">
                  <c:v>9.05160148607625</c:v>
                </c:pt>
                <c:pt idx="762">
                  <c:v>8.9544151012019</c:v>
                </c:pt>
                <c:pt idx="763">
                  <c:v>8.59009579383123</c:v>
                </c:pt>
                <c:pt idx="764">
                  <c:v>6.44111518575878</c:v>
                </c:pt>
                <c:pt idx="765">
                  <c:v>5.8109243203313</c:v>
                </c:pt>
                <c:pt idx="766">
                  <c:v>8.93463472880737</c:v>
                </c:pt>
                <c:pt idx="767">
                  <c:v>9.01406272648645</c:v>
                </c:pt>
                <c:pt idx="768">
                  <c:v>8.72499517392901</c:v>
                </c:pt>
                <c:pt idx="769">
                  <c:v>7.85061705577718</c:v>
                </c:pt>
                <c:pt idx="770">
                  <c:v>5.72186754906111</c:v>
                </c:pt>
                <c:pt idx="771">
                  <c:v>8.73296416940811</c:v>
                </c:pt>
                <c:pt idx="772">
                  <c:v>9.0557521766467</c:v>
                </c:pt>
                <c:pt idx="773">
                  <c:v>8.83152232014081</c:v>
                </c:pt>
                <c:pt idx="774">
                  <c:v>8.27521083645496</c:v>
                </c:pt>
                <c:pt idx="775">
                  <c:v>5.81594660081403</c:v>
                </c:pt>
                <c:pt idx="776">
                  <c:v>8.35045783887001</c:v>
                </c:pt>
                <c:pt idx="777">
                  <c:v>9.06798744676576</c:v>
                </c:pt>
                <c:pt idx="778">
                  <c:v>8.90767656232028</c:v>
                </c:pt>
                <c:pt idx="779">
                  <c:v>8.48099864798135</c:v>
                </c:pt>
                <c:pt idx="780">
                  <c:v>6.04226787888298</c:v>
                </c:pt>
                <c:pt idx="781">
                  <c:v>6.6611694963611</c:v>
                </c:pt>
                <c:pt idx="782">
                  <c:v>9.0264185647303</c:v>
                </c:pt>
                <c:pt idx="783">
                  <c:v>8.9839100714305</c:v>
                </c:pt>
                <c:pt idx="784">
                  <c:v>8.65253710889121</c:v>
                </c:pt>
                <c:pt idx="785">
                  <c:v>7.17476312657397</c:v>
                </c:pt>
                <c:pt idx="786">
                  <c:v>5.73359864414013</c:v>
                </c:pt>
                <c:pt idx="787">
                  <c:v>8.85724765606017</c:v>
                </c:pt>
                <c:pt idx="788">
                  <c:v>9.02854891530964</c:v>
                </c:pt>
                <c:pt idx="789">
                  <c:v>8.76419173978098</c:v>
                </c:pt>
                <c:pt idx="790">
                  <c:v>8.04122386238153</c:v>
                </c:pt>
                <c:pt idx="791">
                  <c:v>5.74020658626023</c:v>
                </c:pt>
                <c:pt idx="792">
                  <c:v>8.62946566080694</c:v>
                </c:pt>
                <c:pt idx="793">
                  <c:v>9.05977228673116</c:v>
                </c:pt>
                <c:pt idx="794">
                  <c:v>8.85513725031441</c:v>
                </c:pt>
                <c:pt idx="795">
                  <c:v>8.34527336128507</c:v>
                </c:pt>
                <c:pt idx="796">
                  <c:v>5.8651375972576</c:v>
                </c:pt>
                <c:pt idx="797">
                  <c:v>8.18887621696864</c:v>
                </c:pt>
                <c:pt idx="798">
                  <c:v>9.07962839028996</c:v>
                </c:pt>
                <c:pt idx="799">
                  <c:v>8.94363957311453</c:v>
                </c:pt>
                <c:pt idx="800">
                  <c:v>8.56064320125956</c:v>
                </c:pt>
                <c:pt idx="801">
                  <c:v>5.81948755505122</c:v>
                </c:pt>
                <c:pt idx="802">
                  <c:v>5.1356408136134</c:v>
                </c:pt>
                <c:pt idx="803">
                  <c:v>7.58769334125994</c:v>
                </c:pt>
                <c:pt idx="804">
                  <c:v>8.922245958906</c:v>
                </c:pt>
                <c:pt idx="805">
                  <c:v>8.13208244656706</c:v>
                </c:pt>
                <c:pt idx="806">
                  <c:v>5.11902625078978</c:v>
                </c:pt>
                <c:pt idx="807">
                  <c:v>5.46285563075103</c:v>
                </c:pt>
                <c:pt idx="808">
                  <c:v>8.76097194566025</c:v>
                </c:pt>
                <c:pt idx="809">
                  <c:v>8.71511559196758</c:v>
                </c:pt>
                <c:pt idx="810">
                  <c:v>5.38932587374847</c:v>
                </c:pt>
                <c:pt idx="811">
                  <c:v>5.16180708265436</c:v>
                </c:pt>
                <c:pt idx="812">
                  <c:v>8.31227318596207</c:v>
                </c:pt>
                <c:pt idx="813">
                  <c:v>8.91623499954916</c:v>
                </c:pt>
                <c:pt idx="814">
                  <c:v>6.9293184788087</c:v>
                </c:pt>
                <c:pt idx="815">
                  <c:v>5.07101871594731</c:v>
                </c:pt>
                <c:pt idx="816">
                  <c:v>5.65911099120111</c:v>
                </c:pt>
                <c:pt idx="817">
                  <c:v>8.83874138284494</c:v>
                </c:pt>
                <c:pt idx="818">
                  <c:v>8.65083639045697</c:v>
                </c:pt>
                <c:pt idx="819">
                  <c:v>5.31234332116933</c:v>
                </c:pt>
                <c:pt idx="820">
                  <c:v>5.18646059640613</c:v>
                </c:pt>
                <c:pt idx="821">
                  <c:v>8.42054951002037</c:v>
                </c:pt>
                <c:pt idx="822">
                  <c:v>8.902450749152</c:v>
                </c:pt>
                <c:pt idx="823">
                  <c:v>6.25714608964774</c:v>
                </c:pt>
                <c:pt idx="824">
                  <c:v>5.05873923504259</c:v>
                </c:pt>
                <c:pt idx="825">
                  <c:v>5.81186872838916</c:v>
                </c:pt>
                <c:pt idx="826">
                  <c:v>8.8702133036423</c:v>
                </c:pt>
                <c:pt idx="827">
                  <c:v>8.54076278086276</c:v>
                </c:pt>
                <c:pt idx="828">
                  <c:v>5.2378535384586</c:v>
                </c:pt>
                <c:pt idx="829">
                  <c:v>5.2757590347385</c:v>
                </c:pt>
                <c:pt idx="830">
                  <c:v>8.59548809627071</c:v>
                </c:pt>
                <c:pt idx="831">
                  <c:v>8.84286303126337</c:v>
                </c:pt>
                <c:pt idx="832">
                  <c:v>5.70595328968826</c:v>
                </c:pt>
                <c:pt idx="833">
                  <c:v>5.07458189694181</c:v>
                </c:pt>
                <c:pt idx="834">
                  <c:v>6.61255496668891</c:v>
                </c:pt>
                <c:pt idx="835">
                  <c:v>8.92073199227589</c:v>
                </c:pt>
                <c:pt idx="836">
                  <c:v>8.41382890496823</c:v>
                </c:pt>
                <c:pt idx="837">
                  <c:v>5.18036394448074</c:v>
                </c:pt>
                <c:pt idx="838">
                  <c:v>5.3175883855315</c:v>
                </c:pt>
                <c:pt idx="839">
                  <c:v>8.65512045243401</c:v>
                </c:pt>
                <c:pt idx="840">
                  <c:v>8.8202664919293</c:v>
                </c:pt>
                <c:pt idx="841">
                  <c:v>5.60888442485007</c:v>
                </c:pt>
                <c:pt idx="842">
                  <c:v>5.09489099309703</c:v>
                </c:pt>
                <c:pt idx="843">
                  <c:v>7.64142259976612</c:v>
                </c:pt>
                <c:pt idx="844">
                  <c:v>8.93754532894024</c:v>
                </c:pt>
                <c:pt idx="845">
                  <c:v>8.20920665474361</c:v>
                </c:pt>
                <c:pt idx="846">
                  <c:v>5.13295043504976</c:v>
                </c:pt>
                <c:pt idx="847">
                  <c:v>5.44907474349702</c:v>
                </c:pt>
                <c:pt idx="848">
                  <c:v>8.75597186652954</c:v>
                </c:pt>
                <c:pt idx="849">
                  <c:v>8.73175670262227</c:v>
                </c:pt>
                <c:pt idx="850">
                  <c:v>5.41555368335583</c:v>
                </c:pt>
                <c:pt idx="851">
                  <c:v>5.14669612783356</c:v>
                </c:pt>
                <c:pt idx="852">
                  <c:v>8.25012378853725</c:v>
                </c:pt>
                <c:pt idx="853">
                  <c:v>8.93983335587883</c:v>
                </c:pt>
                <c:pt idx="854">
                  <c:v>7.78769954990785</c:v>
                </c:pt>
                <c:pt idx="855">
                  <c:v>5.09108778261914</c:v>
                </c:pt>
                <c:pt idx="856">
                  <c:v>5.52714936699911</c:v>
                </c:pt>
                <c:pt idx="857">
                  <c:v>8.7977302013401</c:v>
                </c:pt>
                <c:pt idx="858">
                  <c:v>8.69715836004504</c:v>
                </c:pt>
                <c:pt idx="859">
                  <c:v>5.3645567377583</c:v>
                </c:pt>
                <c:pt idx="860">
                  <c:v>5.17481615268731</c:v>
                </c:pt>
                <c:pt idx="861">
                  <c:v>8.36968590810068</c:v>
                </c:pt>
                <c:pt idx="862">
                  <c:v>8.90672246103727</c:v>
                </c:pt>
                <c:pt idx="863">
                  <c:v>6.44982549561252</c:v>
                </c:pt>
                <c:pt idx="864">
                  <c:v>5.06441575629161</c:v>
                </c:pt>
                <c:pt idx="865">
                  <c:v>5.76967044937298</c:v>
                </c:pt>
                <c:pt idx="866">
                  <c:v>8.86301759534399</c:v>
                </c:pt>
                <c:pt idx="867">
                  <c:v>8.56241739562847</c:v>
                </c:pt>
                <c:pt idx="868">
                  <c:v>5.25076872086128</c:v>
                </c:pt>
                <c:pt idx="869">
                  <c:v>5.25564008726809</c:v>
                </c:pt>
                <c:pt idx="870">
                  <c:v>8.56599884152232</c:v>
                </c:pt>
                <c:pt idx="871">
                  <c:v>8.87141867379308</c:v>
                </c:pt>
                <c:pt idx="872">
                  <c:v>5.84431410404772</c:v>
                </c:pt>
                <c:pt idx="873">
                  <c:v>5.04911709128742</c:v>
                </c:pt>
                <c:pt idx="874">
                  <c:v>5.99006782137495</c:v>
                </c:pt>
                <c:pt idx="875">
                  <c:v>8.89375318345172</c:v>
                </c:pt>
                <c:pt idx="876">
                  <c:v>8.50349021742048</c:v>
                </c:pt>
                <c:pt idx="877">
                  <c:v>5.21684999705454</c:v>
                </c:pt>
                <c:pt idx="878">
                  <c:v>5.29418745922241</c:v>
                </c:pt>
                <c:pt idx="879">
                  <c:v>8.62276106766984</c:v>
                </c:pt>
                <c:pt idx="880">
                  <c:v>8.82871405611643</c:v>
                </c:pt>
                <c:pt idx="881">
                  <c:v>5.64738743760715</c:v>
                </c:pt>
                <c:pt idx="882">
                  <c:v>5.09067497769012</c:v>
                </c:pt>
                <c:pt idx="883">
                  <c:v>7.4480249209358</c:v>
                </c:pt>
                <c:pt idx="884">
                  <c:v>8.93313857226847</c:v>
                </c:pt>
                <c:pt idx="885">
                  <c:v>8.25403795961832</c:v>
                </c:pt>
                <c:pt idx="886">
                  <c:v>5.14123073574429</c:v>
                </c:pt>
                <c:pt idx="887">
                  <c:v>5.42041615456258</c:v>
                </c:pt>
                <c:pt idx="888">
                  <c:v>8.73872692181573</c:v>
                </c:pt>
                <c:pt idx="889">
                  <c:v>8.76655171990647</c:v>
                </c:pt>
                <c:pt idx="890">
                  <c:v>5.47042110077245</c:v>
                </c:pt>
                <c:pt idx="891">
                  <c:v>5.10879686238511</c:v>
                </c:pt>
                <c:pt idx="892">
                  <c:v>8.00470197190814</c:v>
                </c:pt>
                <c:pt idx="893">
                  <c:v>8.94950920955428</c:v>
                </c:pt>
                <c:pt idx="894">
                  <c:v>8.10910044637733</c:v>
                </c:pt>
                <c:pt idx="895">
                  <c:v>5.1171409719673</c:v>
                </c:pt>
                <c:pt idx="896">
                  <c:v>5.47989157378825</c:v>
                </c:pt>
                <c:pt idx="897">
                  <c:v>8.77384328017721</c:v>
                </c:pt>
                <c:pt idx="898">
                  <c:v>8.71191229522425</c:v>
                </c:pt>
                <c:pt idx="899">
                  <c:v>5.38668340638223</c:v>
                </c:pt>
                <c:pt idx="900">
                  <c:v>5.16726978349827</c:v>
                </c:pt>
                <c:pt idx="901">
                  <c:v>8.33696447009256</c:v>
                </c:pt>
                <c:pt idx="902">
                  <c:v>8.91196953682464</c:v>
                </c:pt>
                <c:pt idx="903">
                  <c:v>6.69822094080418</c:v>
                </c:pt>
                <c:pt idx="904">
                  <c:v>5.06905858818877</c:v>
                </c:pt>
                <c:pt idx="905">
                  <c:v>5.7142085914418</c:v>
                </c:pt>
                <c:pt idx="906">
                  <c:v>8.85219161420108</c:v>
                </c:pt>
                <c:pt idx="907">
                  <c:v>8.60919981391984</c:v>
                </c:pt>
                <c:pt idx="908">
                  <c:v>5.28081000262354</c:v>
                </c:pt>
                <c:pt idx="909">
                  <c:v>5.20498394726389</c:v>
                </c:pt>
                <c:pt idx="910">
                  <c:v>8.4734823583652</c:v>
                </c:pt>
                <c:pt idx="911">
                  <c:v>8.89987911489787</c:v>
                </c:pt>
                <c:pt idx="912">
                  <c:v>6.14470968484701</c:v>
                </c:pt>
                <c:pt idx="913">
                  <c:v>5.05515814178409</c:v>
                </c:pt>
                <c:pt idx="914">
                  <c:v>5.84344163560848</c:v>
                </c:pt>
                <c:pt idx="915">
                  <c:v>8.87565095673968</c:v>
                </c:pt>
                <c:pt idx="916">
                  <c:v>8.531372192232</c:v>
                </c:pt>
                <c:pt idx="917">
                  <c:v>5.23260601255102</c:v>
                </c:pt>
                <c:pt idx="918">
                  <c:v>5.28221309181501</c:v>
                </c:pt>
                <c:pt idx="919">
                  <c:v>8.60500377895946</c:v>
                </c:pt>
                <c:pt idx="920">
                  <c:v>8.83678571091552</c:v>
                </c:pt>
                <c:pt idx="921">
                  <c:v>5.68106832832093</c:v>
                </c:pt>
                <c:pt idx="922">
                  <c:v>5.08319623335906</c:v>
                </c:pt>
                <c:pt idx="923">
                  <c:v>7.05112765231366</c:v>
                </c:pt>
                <c:pt idx="924">
                  <c:v>8.92721946508738</c:v>
                </c:pt>
                <c:pt idx="925">
                  <c:v>8.33711526302582</c:v>
                </c:pt>
                <c:pt idx="926">
                  <c:v>5.15916912974237</c:v>
                </c:pt>
                <c:pt idx="927">
                  <c:v>5.34877545453982</c:v>
                </c:pt>
                <c:pt idx="928">
                  <c:v>8.68661645263823</c:v>
                </c:pt>
                <c:pt idx="929">
                  <c:v>8.81223953188609</c:v>
                </c:pt>
                <c:pt idx="930">
                  <c:v>5.57604497011502</c:v>
                </c:pt>
                <c:pt idx="931">
                  <c:v>5.09685679218003</c:v>
                </c:pt>
                <c:pt idx="932">
                  <c:v>7.73980991790305</c:v>
                </c:pt>
                <c:pt idx="933">
                  <c:v>8.94053252322754</c:v>
                </c:pt>
                <c:pt idx="934">
                  <c:v>8.18612487009007</c:v>
                </c:pt>
                <c:pt idx="935">
                  <c:v>5.1289785222458</c:v>
                </c:pt>
                <c:pt idx="936">
                  <c:v>5.45902166127767</c:v>
                </c:pt>
                <c:pt idx="937">
                  <c:v>8.76177335051049</c:v>
                </c:pt>
                <c:pt idx="938">
                  <c:v>8.72370117047509</c:v>
                </c:pt>
                <c:pt idx="939">
                  <c:v>5.40386583433385</c:v>
                </c:pt>
                <c:pt idx="940">
                  <c:v>5.15700261192531</c:v>
                </c:pt>
                <c:pt idx="941">
                  <c:v>8.29467559713443</c:v>
                </c:pt>
                <c:pt idx="942">
                  <c:v>8.92471399537157</c:v>
                </c:pt>
                <c:pt idx="943">
                  <c:v>7.37388093497719</c:v>
                </c:pt>
                <c:pt idx="944">
                  <c:v>5.07863644054884</c:v>
                </c:pt>
                <c:pt idx="945">
                  <c:v>5.58805272292914</c:v>
                </c:pt>
                <c:pt idx="946">
                  <c:v>8.82001885249284</c:v>
                </c:pt>
                <c:pt idx="947">
                  <c:v>8.6815797936332</c:v>
                </c:pt>
                <c:pt idx="948">
                  <c:v>5.34403962684653</c:v>
                </c:pt>
                <c:pt idx="949">
                  <c:v>5.17960258793122</c:v>
                </c:pt>
                <c:pt idx="950">
                  <c:v>8.39186876306256</c:v>
                </c:pt>
                <c:pt idx="951">
                  <c:v>8.90472385746076</c:v>
                </c:pt>
                <c:pt idx="952">
                  <c:v>6.3566356844439</c:v>
                </c:pt>
                <c:pt idx="953">
                  <c:v>5.06206372585973</c:v>
                </c:pt>
                <c:pt idx="954">
                  <c:v>5.79142993495971</c:v>
                </c:pt>
                <c:pt idx="955">
                  <c:v>8.86692077846946</c:v>
                </c:pt>
                <c:pt idx="956">
                  <c:v>8.55050442996363</c:v>
                </c:pt>
                <c:pt idx="957">
                  <c:v>5.24372502186063</c:v>
                </c:pt>
                <c:pt idx="958">
                  <c:v>5.26827280541085</c:v>
                </c:pt>
                <c:pt idx="959">
                  <c:v>8.58481018104653</c:v>
                </c:pt>
                <c:pt idx="960">
                  <c:v>8.85260701226756</c:v>
                </c:pt>
                <c:pt idx="961">
                  <c:v>5.74829278023542</c:v>
                </c:pt>
                <c:pt idx="962">
                  <c:v>5.06025898572362</c:v>
                </c:pt>
                <c:pt idx="963">
                  <c:v>6.22181928310402</c:v>
                </c:pt>
                <c:pt idx="964">
                  <c:v>8.90908395608787</c:v>
                </c:pt>
                <c:pt idx="965">
                  <c:v>8.47163390287475</c:v>
                </c:pt>
                <c:pt idx="966">
                  <c:v>5.20163026761801</c:v>
                </c:pt>
                <c:pt idx="967">
                  <c:v>5.30298509942974</c:v>
                </c:pt>
                <c:pt idx="968">
                  <c:v>8.63589392318281</c:v>
                </c:pt>
                <c:pt idx="969">
                  <c:v>8.82481372167644</c:v>
                </c:pt>
                <c:pt idx="970">
                  <c:v>5.62997499393182</c:v>
                </c:pt>
                <c:pt idx="971">
                  <c:v>5.09302057857936</c:v>
                </c:pt>
                <c:pt idx="972">
                  <c:v>7.5540181154873</c:v>
                </c:pt>
                <c:pt idx="973">
                  <c:v>8.93536096497913</c:v>
                </c:pt>
                <c:pt idx="974">
                  <c:v>8.22979766939468</c:v>
                </c:pt>
                <c:pt idx="975">
                  <c:v>5.13666734019061</c:v>
                </c:pt>
                <c:pt idx="976">
                  <c:v>5.43783114804278</c:v>
                </c:pt>
                <c:pt idx="977">
                  <c:v>8.74934927422319</c:v>
                </c:pt>
                <c:pt idx="978">
                  <c:v>8.74365495956075</c:v>
                </c:pt>
                <c:pt idx="979">
                  <c:v>5.43330254589599</c:v>
                </c:pt>
                <c:pt idx="980">
                  <c:v>5.12889433809374</c:v>
                </c:pt>
                <c:pt idx="981">
                  <c:v>8.15966323833917</c:v>
                </c:pt>
                <c:pt idx="982">
                  <c:v>8.95043147155438</c:v>
                </c:pt>
                <c:pt idx="983">
                  <c:v>8.00625184414319</c:v>
                </c:pt>
                <c:pt idx="984">
                  <c:v>5.10565002001011</c:v>
                </c:pt>
                <c:pt idx="985">
                  <c:v>5.49710796149464</c:v>
                </c:pt>
                <c:pt idx="986">
                  <c:v>8.78337535021791</c:v>
                </c:pt>
                <c:pt idx="987">
                  <c:v>8.70544011851202</c:v>
                </c:pt>
                <c:pt idx="988">
                  <c:v>5.37695223067802</c:v>
                </c:pt>
                <c:pt idx="989">
                  <c:v>5.17112698710523</c:v>
                </c:pt>
                <c:pt idx="990">
                  <c:v>8.35325484943116</c:v>
                </c:pt>
                <c:pt idx="991">
                  <c:v>8.90893031904126</c:v>
                </c:pt>
                <c:pt idx="992">
                  <c:v>6.54998417085446</c:v>
                </c:pt>
                <c:pt idx="993">
                  <c:v>5.06651699528398</c:v>
                </c:pt>
                <c:pt idx="994">
                  <c:v>5.74675622342866</c:v>
                </c:pt>
                <c:pt idx="995">
                  <c:v>8.85871386970537</c:v>
                </c:pt>
                <c:pt idx="996">
                  <c:v>8.57881085284686</c:v>
                </c:pt>
                <c:pt idx="997">
                  <c:v>5.26078015741809</c:v>
                </c:pt>
                <c:pt idx="998">
                  <c:v>5.2340079529409</c:v>
                </c:pt>
                <c:pt idx="999">
                  <c:v>8.53102754865931</c:v>
                </c:pt>
                <c:pt idx="1000">
                  <c:v>8.89048942603923</c:v>
                </c:pt>
                <c:pt idx="1001">
                  <c:v>5.69663322417553</c:v>
                </c:pt>
                <c:pt idx="1002">
                  <c:v>4.82455276263031</c:v>
                </c:pt>
                <c:pt idx="1003">
                  <c:v>4.94436003915401</c:v>
                </c:pt>
                <c:pt idx="1004">
                  <c:v>5.23082441267964</c:v>
                </c:pt>
                <c:pt idx="1005">
                  <c:v>5.93525978815894</c:v>
                </c:pt>
                <c:pt idx="1006">
                  <c:v>8.23917564987117</c:v>
                </c:pt>
                <c:pt idx="1007">
                  <c:v>5.38135191667252</c:v>
                </c:pt>
                <c:pt idx="1008">
                  <c:v>4.93835438317362</c:v>
                </c:pt>
                <c:pt idx="1009">
                  <c:v>5.13823920451171</c:v>
                </c:pt>
                <c:pt idx="1010">
                  <c:v>5.63112075347577</c:v>
                </c:pt>
                <c:pt idx="1011">
                  <c:v>8.10135695842946</c:v>
                </c:pt>
                <c:pt idx="1012">
                  <c:v>5.90201242457061</c:v>
                </c:pt>
                <c:pt idx="1013">
                  <c:v>4.92488942382346</c:v>
                </c:pt>
                <c:pt idx="1014">
                  <c:v>5.05247938065519</c:v>
                </c:pt>
                <c:pt idx="1015">
                  <c:v>5.42832685817808</c:v>
                </c:pt>
                <c:pt idx="1016">
                  <c:v>7.65810791666153</c:v>
                </c:pt>
                <c:pt idx="1017">
                  <c:v>8.13864165370005</c:v>
                </c:pt>
                <c:pt idx="1018">
                  <c:v>5.04845608407112</c:v>
                </c:pt>
                <c:pt idx="1019">
                  <c:v>4.99945078359492</c:v>
                </c:pt>
                <c:pt idx="1020">
                  <c:v>5.30248353996024</c:v>
                </c:pt>
                <c:pt idx="1021">
                  <c:v>6.31977891767775</c:v>
                </c:pt>
                <c:pt idx="1022">
                  <c:v>8.27764915153493</c:v>
                </c:pt>
                <c:pt idx="1023">
                  <c:v>5.21366039153043</c:v>
                </c:pt>
                <c:pt idx="1024">
                  <c:v>4.94791956684018</c:v>
                </c:pt>
                <c:pt idx="1025">
                  <c:v>5.18356629278466</c:v>
                </c:pt>
                <c:pt idx="1026">
                  <c:v>5.77249687624072</c:v>
                </c:pt>
                <c:pt idx="1027">
                  <c:v>8.2072459848028</c:v>
                </c:pt>
                <c:pt idx="1028">
                  <c:v>5.56479932778523</c:v>
                </c:pt>
                <c:pt idx="1029">
                  <c:v>4.93083787944509</c:v>
                </c:pt>
                <c:pt idx="1030">
                  <c:v>5.10221396418718</c:v>
                </c:pt>
                <c:pt idx="1031">
                  <c:v>5.54452836752787</c:v>
                </c:pt>
                <c:pt idx="1032">
                  <c:v>8.00503276515915</c:v>
                </c:pt>
                <c:pt idx="1033">
                  <c:v>6.74796367902517</c:v>
                </c:pt>
                <c:pt idx="1034">
                  <c:v>4.95930630655192</c:v>
                </c:pt>
                <c:pt idx="1035">
                  <c:v>5.03465174536612</c:v>
                </c:pt>
                <c:pt idx="1036">
                  <c:v>5.38644655501114</c:v>
                </c:pt>
                <c:pt idx="1037">
                  <c:v>7.36421170148909</c:v>
                </c:pt>
                <c:pt idx="1038">
                  <c:v>8.22852736039758</c:v>
                </c:pt>
                <c:pt idx="1039">
                  <c:v>5.08847149520403</c:v>
                </c:pt>
                <c:pt idx="1040">
                  <c:v>4.97257980571638</c:v>
                </c:pt>
                <c:pt idx="1041">
                  <c:v>5.24803736287385</c:v>
                </c:pt>
                <c:pt idx="1042">
                  <c:v>6.01769369514819</c:v>
                </c:pt>
                <c:pt idx="1043">
                  <c:v>8.26910539299697</c:v>
                </c:pt>
                <c:pt idx="1044">
                  <c:v>5.33476490370422</c:v>
                </c:pt>
                <c:pt idx="1045">
                  <c:v>4.94507152864213</c:v>
                </c:pt>
                <c:pt idx="1046">
                  <c:v>5.15905949799214</c:v>
                </c:pt>
                <c:pt idx="1047">
                  <c:v>5.69568696732415</c:v>
                </c:pt>
                <c:pt idx="1048">
                  <c:v>8.16573636982594</c:v>
                </c:pt>
                <c:pt idx="1049">
                  <c:v>5.70710359623019</c:v>
                </c:pt>
                <c:pt idx="1050">
                  <c:v>4.92512637806188</c:v>
                </c:pt>
                <c:pt idx="1051">
                  <c:v>5.07537965951964</c:v>
                </c:pt>
                <c:pt idx="1052">
                  <c:v>5.48184135429159</c:v>
                </c:pt>
                <c:pt idx="1053">
                  <c:v>7.87294084414314</c:v>
                </c:pt>
                <c:pt idx="1054">
                  <c:v>7.81948056058276</c:v>
                </c:pt>
                <c:pt idx="1055">
                  <c:v>4.99819005738035</c:v>
                </c:pt>
                <c:pt idx="1056">
                  <c:v>5.00677460598957</c:v>
                </c:pt>
                <c:pt idx="1057">
                  <c:v>5.32642905577149</c:v>
                </c:pt>
                <c:pt idx="1058">
                  <c:v>6.55589035789958</c:v>
                </c:pt>
                <c:pt idx="1059">
                  <c:v>8.27662084705576</c:v>
                </c:pt>
                <c:pt idx="1060">
                  <c:v>5.17407428478956</c:v>
                </c:pt>
                <c:pt idx="1061">
                  <c:v>4.96690322347013</c:v>
                </c:pt>
                <c:pt idx="1062">
                  <c:v>5.22280846487271</c:v>
                </c:pt>
                <c:pt idx="1063">
                  <c:v>5.90756387284592</c:v>
                </c:pt>
                <c:pt idx="1064">
                  <c:v>8.2502733912068</c:v>
                </c:pt>
                <c:pt idx="1065">
                  <c:v>5.40555303188171</c:v>
                </c:pt>
                <c:pt idx="1066">
                  <c:v>4.92841159720267</c:v>
                </c:pt>
                <c:pt idx="1067">
                  <c:v>5.12141416990623</c:v>
                </c:pt>
                <c:pt idx="1068">
                  <c:v>5.59583281638573</c:v>
                </c:pt>
                <c:pt idx="1069">
                  <c:v>8.07887985047054</c:v>
                </c:pt>
                <c:pt idx="1070">
                  <c:v>6.10137258992663</c:v>
                </c:pt>
                <c:pt idx="1071">
                  <c:v>4.93525174660187</c:v>
                </c:pt>
                <c:pt idx="1072">
                  <c:v>5.04956773437141</c:v>
                </c:pt>
                <c:pt idx="1073">
                  <c:v>5.42179518037213</c:v>
                </c:pt>
                <c:pt idx="1074">
                  <c:v>7.63806267654214</c:v>
                </c:pt>
                <c:pt idx="1075">
                  <c:v>8.15977748883986</c:v>
                </c:pt>
                <c:pt idx="1076">
                  <c:v>5.05333851764935</c:v>
                </c:pt>
                <c:pt idx="1077">
                  <c:v>4.9957124389446</c:v>
                </c:pt>
                <c:pt idx="1078">
                  <c:v>5.29554373907923</c:v>
                </c:pt>
                <c:pt idx="1079">
                  <c:v>6.27834400246264</c:v>
                </c:pt>
                <c:pt idx="1080">
                  <c:v>8.28067974286832</c:v>
                </c:pt>
                <c:pt idx="1081">
                  <c:v>5.22411739031715</c:v>
                </c:pt>
                <c:pt idx="1082">
                  <c:v>4.94491512367913</c:v>
                </c:pt>
                <c:pt idx="1083">
                  <c:v>5.17723391286559</c:v>
                </c:pt>
                <c:pt idx="1084">
                  <c:v>5.75417994005765</c:v>
                </c:pt>
                <c:pt idx="1085">
                  <c:v>8.2004218224084</c:v>
                </c:pt>
                <c:pt idx="1086">
                  <c:v>5.59605630334527</c:v>
                </c:pt>
                <c:pt idx="1087">
                  <c:v>4.9318980650276</c:v>
                </c:pt>
                <c:pt idx="1088">
                  <c:v>5.09971566885946</c:v>
                </c:pt>
                <c:pt idx="1089">
                  <c:v>5.53821411970001</c:v>
                </c:pt>
                <c:pt idx="1090">
                  <c:v>7.99508437487954</c:v>
                </c:pt>
                <c:pt idx="1091">
                  <c:v>6.89232060001752</c:v>
                </c:pt>
                <c:pt idx="1092">
                  <c:v>4.96244861365593</c:v>
                </c:pt>
                <c:pt idx="1093">
                  <c:v>5.02986542923487</c:v>
                </c:pt>
                <c:pt idx="1094">
                  <c:v>5.3766170363064</c:v>
                </c:pt>
                <c:pt idx="1095">
                  <c:v>7.25590197606463</c:v>
                </c:pt>
                <c:pt idx="1096">
                  <c:v>8.24107652606637</c:v>
                </c:pt>
                <c:pt idx="1097">
                  <c:v>5.09989108652393</c:v>
                </c:pt>
                <c:pt idx="1098">
                  <c:v>4.97110285536656</c:v>
                </c:pt>
                <c:pt idx="1099">
                  <c:v>5.24354215213207</c:v>
                </c:pt>
                <c:pt idx="1100">
                  <c:v>5.99737608706558</c:v>
                </c:pt>
                <c:pt idx="1101">
                  <c:v>8.26671830337477</c:v>
                </c:pt>
                <c:pt idx="1102">
                  <c:v>5.34666024641962</c:v>
                </c:pt>
                <c:pt idx="1103">
                  <c:v>4.9440987674625</c:v>
                </c:pt>
                <c:pt idx="1104">
                  <c:v>5.15553448521776</c:v>
                </c:pt>
                <c:pt idx="1105">
                  <c:v>5.68551007513724</c:v>
                </c:pt>
                <c:pt idx="1106">
                  <c:v>8.15888428450968</c:v>
                </c:pt>
                <c:pt idx="1107">
                  <c:v>5.7295144663794</c:v>
                </c:pt>
                <c:pt idx="1108">
                  <c:v>4.92223605879738</c:v>
                </c:pt>
                <c:pt idx="1109">
                  <c:v>5.06854588181838</c:v>
                </c:pt>
                <c:pt idx="1110">
                  <c:v>5.46702320505001</c:v>
                </c:pt>
                <c:pt idx="1111">
                  <c:v>7.83009396548615</c:v>
                </c:pt>
                <c:pt idx="1112">
                  <c:v>7.94315100627978</c:v>
                </c:pt>
                <c:pt idx="1113">
                  <c:v>5.01106977493209</c:v>
                </c:pt>
                <c:pt idx="1114">
                  <c:v>5.006131818621</c:v>
                </c:pt>
                <c:pt idx="1115">
                  <c:v>5.32288975832177</c:v>
                </c:pt>
                <c:pt idx="1116">
                  <c:v>6.5147411237738</c:v>
                </c:pt>
                <c:pt idx="1117">
                  <c:v>8.2775049874392</c:v>
                </c:pt>
                <c:pt idx="1118">
                  <c:v>5.17980637584569</c:v>
                </c:pt>
                <c:pt idx="1119">
                  <c:v>4.96499538250845</c:v>
                </c:pt>
                <c:pt idx="1120">
                  <c:v>5.2184821108141</c:v>
                </c:pt>
                <c:pt idx="1121">
                  <c:v>5.89125417060043</c:v>
                </c:pt>
                <c:pt idx="1122">
                  <c:v>8.24659727355176</c:v>
                </c:pt>
                <c:pt idx="1123">
                  <c:v>5.41835950834347</c:v>
                </c:pt>
                <c:pt idx="1124">
                  <c:v>4.92620163871231</c:v>
                </c:pt>
                <c:pt idx="1125">
                  <c:v>5.11609376303217</c:v>
                </c:pt>
                <c:pt idx="1126">
                  <c:v>5.58259816220453</c:v>
                </c:pt>
                <c:pt idx="1127">
                  <c:v>8.06301386688117</c:v>
                </c:pt>
                <c:pt idx="1128">
                  <c:v>6.21236350065849</c:v>
                </c:pt>
                <c:pt idx="1129">
                  <c:v>4.94097005595591</c:v>
                </c:pt>
                <c:pt idx="1130">
                  <c:v>5.04809609873019</c:v>
                </c:pt>
                <c:pt idx="1131">
                  <c:v>5.41744175953314</c:v>
                </c:pt>
                <c:pt idx="1132">
                  <c:v>7.61157969089975</c:v>
                </c:pt>
                <c:pt idx="1133">
                  <c:v>8.17127612917544</c:v>
                </c:pt>
                <c:pt idx="1134">
                  <c:v>5.05746873716717</c:v>
                </c:pt>
                <c:pt idx="1135">
                  <c:v>4.99241617733536</c:v>
                </c:pt>
                <c:pt idx="1136">
                  <c:v>5.28877466166747</c:v>
                </c:pt>
                <c:pt idx="1137">
                  <c:v>6.23354220540976</c:v>
                </c:pt>
                <c:pt idx="1138">
                  <c:v>8.28045346074391</c:v>
                </c:pt>
                <c:pt idx="1139">
                  <c:v>5.23650199663321</c:v>
                </c:pt>
                <c:pt idx="1140">
                  <c:v>4.94354870606423</c:v>
                </c:pt>
                <c:pt idx="1141">
                  <c:v>5.1729570319742</c:v>
                </c:pt>
                <c:pt idx="1142">
                  <c:v>5.74089331241881</c:v>
                </c:pt>
                <c:pt idx="1143">
                  <c:v>8.19376624787475</c:v>
                </c:pt>
                <c:pt idx="1144">
                  <c:v>5.61953365008694</c:v>
                </c:pt>
                <c:pt idx="1145">
                  <c:v>4.93217032883933</c:v>
                </c:pt>
                <c:pt idx="1146">
                  <c:v>5.09697308564811</c:v>
                </c:pt>
                <c:pt idx="1147">
                  <c:v>5.53129266030066</c:v>
                </c:pt>
                <c:pt idx="1148">
                  <c:v>7.98261487659643</c:v>
                </c:pt>
                <c:pt idx="1149">
                  <c:v>7.06223407346965</c:v>
                </c:pt>
                <c:pt idx="1150">
                  <c:v>4.96607803481181</c:v>
                </c:pt>
                <c:pt idx="1151">
                  <c:v>5.02417475086231</c:v>
                </c:pt>
                <c:pt idx="1152">
                  <c:v>5.36495076220177</c:v>
                </c:pt>
                <c:pt idx="1153">
                  <c:v>7.09835269246646</c:v>
                </c:pt>
                <c:pt idx="1154">
                  <c:v>8.25306546425171</c:v>
                </c:pt>
                <c:pt idx="1155">
                  <c:v>5.11542831188739</c:v>
                </c:pt>
                <c:pt idx="1156">
                  <c:v>4.97075650858398</c:v>
                </c:pt>
                <c:pt idx="1157">
                  <c:v>5.24020581640934</c:v>
                </c:pt>
                <c:pt idx="1158">
                  <c:v>5.98168577840241</c:v>
                </c:pt>
                <c:pt idx="1159">
                  <c:v>8.26431754726299</c:v>
                </c:pt>
                <c:pt idx="1160">
                  <c:v>5.35606661061099</c:v>
                </c:pt>
                <c:pt idx="1161">
                  <c:v>4.94279812642083</c:v>
                </c:pt>
                <c:pt idx="1162">
                  <c:v>5.15188443835324</c:v>
                </c:pt>
                <c:pt idx="1163">
                  <c:v>5.67519410196188</c:v>
                </c:pt>
                <c:pt idx="1164">
                  <c:v>8.15147438582793</c:v>
                </c:pt>
                <c:pt idx="1165">
                  <c:v>5.75400238251454</c:v>
                </c:pt>
                <c:pt idx="1166">
                  <c:v>4.92027630939353</c:v>
                </c:pt>
                <c:pt idx="1167">
                  <c:v>5.06291272712872</c:v>
                </c:pt>
                <c:pt idx="1168">
                  <c:v>5.45483887515905</c:v>
                </c:pt>
                <c:pt idx="1169">
                  <c:v>7.78946652139241</c:v>
                </c:pt>
                <c:pt idx="1170">
                  <c:v>8.02368459489614</c:v>
                </c:pt>
                <c:pt idx="1171">
                  <c:v>5.02239804396819</c:v>
                </c:pt>
                <c:pt idx="1172">
                  <c:v>5.00548115367856</c:v>
                </c:pt>
                <c:pt idx="1173">
                  <c:v>5.31954084633415</c:v>
                </c:pt>
                <c:pt idx="1174">
                  <c:v>6.47819619149671</c:v>
                </c:pt>
                <c:pt idx="1175">
                  <c:v>8.27817760841462</c:v>
                </c:pt>
                <c:pt idx="1176">
                  <c:v>5.18522569786516</c:v>
                </c:pt>
                <c:pt idx="1177">
                  <c:v>4.96263724939852</c:v>
                </c:pt>
                <c:pt idx="1178">
                  <c:v>5.21347154764732</c:v>
                </c:pt>
                <c:pt idx="1179">
                  <c:v>5.87298785460914</c:v>
                </c:pt>
                <c:pt idx="1180">
                  <c:v>8.24212869252717</c:v>
                </c:pt>
                <c:pt idx="1181">
                  <c:v>5.43408570024554</c:v>
                </c:pt>
                <c:pt idx="1182">
                  <c:v>4.92494952088813</c:v>
                </c:pt>
                <c:pt idx="1183">
                  <c:v>5.11186656249203</c:v>
                </c:pt>
                <c:pt idx="1184">
                  <c:v>5.57201408868088</c:v>
                </c:pt>
                <c:pt idx="1185">
                  <c:v>8.04919438675484</c:v>
                </c:pt>
                <c:pt idx="1186">
                  <c:v>6.31973410215173</c:v>
                </c:pt>
                <c:pt idx="1187">
                  <c:v>4.94576882631737</c:v>
                </c:pt>
                <c:pt idx="1188">
                  <c:v>5.04618763699104</c:v>
                </c:pt>
                <c:pt idx="1189">
                  <c:v>5.41247664594125</c:v>
                </c:pt>
                <c:pt idx="1190">
                  <c:v>7.57984231678322</c:v>
                </c:pt>
                <c:pt idx="1191">
                  <c:v>8.1830685872348</c:v>
                </c:pt>
                <c:pt idx="1192">
                  <c:v>5.06214382948978</c:v>
                </c:pt>
                <c:pt idx="1193">
                  <c:v>4.9880389605254</c:v>
                </c:pt>
                <c:pt idx="1194">
                  <c:v>5.28002662074476</c:v>
                </c:pt>
                <c:pt idx="1195">
                  <c:v>6.18052877811333</c:v>
                </c:pt>
                <c:pt idx="1196">
                  <c:v>8.27953977184492</c:v>
                </c:pt>
                <c:pt idx="1197">
                  <c:v>5.25430366932938</c:v>
                </c:pt>
                <c:pt idx="1198">
                  <c:v>4.94327602782613</c:v>
                </c:pt>
                <c:pt idx="1199">
                  <c:v>5.16958048604372</c:v>
                </c:pt>
                <c:pt idx="1200">
                  <c:v>4.92955166223757</c:v>
                </c:pt>
                <c:pt idx="1201">
                  <c:v>4.25897245700463</c:v>
                </c:pt>
                <c:pt idx="1202">
                  <c:v>4.04528078646935</c:v>
                </c:pt>
                <c:pt idx="1203">
                  <c:v>3.92506306696518</c:v>
                </c:pt>
                <c:pt idx="1204">
                  <c:v>3.84502292834548</c:v>
                </c:pt>
                <c:pt idx="1205">
                  <c:v>3.78804442348168</c:v>
                </c:pt>
                <c:pt idx="1206">
                  <c:v>3.74617791351417</c:v>
                </c:pt>
                <c:pt idx="1207">
                  <c:v>3.71505393640963</c:v>
                </c:pt>
                <c:pt idx="1208">
                  <c:v>3.69201223178746</c:v>
                </c:pt>
                <c:pt idx="1209">
                  <c:v>3.67531670989857</c:v>
                </c:pt>
                <c:pt idx="1210">
                  <c:v>3.6637767735675</c:v>
                </c:pt>
                <c:pt idx="1211">
                  <c:v>3.65654586605496</c:v>
                </c:pt>
                <c:pt idx="1212">
                  <c:v>3.65300619531363</c:v>
                </c:pt>
                <c:pt idx="1213">
                  <c:v>3.65269896747251</c:v>
                </c:pt>
                <c:pt idx="1214">
                  <c:v>3.65528028428255</c:v>
                </c:pt>
                <c:pt idx="1215">
                  <c:v>3.66049232340937</c:v>
                </c:pt>
                <c:pt idx="1216">
                  <c:v>3.66814406155105</c:v>
                </c:pt>
                <c:pt idx="1217">
                  <c:v>3.67809822415609</c:v>
                </c:pt>
                <c:pt idx="1218">
                  <c:v>3.69026248241661</c:v>
                </c:pt>
                <c:pt idx="1219">
                  <c:v>3.70458369418816</c:v>
                </c:pt>
                <c:pt idx="1220">
                  <c:v>3.72104446073742</c:v>
                </c:pt>
                <c:pt idx="1221">
                  <c:v>3.73966158227172</c:v>
                </c:pt>
                <c:pt idx="1222">
                  <c:v>3.76048621876211</c:v>
                </c:pt>
                <c:pt idx="1223">
                  <c:v>3.78360574630785</c:v>
                </c:pt>
                <c:pt idx="1224">
                  <c:v>3.80914747829343</c:v>
                </c:pt>
                <c:pt idx="1225">
                  <c:v>3.83728462802156</c:v>
                </c:pt>
                <c:pt idx="1226">
                  <c:v>3.86824516625915</c:v>
                </c:pt>
                <c:pt idx="1227">
                  <c:v>3.90232463464741</c:v>
                </c:pt>
                <c:pt idx="1228">
                  <c:v>3.93990461809722</c:v>
                </c:pt>
                <c:pt idx="1229">
                  <c:v>3.98147964521006</c:v>
                </c:pt>
                <c:pt idx="1230">
                  <c:v>4.02769713970287</c:v>
                </c:pt>
                <c:pt idx="1231">
                  <c:v>4.07941842911149</c:v>
                </c:pt>
                <c:pt idx="1232">
                  <c:v>4.13781533210968</c:v>
                </c:pt>
                <c:pt idx="1233">
                  <c:v>4.20453020833043</c:v>
                </c:pt>
                <c:pt idx="1234">
                  <c:v>4.28195694391656</c:v>
                </c:pt>
                <c:pt idx="1235">
                  <c:v>4.37377247697059</c:v>
                </c:pt>
                <c:pt idx="1236">
                  <c:v>4.4860477705141</c:v>
                </c:pt>
                <c:pt idx="1237">
                  <c:v>4.62992134906575</c:v>
                </c:pt>
                <c:pt idx="1238">
                  <c:v>4.82959775003188</c:v>
                </c:pt>
                <c:pt idx="1239">
                  <c:v>5.15808068876305</c:v>
                </c:pt>
                <c:pt idx="1240">
                  <c:v>6.49757442485116</c:v>
                </c:pt>
                <c:pt idx="1241">
                  <c:v>8.59008415289</c:v>
                </c:pt>
                <c:pt idx="1242">
                  <c:v>5.34418431823042</c:v>
                </c:pt>
                <c:pt idx="1243">
                  <c:v>4.92938889646156</c:v>
                </c:pt>
                <c:pt idx="1244">
                  <c:v>5.18833715233042</c:v>
                </c:pt>
                <c:pt idx="1245">
                  <c:v>6.08633840184759</c:v>
                </c:pt>
                <c:pt idx="1246">
                  <c:v>8.45315416804965</c:v>
                </c:pt>
                <c:pt idx="1247">
                  <c:v>5.34744800525064</c:v>
                </c:pt>
                <c:pt idx="1248">
                  <c:v>4.93314516710953</c:v>
                </c:pt>
                <c:pt idx="1249">
                  <c:v>5.16777423885162</c:v>
                </c:pt>
                <c:pt idx="1250">
                  <c:v>5.83374373065471</c:v>
                </c:pt>
                <c:pt idx="1251">
                  <c:v>8.33426931131913</c:v>
                </c:pt>
                <c:pt idx="1252">
                  <c:v>5.48978105545004</c:v>
                </c:pt>
                <c:pt idx="1253">
                  <c:v>4.92076944231988</c:v>
                </c:pt>
                <c:pt idx="1254">
                  <c:v>5.11288543742792</c:v>
                </c:pt>
                <c:pt idx="1255">
                  <c:v>5.61217251321209</c:v>
                </c:pt>
                <c:pt idx="1256">
                  <c:v>8.16504737297197</c:v>
                </c:pt>
                <c:pt idx="1257">
                  <c:v>5.95349151077732</c:v>
                </c:pt>
                <c:pt idx="1258">
                  <c:v>4.92275332376945</c:v>
                </c:pt>
                <c:pt idx="1259">
                  <c:v>5.05420092259934</c:v>
                </c:pt>
                <c:pt idx="1260">
                  <c:v>5.44901716425117</c:v>
                </c:pt>
                <c:pt idx="1261">
                  <c:v>7.83365106633533</c:v>
                </c:pt>
                <c:pt idx="1262">
                  <c:v>8.03108290558854</c:v>
                </c:pt>
                <c:pt idx="1263">
                  <c:v>5.01971991359606</c:v>
                </c:pt>
                <c:pt idx="1264">
                  <c:v>5.00768454377815</c:v>
                </c:pt>
                <c:pt idx="1265">
                  <c:v>5.33080851546308</c:v>
                </c:pt>
                <c:pt idx="1266">
                  <c:v>6.67179463248428</c:v>
                </c:pt>
                <c:pt idx="1267">
                  <c:v>8.28180663665265</c:v>
                </c:pt>
                <c:pt idx="1268">
                  <c:v>5.16189646941609</c:v>
                </c:pt>
                <c:pt idx="1269">
                  <c:v>4.97128836535201</c:v>
                </c:pt>
                <c:pt idx="1270">
                  <c:v>5.23617659120594</c:v>
                </c:pt>
                <c:pt idx="1271">
                  <c:v>5.96951620963595</c:v>
                </c:pt>
                <c:pt idx="1272">
                  <c:v>8.26246057454303</c:v>
                </c:pt>
                <c:pt idx="1273">
                  <c:v>5.36292987259846</c:v>
                </c:pt>
                <c:pt idx="1274">
                  <c:v>4.94335835513935</c:v>
                </c:pt>
                <c:pt idx="1275">
                  <c:v>5.15393402475431</c:v>
                </c:pt>
                <c:pt idx="1276">
                  <c:v>5.68328622110768</c:v>
                </c:pt>
                <c:pt idx="1277">
                  <c:v>8.15441889925071</c:v>
                </c:pt>
                <c:pt idx="1278">
                  <c:v>5.73052257269706</c:v>
                </c:pt>
                <c:pt idx="1279">
                  <c:v>4.92395136428356</c:v>
                </c:pt>
                <c:pt idx="1280">
                  <c:v>5.07264373223755</c:v>
                </c:pt>
                <c:pt idx="1281">
                  <c:v>5.47736920746428</c:v>
                </c:pt>
                <c:pt idx="1282">
                  <c:v>7.85421409777582</c:v>
                </c:pt>
                <c:pt idx="1283">
                  <c:v>7.84949595008839</c:v>
                </c:pt>
                <c:pt idx="1284">
                  <c:v>5.00277299935581</c:v>
                </c:pt>
                <c:pt idx="1285">
                  <c:v>5.00984800179529</c:v>
                </c:pt>
                <c:pt idx="1286">
                  <c:v>5.33295968233036</c:v>
                </c:pt>
                <c:pt idx="1287">
                  <c:v>6.61547362380639</c:v>
                </c:pt>
                <c:pt idx="1288">
                  <c:v>8.26659519869045</c:v>
                </c:pt>
                <c:pt idx="1289">
                  <c:v>5.16483126666112</c:v>
                </c:pt>
                <c:pt idx="1290">
                  <c:v>4.9720708243891</c:v>
                </c:pt>
                <c:pt idx="1291">
                  <c:v>5.23484075590586</c:v>
                </c:pt>
                <c:pt idx="1292">
                  <c:v>5.95270593543249</c:v>
                </c:pt>
                <c:pt idx="1293">
                  <c:v>8.25192149154994</c:v>
                </c:pt>
                <c:pt idx="1294">
                  <c:v>5.37217748532203</c:v>
                </c:pt>
                <c:pt idx="1295">
                  <c:v>4.94207774487448</c:v>
                </c:pt>
                <c:pt idx="1296">
                  <c:v>5.14942109896682</c:v>
                </c:pt>
                <c:pt idx="1297">
                  <c:v>5.66785278341418</c:v>
                </c:pt>
                <c:pt idx="1298">
                  <c:v>8.13841727794573</c:v>
                </c:pt>
                <c:pt idx="1299">
                  <c:v>5.76862302474144</c:v>
                </c:pt>
                <c:pt idx="1300">
                  <c:v>4.92194426463296</c:v>
                </c:pt>
                <c:pt idx="1301">
                  <c:v>5.06493589083391</c:v>
                </c:pt>
                <c:pt idx="1302">
                  <c:v>5.4595625374291</c:v>
                </c:pt>
                <c:pt idx="1303">
                  <c:v>7.79364368000362</c:v>
                </c:pt>
                <c:pt idx="1304">
                  <c:v>7.98843613940979</c:v>
                </c:pt>
                <c:pt idx="1305">
                  <c:v>5.01943106731909</c:v>
                </c:pt>
                <c:pt idx="1306">
                  <c:v>5.00909192218456</c:v>
                </c:pt>
                <c:pt idx="1307">
                  <c:v>5.32809212886404</c:v>
                </c:pt>
                <c:pt idx="1308">
                  <c:v>6.55008756995501</c:v>
                </c:pt>
                <c:pt idx="1309">
                  <c:v>8.26721316778863</c:v>
                </c:pt>
                <c:pt idx="1310">
                  <c:v>5.17308999232807</c:v>
                </c:pt>
                <c:pt idx="1311">
                  <c:v>4.97060247966037</c:v>
                </c:pt>
                <c:pt idx="1312">
                  <c:v>5.23060356730758</c:v>
                </c:pt>
                <c:pt idx="1313">
                  <c:v>5.93466437235449</c:v>
                </c:pt>
                <c:pt idx="1314">
                  <c:v>8.24810369831987</c:v>
                </c:pt>
                <c:pt idx="1315">
                  <c:v>5.38401330269893</c:v>
                </c:pt>
                <c:pt idx="1316">
                  <c:v>4.93829541514112</c:v>
                </c:pt>
                <c:pt idx="1317">
                  <c:v>5.14147271785266</c:v>
                </c:pt>
                <c:pt idx="1318">
                  <c:v>5.64655840663969</c:v>
                </c:pt>
                <c:pt idx="1319">
                  <c:v>8.1209223206862</c:v>
                </c:pt>
                <c:pt idx="1320">
                  <c:v>5.83278559289058</c:v>
                </c:pt>
                <c:pt idx="1321">
                  <c:v>4.92245600302339</c:v>
                </c:pt>
                <c:pt idx="1322">
                  <c:v>5.05865340496223</c:v>
                </c:pt>
                <c:pt idx="1323">
                  <c:v>5.44537746685093</c:v>
                </c:pt>
                <c:pt idx="1324">
                  <c:v>7.73949544992126</c:v>
                </c:pt>
                <c:pt idx="1325">
                  <c:v>8.06643829366193</c:v>
                </c:pt>
                <c:pt idx="1326">
                  <c:v>5.03259831288453</c:v>
                </c:pt>
                <c:pt idx="1327">
                  <c:v>5.00772977717245</c:v>
                </c:pt>
                <c:pt idx="1328">
                  <c:v>5.32297851027386</c:v>
                </c:pt>
                <c:pt idx="1329">
                  <c:v>6.4937866960277</c:v>
                </c:pt>
                <c:pt idx="1330">
                  <c:v>8.26860209695812</c:v>
                </c:pt>
                <c:pt idx="1331">
                  <c:v>5.1811074608003</c:v>
                </c:pt>
                <c:pt idx="1332">
                  <c:v>4.9681674452101</c:v>
                </c:pt>
                <c:pt idx="1333">
                  <c:v>5.22492082639797</c:v>
                </c:pt>
                <c:pt idx="1334">
                  <c:v>5.91252635311106</c:v>
                </c:pt>
                <c:pt idx="1335">
                  <c:v>8.24371026135139</c:v>
                </c:pt>
                <c:pt idx="1336">
                  <c:v>5.39969402997029</c:v>
                </c:pt>
                <c:pt idx="1337">
                  <c:v>4.93296537578281</c:v>
                </c:pt>
                <c:pt idx="1338">
                  <c:v>5.1306824964179</c:v>
                </c:pt>
                <c:pt idx="1339">
                  <c:v>5.61884692273025</c:v>
                </c:pt>
                <c:pt idx="1340">
                  <c:v>8.09527339945095</c:v>
                </c:pt>
                <c:pt idx="1341">
                  <c:v>5.95094011111876</c:v>
                </c:pt>
                <c:pt idx="1342">
                  <c:v>4.92844808751698</c:v>
                </c:pt>
                <c:pt idx="1343">
                  <c:v>5.05512298603981</c:v>
                </c:pt>
                <c:pt idx="1344">
                  <c:v>5.4360982103012</c:v>
                </c:pt>
                <c:pt idx="1345">
                  <c:v>7.69729650928414</c:v>
                </c:pt>
                <c:pt idx="1346">
                  <c:v>8.10558906548631</c:v>
                </c:pt>
                <c:pt idx="1347">
                  <c:v>5.04124793857081</c:v>
                </c:pt>
                <c:pt idx="1348">
                  <c:v>5.00582277399409</c:v>
                </c:pt>
                <c:pt idx="1349">
                  <c:v>5.31772157593329</c:v>
                </c:pt>
                <c:pt idx="1350">
                  <c:v>6.44244806610501</c:v>
                </c:pt>
                <c:pt idx="1351">
                  <c:v>8.26985340646473</c:v>
                </c:pt>
                <c:pt idx="1352">
                  <c:v>5.18916001407527</c:v>
                </c:pt>
                <c:pt idx="1353">
                  <c:v>4.96451698013004</c:v>
                </c:pt>
                <c:pt idx="1354">
                  <c:v>5.21722516288135</c:v>
                </c:pt>
                <c:pt idx="1355">
                  <c:v>5.88408266091506</c:v>
                </c:pt>
                <c:pt idx="1356">
                  <c:v>8.23739750566615</c:v>
                </c:pt>
                <c:pt idx="1357">
                  <c:v>5.42226210163934</c:v>
                </c:pt>
                <c:pt idx="1358">
                  <c:v>4.92842931791985</c:v>
                </c:pt>
                <c:pt idx="1359">
                  <c:v>5.12026874080295</c:v>
                </c:pt>
                <c:pt idx="1360">
                  <c:v>5.59269122079195</c:v>
                </c:pt>
                <c:pt idx="1361">
                  <c:v>8.0667416954187</c:v>
                </c:pt>
                <c:pt idx="1362">
                  <c:v>6.11944635213767</c:v>
                </c:pt>
                <c:pt idx="1363">
                  <c:v>4.93812913012332</c:v>
                </c:pt>
                <c:pt idx="1364">
                  <c:v>5.05312916232787</c:v>
                </c:pt>
                <c:pt idx="1365">
                  <c:v>5.42951707258975</c:v>
                </c:pt>
                <c:pt idx="1366">
                  <c:v>7.66265732016372</c:v>
                </c:pt>
                <c:pt idx="1367">
                  <c:v>8.12884875539785</c:v>
                </c:pt>
                <c:pt idx="1368">
                  <c:v>5.04749359890218</c:v>
                </c:pt>
                <c:pt idx="1369">
                  <c:v>5.00358589313049</c:v>
                </c:pt>
                <c:pt idx="1370">
                  <c:v>5.31233719899298</c:v>
                </c:pt>
                <c:pt idx="1371">
                  <c:v>6.39475264501481</c:v>
                </c:pt>
                <c:pt idx="1372">
                  <c:v>8.27085815185716</c:v>
                </c:pt>
                <c:pt idx="1373">
                  <c:v>5.19743392291102</c:v>
                </c:pt>
                <c:pt idx="1374">
                  <c:v>4.95963636950142</c:v>
                </c:pt>
                <c:pt idx="1375">
                  <c:v>5.20750173718095</c:v>
                </c:pt>
                <c:pt idx="1376">
                  <c:v>5.8500019417082</c:v>
                </c:pt>
                <c:pt idx="1377">
                  <c:v>8.22851961079232</c:v>
                </c:pt>
                <c:pt idx="1378">
                  <c:v>5.45475326411428</c:v>
                </c:pt>
                <c:pt idx="1379">
                  <c:v>4.92710755354922</c:v>
                </c:pt>
                <c:pt idx="1380">
                  <c:v>5.11350043035981</c:v>
                </c:pt>
                <c:pt idx="1381">
                  <c:v>5.57543396174943</c:v>
                </c:pt>
                <c:pt idx="1382">
                  <c:v>8.04480140633683</c:v>
                </c:pt>
                <c:pt idx="1383">
                  <c:v>6.27173024108996</c:v>
                </c:pt>
                <c:pt idx="1384">
                  <c:v>4.94566432338546</c:v>
                </c:pt>
                <c:pt idx="1385">
                  <c:v>5.05085554893142</c:v>
                </c:pt>
                <c:pt idx="1386">
                  <c:v>5.42308666952013</c:v>
                </c:pt>
                <c:pt idx="1387">
                  <c:v>7.62646386575369</c:v>
                </c:pt>
                <c:pt idx="1388">
                  <c:v>8.14818377643181</c:v>
                </c:pt>
                <c:pt idx="1389">
                  <c:v>5.05346355095095</c:v>
                </c:pt>
                <c:pt idx="1390">
                  <c:v>5.00035553960647</c:v>
                </c:pt>
                <c:pt idx="1391">
                  <c:v>5.30522967670555</c:v>
                </c:pt>
                <c:pt idx="1392">
                  <c:v>6.33800178823354</c:v>
                </c:pt>
                <c:pt idx="1393">
                  <c:v>8.27182935943249</c:v>
                </c:pt>
                <c:pt idx="1394">
                  <c:v>5.20860517310998</c:v>
                </c:pt>
                <c:pt idx="1395">
                  <c:v>4.95319901715994</c:v>
                </c:pt>
                <c:pt idx="1396">
                  <c:v>5.19481907706815</c:v>
                </c:pt>
                <c:pt idx="1397">
                  <c:v>5.80798480765397</c:v>
                </c:pt>
                <c:pt idx="1398">
                  <c:v>8.2151582886127</c:v>
                </c:pt>
                <c:pt idx="1399">
                  <c:v>5.50723392653653</c:v>
                </c:pt>
                <c:pt idx="1400">
                  <c:v>4.92942873193938</c:v>
                </c:pt>
                <c:pt idx="1401">
                  <c:v>5.10954798710939</c:v>
                </c:pt>
                <c:pt idx="1402">
                  <c:v>5.56426692837864</c:v>
                </c:pt>
                <c:pt idx="1403">
                  <c:v>8.02849568748949</c:v>
                </c:pt>
                <c:pt idx="1404">
                  <c:v>6.39782389148883</c:v>
                </c:pt>
                <c:pt idx="1405">
                  <c:v>4.95088602052799</c:v>
                </c:pt>
                <c:pt idx="1406">
                  <c:v>5.04829456615328</c:v>
                </c:pt>
                <c:pt idx="1407">
                  <c:v>5.41669177052544</c:v>
                </c:pt>
                <c:pt idx="1408">
                  <c:v>7.58758767146689</c:v>
                </c:pt>
                <c:pt idx="1409">
                  <c:v>8.16476144885748</c:v>
                </c:pt>
                <c:pt idx="1410">
                  <c:v>5.05935597012877</c:v>
                </c:pt>
                <c:pt idx="1411">
                  <c:v>4.99585419706006</c:v>
                </c:pt>
                <c:pt idx="1412">
                  <c:v>5.29589388103348</c:v>
                </c:pt>
                <c:pt idx="1413">
                  <c:v>6.2714963567415</c:v>
                </c:pt>
                <c:pt idx="1414">
                  <c:v>8.2723804236377</c:v>
                </c:pt>
                <c:pt idx="1415">
                  <c:v>5.22424822530388</c:v>
                </c:pt>
                <c:pt idx="1416">
                  <c:v>4.94801493676258</c:v>
                </c:pt>
                <c:pt idx="1417">
                  <c:v>5.18363148557474</c:v>
                </c:pt>
                <c:pt idx="1418">
                  <c:v>5.77251261856501</c:v>
                </c:pt>
                <c:pt idx="1419">
                  <c:v>8.20121391758801</c:v>
                </c:pt>
                <c:pt idx="1420">
                  <c:v>5.56251158852336</c:v>
                </c:pt>
                <c:pt idx="1421">
                  <c:v>4.93269941244713</c:v>
                </c:pt>
                <c:pt idx="1422">
                  <c:v>5.10677258937672</c:v>
                </c:pt>
                <c:pt idx="1423">
                  <c:v>5.55587394847629</c:v>
                </c:pt>
                <c:pt idx="1424">
                  <c:v>8.01503826479638</c:v>
                </c:pt>
                <c:pt idx="1425">
                  <c:v>6.51481915319559</c:v>
                </c:pt>
                <c:pt idx="1426">
                  <c:v>4.95497503154557</c:v>
                </c:pt>
                <c:pt idx="1427">
                  <c:v>5.04538930580635</c:v>
                </c:pt>
                <c:pt idx="1428">
                  <c:v>5.40992824688052</c:v>
                </c:pt>
                <c:pt idx="1429">
                  <c:v>7.54252444631578</c:v>
                </c:pt>
                <c:pt idx="1430">
                  <c:v>8.18001748607138</c:v>
                </c:pt>
                <c:pt idx="1431">
                  <c:v>5.0656523003967</c:v>
                </c:pt>
                <c:pt idx="1432">
                  <c:v>4.98989688212523</c:v>
                </c:pt>
                <c:pt idx="1433">
                  <c:v>5.28397830289696</c:v>
                </c:pt>
                <c:pt idx="1434">
                  <c:v>6.19663143292094</c:v>
                </c:pt>
                <c:pt idx="1435">
                  <c:v>8.27185225889883</c:v>
                </c:pt>
                <c:pt idx="1436">
                  <c:v>5.24692860886828</c:v>
                </c:pt>
                <c:pt idx="1437">
                  <c:v>4.94591104057374</c:v>
                </c:pt>
                <c:pt idx="1438">
                  <c:v>5.17642396187942</c:v>
                </c:pt>
                <c:pt idx="1439">
                  <c:v>5.74974354552709</c:v>
                </c:pt>
                <c:pt idx="1440">
                  <c:v>8.19050847137521</c:v>
                </c:pt>
                <c:pt idx="1441">
                  <c:v>5.60111002679171</c:v>
                </c:pt>
                <c:pt idx="1442">
                  <c:v>4.93417444506688</c:v>
                </c:pt>
                <c:pt idx="1443">
                  <c:v>5.10369715928338</c:v>
                </c:pt>
                <c:pt idx="1444">
                  <c:v>5.5475248490667</c:v>
                </c:pt>
                <c:pt idx="1445">
                  <c:v>8.00125875552986</c:v>
                </c:pt>
                <c:pt idx="1446">
                  <c:v>6.65672280322188</c:v>
                </c:pt>
                <c:pt idx="1447">
                  <c:v>4.95907698956032</c:v>
                </c:pt>
                <c:pt idx="1448">
                  <c:v>5.04126573585405</c:v>
                </c:pt>
                <c:pt idx="1449">
                  <c:v>5.40083200237071</c:v>
                </c:pt>
                <c:pt idx="1450">
                  <c:v>7.47415328463523</c:v>
                </c:pt>
                <c:pt idx="1451">
                  <c:v>8.19760896220188</c:v>
                </c:pt>
                <c:pt idx="1452">
                  <c:v>5.07438877944757</c:v>
                </c:pt>
                <c:pt idx="1453">
                  <c:v>4.98237264994691</c:v>
                </c:pt>
                <c:pt idx="1454">
                  <c:v>5.26902322860071</c:v>
                </c:pt>
                <c:pt idx="1455">
                  <c:v>6.11436207942202</c:v>
                </c:pt>
                <c:pt idx="1456">
                  <c:v>8.26918392125355</c:v>
                </c:pt>
                <c:pt idx="1457">
                  <c:v>5.28123944636221</c:v>
                </c:pt>
                <c:pt idx="1458">
                  <c:v>4.94674880438393</c:v>
                </c:pt>
                <c:pt idx="1459">
                  <c:v>5.17207010895417</c:v>
                </c:pt>
                <c:pt idx="1460">
                  <c:v>5.73500954700044</c:v>
                </c:pt>
                <c:pt idx="1461">
                  <c:v>8.18239083903144</c:v>
                </c:pt>
                <c:pt idx="1462">
                  <c:v>5.62723254673422</c:v>
                </c:pt>
                <c:pt idx="1463">
                  <c:v>4.9344010526215</c:v>
                </c:pt>
                <c:pt idx="1464">
                  <c:v>5.10049730118158</c:v>
                </c:pt>
                <c:pt idx="1465">
                  <c:v>5.53941151539683</c:v>
                </c:pt>
                <c:pt idx="1466">
                  <c:v>7.98727719257119</c:v>
                </c:pt>
                <c:pt idx="1467">
                  <c:v>6.82617887807905</c:v>
                </c:pt>
                <c:pt idx="1468">
                  <c:v>4.96315324465226</c:v>
                </c:pt>
                <c:pt idx="1469">
                  <c:v>5.03579695706122</c:v>
                </c:pt>
                <c:pt idx="1470">
                  <c:v>5.38922190533016</c:v>
                </c:pt>
                <c:pt idx="1471">
                  <c:v>7.36957996858935</c:v>
                </c:pt>
                <c:pt idx="1472">
                  <c:v>8.21614477525608</c:v>
                </c:pt>
                <c:pt idx="1473">
                  <c:v>5.08639699050262</c:v>
                </c:pt>
                <c:pt idx="1474">
                  <c:v>4.97667330001256</c:v>
                </c:pt>
                <c:pt idx="1475">
                  <c:v>5.25690802499384</c:v>
                </c:pt>
                <c:pt idx="1476">
                  <c:v>6.05447066861509</c:v>
                </c:pt>
                <c:pt idx="1477">
                  <c:v>8.26518943986874</c:v>
                </c:pt>
                <c:pt idx="1478">
                  <c:v>5.31231172404145</c:v>
                </c:pt>
                <c:pt idx="1479">
                  <c:v>4.94785683465757</c:v>
                </c:pt>
                <c:pt idx="1480">
                  <c:v>5.16864246514996</c:v>
                </c:pt>
                <c:pt idx="1481">
                  <c:v>5.72333119762233</c:v>
                </c:pt>
                <c:pt idx="1482">
                  <c:v>8.17539675533672</c:v>
                </c:pt>
                <c:pt idx="1483">
                  <c:v>5.64868095394546</c:v>
                </c:pt>
                <c:pt idx="1484">
                  <c:v>4.93384518408773</c:v>
                </c:pt>
                <c:pt idx="1485">
                  <c:v>5.0968108001373</c:v>
                </c:pt>
                <c:pt idx="1486">
                  <c:v>5.53047947034747</c:v>
                </c:pt>
                <c:pt idx="1487">
                  <c:v>7.97111575433327</c:v>
                </c:pt>
                <c:pt idx="1488">
                  <c:v>7.04160089655822</c:v>
                </c:pt>
                <c:pt idx="1489">
                  <c:v>4.96780332996178</c:v>
                </c:pt>
                <c:pt idx="1490">
                  <c:v>5.02853900043982</c:v>
                </c:pt>
                <c:pt idx="1491">
                  <c:v>5.37422268749197</c:v>
                </c:pt>
                <c:pt idx="1492">
                  <c:v>7.19673607803872</c:v>
                </c:pt>
                <c:pt idx="1493">
                  <c:v>8.23502052940128</c:v>
                </c:pt>
                <c:pt idx="1494">
                  <c:v>5.10419882082828</c:v>
                </c:pt>
                <c:pt idx="1495">
                  <c:v>4.97398371155886</c:v>
                </c:pt>
                <c:pt idx="1496">
                  <c:v>5.24910729988836</c:v>
                </c:pt>
                <c:pt idx="1497">
                  <c:v>6.0175925099446</c:v>
                </c:pt>
                <c:pt idx="1498">
                  <c:v>8.26140721980852</c:v>
                </c:pt>
                <c:pt idx="1499">
                  <c:v>5.33294981576045</c:v>
                </c:pt>
                <c:pt idx="1500">
                  <c:v>4.9477160881615</c:v>
                </c:pt>
                <c:pt idx="1501">
                  <c:v>5.16492979775484</c:v>
                </c:pt>
                <c:pt idx="1502">
                  <c:v>5.71167915129745</c:v>
                </c:pt>
                <c:pt idx="1503">
                  <c:v>8.1682373784319</c:v>
                </c:pt>
                <c:pt idx="1504">
                  <c:v>5.67083792234257</c:v>
                </c:pt>
                <c:pt idx="1505">
                  <c:v>4.93228775125749</c:v>
                </c:pt>
                <c:pt idx="1506">
                  <c:v>5.09162587197827</c:v>
                </c:pt>
                <c:pt idx="1507">
                  <c:v>5.5183894851656</c:v>
                </c:pt>
                <c:pt idx="1508">
                  <c:v>7.94773469244845</c:v>
                </c:pt>
                <c:pt idx="1509">
                  <c:v>7.31487825688583</c:v>
                </c:pt>
                <c:pt idx="1510">
                  <c:v>4.97449422083636</c:v>
                </c:pt>
                <c:pt idx="1511">
                  <c:v>5.01986450102689</c:v>
                </c:pt>
                <c:pt idx="1512">
                  <c:v>5.35642661728703</c:v>
                </c:pt>
                <c:pt idx="1513">
                  <c:v>6.9384787405514</c:v>
                </c:pt>
                <c:pt idx="1514">
                  <c:v>8.2516266538673</c:v>
                </c:pt>
                <c:pt idx="1515">
                  <c:v>5.12936336003406</c:v>
                </c:pt>
                <c:pt idx="1516">
                  <c:v>4.97377334230008</c:v>
                </c:pt>
                <c:pt idx="1517">
                  <c:v>5.24422637260829</c:v>
                </c:pt>
                <c:pt idx="1518">
                  <c:v>5.99390095298692</c:v>
                </c:pt>
                <c:pt idx="1519">
                  <c:v>8.25807324153947</c:v>
                </c:pt>
                <c:pt idx="1520">
                  <c:v>5.34673781279766</c:v>
                </c:pt>
                <c:pt idx="1521">
                  <c:v>4.9468500629153</c:v>
                </c:pt>
                <c:pt idx="1522">
                  <c:v>5.16119881559691</c:v>
                </c:pt>
                <c:pt idx="1523">
                  <c:v>5.70054402377179</c:v>
                </c:pt>
                <c:pt idx="1524">
                  <c:v>8.16107991867312</c:v>
                </c:pt>
                <c:pt idx="1525">
                  <c:v>5.69306151311946</c:v>
                </c:pt>
                <c:pt idx="1526">
                  <c:v>4.92967283936176</c:v>
                </c:pt>
                <c:pt idx="1527">
                  <c:v>5.08497502182573</c:v>
                </c:pt>
                <c:pt idx="1528">
                  <c:v>5.50334525075008</c:v>
                </c:pt>
                <c:pt idx="1529">
                  <c:v>7.91552355719828</c:v>
                </c:pt>
                <c:pt idx="1530">
                  <c:v>7.56474890871852</c:v>
                </c:pt>
                <c:pt idx="1531">
                  <c:v>4.98377204547306</c:v>
                </c:pt>
                <c:pt idx="1532">
                  <c:v>5.01363837696928</c:v>
                </c:pt>
                <c:pt idx="1533">
                  <c:v>5.34305895873633</c:v>
                </c:pt>
                <c:pt idx="1534">
                  <c:v>6.74228786367614</c:v>
                </c:pt>
                <c:pt idx="1535">
                  <c:v>8.26065503024491</c:v>
                </c:pt>
                <c:pt idx="1536">
                  <c:v>5.14970752536611</c:v>
                </c:pt>
                <c:pt idx="1537">
                  <c:v>4.97353421983585</c:v>
                </c:pt>
                <c:pt idx="1538">
                  <c:v>5.24005535966178</c:v>
                </c:pt>
                <c:pt idx="1539">
                  <c:v>5.97439505507775</c:v>
                </c:pt>
                <c:pt idx="1540">
                  <c:v>8.25498336735033</c:v>
                </c:pt>
                <c:pt idx="1541">
                  <c:v>5.358479316069</c:v>
                </c:pt>
                <c:pt idx="1542">
                  <c:v>4.94530118180503</c:v>
                </c:pt>
                <c:pt idx="1543">
                  <c:v>5.15674377547683</c:v>
                </c:pt>
                <c:pt idx="1544">
                  <c:v>5.68777995826608</c:v>
                </c:pt>
                <c:pt idx="1545">
                  <c:v>8.15249332942615</c:v>
                </c:pt>
                <c:pt idx="1546">
                  <c:v>5.7203346147724</c:v>
                </c:pt>
                <c:pt idx="1547">
                  <c:v>4.92585237981417</c:v>
                </c:pt>
                <c:pt idx="1548">
                  <c:v>5.07609492709128</c:v>
                </c:pt>
                <c:pt idx="1549">
                  <c:v>5.48376998932535</c:v>
                </c:pt>
                <c:pt idx="1550">
                  <c:v>7.86711813334231</c:v>
                </c:pt>
                <c:pt idx="1551">
                  <c:v>7.79244491707929</c:v>
                </c:pt>
                <c:pt idx="1552">
                  <c:v>4.9981167517386</c:v>
                </c:pt>
                <c:pt idx="1553">
                  <c:v>5.01037950458144</c:v>
                </c:pt>
                <c:pt idx="1554">
                  <c:v>5.33442512746593</c:v>
                </c:pt>
                <c:pt idx="1555">
                  <c:v>6.62807759048962</c:v>
                </c:pt>
                <c:pt idx="1556">
                  <c:v>8.26494532077252</c:v>
                </c:pt>
                <c:pt idx="1557">
                  <c:v>5.16299447166644</c:v>
                </c:pt>
                <c:pt idx="1558">
                  <c:v>4.97242078953124</c:v>
                </c:pt>
                <c:pt idx="1559">
                  <c:v>5.23563757631348</c:v>
                </c:pt>
                <c:pt idx="1560">
                  <c:v>5.95525269815018</c:v>
                </c:pt>
                <c:pt idx="1561">
                  <c:v>8.25179842692143</c:v>
                </c:pt>
                <c:pt idx="1562">
                  <c:v>5.37045049977983</c:v>
                </c:pt>
                <c:pt idx="1563">
                  <c:v>4.94264579981727</c:v>
                </c:pt>
                <c:pt idx="1564">
                  <c:v>5.15053592828649</c:v>
                </c:pt>
                <c:pt idx="1565">
                  <c:v>5.6706507011337</c:v>
                </c:pt>
                <c:pt idx="1566">
                  <c:v>8.14018020756187</c:v>
                </c:pt>
                <c:pt idx="1567">
                  <c:v>5.76132285236996</c:v>
                </c:pt>
                <c:pt idx="1568">
                  <c:v>4.92225960540435</c:v>
                </c:pt>
                <c:pt idx="1569">
                  <c:v>5.06617409889073</c:v>
                </c:pt>
                <c:pt idx="1570">
                  <c:v>5.46219523000052</c:v>
                </c:pt>
                <c:pt idx="1571">
                  <c:v>7.80225691377134</c:v>
                </c:pt>
                <c:pt idx="1572">
                  <c:v>7.97123635301262</c:v>
                </c:pt>
                <c:pt idx="1573">
                  <c:v>5.01704683674288</c:v>
                </c:pt>
                <c:pt idx="1574">
                  <c:v>5.00923812407105</c:v>
                </c:pt>
                <c:pt idx="1575">
                  <c:v>5.32879446648224</c:v>
                </c:pt>
                <c:pt idx="1576">
                  <c:v>6.55800315250561</c:v>
                </c:pt>
                <c:pt idx="1577">
                  <c:v>8.26692601253417</c:v>
                </c:pt>
                <c:pt idx="1578">
                  <c:v>5.17199954689755</c:v>
                </c:pt>
                <c:pt idx="1579">
                  <c:v>4.97086380567253</c:v>
                </c:pt>
                <c:pt idx="1580">
                  <c:v>5.23124853792551</c:v>
                </c:pt>
                <c:pt idx="1581">
                  <c:v>5.93719520632272</c:v>
                </c:pt>
                <c:pt idx="1582">
                  <c:v>8.24853974997024</c:v>
                </c:pt>
                <c:pt idx="1583">
                  <c:v>5.38229403023029</c:v>
                </c:pt>
                <c:pt idx="1584">
                  <c:v>4.93890891528472</c:v>
                </c:pt>
                <c:pt idx="1585">
                  <c:v>5.14270798772924</c:v>
                </c:pt>
                <c:pt idx="1586">
                  <c:v>5.64977749130628</c:v>
                </c:pt>
                <c:pt idx="1587">
                  <c:v>8.1236209628714</c:v>
                </c:pt>
                <c:pt idx="1588">
                  <c:v>5.82196116635662</c:v>
                </c:pt>
                <c:pt idx="1589">
                  <c:v>4.92212665918805</c:v>
                </c:pt>
                <c:pt idx="1590">
                  <c:v>5.05933420357981</c:v>
                </c:pt>
                <c:pt idx="1591">
                  <c:v>5.44696557434801</c:v>
                </c:pt>
                <c:pt idx="1592">
                  <c:v>7.746019817731</c:v>
                </c:pt>
                <c:pt idx="1593">
                  <c:v>8.05890388495832</c:v>
                </c:pt>
                <c:pt idx="1594">
                  <c:v>5.03113457920268</c:v>
                </c:pt>
                <c:pt idx="1595">
                  <c:v>5.00795589488036</c:v>
                </c:pt>
                <c:pt idx="1596">
                  <c:v>5.32368476592513</c:v>
                </c:pt>
                <c:pt idx="1597">
                  <c:v>6.50108512525629</c:v>
                </c:pt>
                <c:pt idx="1598">
                  <c:v>8.26840714794059</c:v>
                </c:pt>
                <c:pt idx="1599">
                  <c:v>5.18002128876571</c:v>
                </c:pt>
                <c:pt idx="1600">
                  <c:v>4.96856454673429</c:v>
                </c:pt>
                <c:pt idx="1601">
                  <c:v>5.22580073789188</c:v>
                </c:pt>
                <c:pt idx="1602">
                  <c:v>5.91587387590167</c:v>
                </c:pt>
                <c:pt idx="1603">
                  <c:v>8.24439347770476</c:v>
                </c:pt>
                <c:pt idx="1604">
                  <c:v>5.39723239244084</c:v>
                </c:pt>
                <c:pt idx="1605">
                  <c:v>4.93372008941059</c:v>
                </c:pt>
                <c:pt idx="1606">
                  <c:v>5.13223558439719</c:v>
                </c:pt>
                <c:pt idx="1607">
                  <c:v>5.62278174130769</c:v>
                </c:pt>
                <c:pt idx="1608">
                  <c:v>8.0991695250191</c:v>
                </c:pt>
                <c:pt idx="1609">
                  <c:v>5.93089679224261</c:v>
                </c:pt>
                <c:pt idx="1610">
                  <c:v>4.92728526439213</c:v>
                </c:pt>
                <c:pt idx="1611">
                  <c:v>5.05545118700799</c:v>
                </c:pt>
                <c:pt idx="1612">
                  <c:v>5.4371021187759</c:v>
                </c:pt>
                <c:pt idx="1613">
                  <c:v>7.70224905314388</c:v>
                </c:pt>
                <c:pt idx="1614">
                  <c:v>8.10171840523012</c:v>
                </c:pt>
                <c:pt idx="1615">
                  <c:v>5.04029906667408</c:v>
                </c:pt>
                <c:pt idx="1616">
                  <c:v>5.00608836591579</c:v>
                </c:pt>
                <c:pt idx="1617">
                  <c:v>5.31840354926079</c:v>
                </c:pt>
                <c:pt idx="1618">
                  <c:v>6.44882275716683</c:v>
                </c:pt>
                <c:pt idx="1619">
                  <c:v>8.26970733837993</c:v>
                </c:pt>
                <c:pt idx="1620">
                  <c:v>5.1881166069903</c:v>
                </c:pt>
                <c:pt idx="1621">
                  <c:v>4.96506106102294</c:v>
                </c:pt>
                <c:pt idx="1622">
                  <c:v>5.21833873081834</c:v>
                </c:pt>
                <c:pt idx="1623">
                  <c:v>5.88811028987927</c:v>
                </c:pt>
                <c:pt idx="1624">
                  <c:v>8.2383476170142</c:v>
                </c:pt>
                <c:pt idx="1625">
                  <c:v>5.41886000768855</c:v>
                </c:pt>
                <c:pt idx="1626">
                  <c:v>4.92885768443157</c:v>
                </c:pt>
                <c:pt idx="1627">
                  <c:v>5.1214327363692</c:v>
                </c:pt>
                <c:pt idx="1628">
                  <c:v>5.59560926820812</c:v>
                </c:pt>
                <c:pt idx="1629">
                  <c:v>8.0701755621709</c:v>
                </c:pt>
                <c:pt idx="1630">
                  <c:v>6.09732506040054</c:v>
                </c:pt>
                <c:pt idx="1631">
                  <c:v>4.93692090916798</c:v>
                </c:pt>
                <c:pt idx="1632">
                  <c:v>5.05339256317918</c:v>
                </c:pt>
                <c:pt idx="1633">
                  <c:v>5.43035250308785</c:v>
                </c:pt>
                <c:pt idx="1634">
                  <c:v>7.66720236153615</c:v>
                </c:pt>
                <c:pt idx="1635">
                  <c:v>8.12610310346496</c:v>
                </c:pt>
                <c:pt idx="1636">
                  <c:v>5.04670699898551</c:v>
                </c:pt>
                <c:pt idx="1637">
                  <c:v>5.00392342674079</c:v>
                </c:pt>
                <c:pt idx="1638">
                  <c:v>5.31311623014762</c:v>
                </c:pt>
                <c:pt idx="1639">
                  <c:v>6.40137378027988</c:v>
                </c:pt>
                <c:pt idx="1640">
                  <c:v>8.27072632492473</c:v>
                </c:pt>
                <c:pt idx="1641">
                  <c:v>5.19623124857722</c:v>
                </c:pt>
                <c:pt idx="1642">
                  <c:v>4.96038643456706</c:v>
                </c:pt>
                <c:pt idx="1643">
                  <c:v>5.2089755893464</c:v>
                </c:pt>
                <c:pt idx="1644">
                  <c:v>5.8550506809925</c:v>
                </c:pt>
                <c:pt idx="1645">
                  <c:v>8.22993473843521</c:v>
                </c:pt>
                <c:pt idx="1646">
                  <c:v>5.44945502897418</c:v>
                </c:pt>
                <c:pt idx="1647">
                  <c:v>4.92708034150158</c:v>
                </c:pt>
                <c:pt idx="1648">
                  <c:v>5.1142241651707</c:v>
                </c:pt>
                <c:pt idx="1649">
                  <c:v>5.57733201938536</c:v>
                </c:pt>
                <c:pt idx="1650">
                  <c:v>8.04737377206481</c:v>
                </c:pt>
                <c:pt idx="1651">
                  <c:v>6.2528672374284</c:v>
                </c:pt>
                <c:pt idx="1652">
                  <c:v>4.94480668616724</c:v>
                </c:pt>
                <c:pt idx="1653">
                  <c:v>5.05118624307334</c:v>
                </c:pt>
                <c:pt idx="1654">
                  <c:v>5.42395941715492</c:v>
                </c:pt>
                <c:pt idx="1655">
                  <c:v>7.63152065255001</c:v>
                </c:pt>
                <c:pt idx="1656">
                  <c:v>8.1457305735377</c:v>
                </c:pt>
                <c:pt idx="1657">
                  <c:v>5.05265924826141</c:v>
                </c:pt>
                <c:pt idx="1658">
                  <c:v>5.0008655563191</c:v>
                </c:pt>
                <c:pt idx="1659">
                  <c:v>5.30632040254196</c:v>
                </c:pt>
                <c:pt idx="1660">
                  <c:v>6.34632314638344</c:v>
                </c:pt>
                <c:pt idx="1661">
                  <c:v>8.27170958137668</c:v>
                </c:pt>
                <c:pt idx="1662">
                  <c:v>5.20686020094057</c:v>
                </c:pt>
                <c:pt idx="1663">
                  <c:v>4.9540763317364</c:v>
                </c:pt>
                <c:pt idx="1664">
                  <c:v>5.19657398594861</c:v>
                </c:pt>
                <c:pt idx="1665">
                  <c:v>5.81366299732292</c:v>
                </c:pt>
                <c:pt idx="1666">
                  <c:v>8.21714448120396</c:v>
                </c:pt>
                <c:pt idx="1667">
                  <c:v>5.49922105874812</c:v>
                </c:pt>
                <c:pt idx="1668">
                  <c:v>4.92894771500069</c:v>
                </c:pt>
                <c:pt idx="1669">
                  <c:v>5.1099504785644</c:v>
                </c:pt>
                <c:pt idx="1670">
                  <c:v>5.56549565594858</c:v>
                </c:pt>
                <c:pt idx="1671">
                  <c:v>8.03040229708585</c:v>
                </c:pt>
                <c:pt idx="1672">
                  <c:v>6.3824534378737</c:v>
                </c:pt>
                <c:pt idx="1673">
                  <c:v>4.95029487636511</c:v>
                </c:pt>
                <c:pt idx="1674">
                  <c:v>5.04863811361086</c:v>
                </c:pt>
                <c:pt idx="1675">
                  <c:v>5.41752150843052</c:v>
                </c:pt>
                <c:pt idx="1676">
                  <c:v>7.59282982038904</c:v>
                </c:pt>
                <c:pt idx="1677">
                  <c:v>8.16273952242654</c:v>
                </c:pt>
                <c:pt idx="1678">
                  <c:v>5.05858941792463</c:v>
                </c:pt>
                <c:pt idx="1679">
                  <c:v>4.99651390072491</c:v>
                </c:pt>
                <c:pt idx="1680">
                  <c:v>5.29723728321359</c:v>
                </c:pt>
                <c:pt idx="1681">
                  <c:v>6.2805918984187</c:v>
                </c:pt>
                <c:pt idx="1682">
                  <c:v>8.27235399612162</c:v>
                </c:pt>
                <c:pt idx="1683">
                  <c:v>5.22190402761319</c:v>
                </c:pt>
                <c:pt idx="1684">
                  <c:v>4.94852297706238</c:v>
                </c:pt>
                <c:pt idx="1685">
                  <c:v>5.18485694097111</c:v>
                </c:pt>
                <c:pt idx="1686">
                  <c:v>5.77635596906545</c:v>
                </c:pt>
                <c:pt idx="1687">
                  <c:v>8.20286711487535</c:v>
                </c:pt>
                <c:pt idx="1688">
                  <c:v>5.55618782528769</c:v>
                </c:pt>
                <c:pt idx="1689">
                  <c:v>4.93236800275613</c:v>
                </c:pt>
                <c:pt idx="1690">
                  <c:v>5.10714805510666</c:v>
                </c:pt>
                <c:pt idx="1691">
                  <c:v>5.55695908954705</c:v>
                </c:pt>
                <c:pt idx="1692">
                  <c:v>8.01680104531278</c:v>
                </c:pt>
                <c:pt idx="1693">
                  <c:v>6.49841931872326</c:v>
                </c:pt>
                <c:pt idx="1694">
                  <c:v>4.95444469588157</c:v>
                </c:pt>
                <c:pt idx="1695">
                  <c:v>5.04582690657925</c:v>
                </c:pt>
                <c:pt idx="1696">
                  <c:v>5.41092231014999</c:v>
                </c:pt>
                <c:pt idx="1697">
                  <c:v>7.54942080296435</c:v>
                </c:pt>
                <c:pt idx="1698">
                  <c:v>8.17790231277776</c:v>
                </c:pt>
                <c:pt idx="1699">
                  <c:v>5.06471981059464</c:v>
                </c:pt>
              </c:numCache>
            </c:numRef>
          </c:yVal>
          <c:smooth val="0"/>
        </c:ser>
        <c:ser>
          <c:idx val="3"/>
          <c:order val="3"/>
          <c:tx>
            <c:strRef>
              <c:f>"IMC-scheduled PID"</c:f>
              <c:strCache>
                <c:ptCount val="1"/>
                <c:pt idx="0">
                  <c:v>IMC-scheduled PID</c:v>
                </c:pt>
              </c:strCache>
            </c:strRef>
          </c:tx>
          <c:spPr>
            <a:solidFill>
              <a:srgbClr val="2ca02c"/>
            </a:solidFill>
            <a:ln w="1800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12_Traces!$E$5:$E$1704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4.28464555354018</c:v>
                </c:pt>
                <c:pt idx="203">
                  <c:v>4.11378836706796</c:v>
                </c:pt>
                <c:pt idx="204">
                  <c:v>4.00966203878251</c:v>
                </c:pt>
                <c:pt idx="205">
                  <c:v>3.93936040715896</c:v>
                </c:pt>
                <c:pt idx="206">
                  <c:v>3.89033333608186</c:v>
                </c:pt>
                <c:pt idx="207">
                  <c:v>3.8559867783228</c:v>
                </c:pt>
                <c:pt idx="208">
                  <c:v>3.83251227828793</c:v>
                </c:pt>
                <c:pt idx="209">
                  <c:v>3.81753644086285</c:v>
                </c:pt>
                <c:pt idx="210">
                  <c:v>3.80950279635276</c:v>
                </c:pt>
                <c:pt idx="211">
                  <c:v>3.80735713830841</c:v>
                </c:pt>
                <c:pt idx="212">
                  <c:v>3.81037483758533</c:v>
                </c:pt>
                <c:pt idx="213">
                  <c:v>3.81806080568705</c:v>
                </c:pt>
                <c:pt idx="214">
                  <c:v>3.8300895700461</c:v>
                </c:pt>
                <c:pt idx="215">
                  <c:v>3.84626914236341</c:v>
                </c:pt>
                <c:pt idx="216">
                  <c:v>3.866520143306</c:v>
                </c:pt>
                <c:pt idx="217">
                  <c:v>3.89086571334922</c:v>
                </c:pt>
                <c:pt idx="218">
                  <c:v>3.91943010613208</c:v>
                </c:pt>
                <c:pt idx="219">
                  <c:v>3.95244549003818</c:v>
                </c:pt>
                <c:pt idx="220">
                  <c:v>3.99026793103874</c:v>
                </c:pt>
                <c:pt idx="221">
                  <c:v>4.03340525085967</c:v>
                </c:pt>
                <c:pt idx="222">
                  <c:v>4.08256203580447</c:v>
                </c:pt>
                <c:pt idx="223">
                  <c:v>4.13871155825074</c:v>
                </c:pt>
                <c:pt idx="224">
                  <c:v>4.20321297690458</c:v>
                </c:pt>
                <c:pt idx="225">
                  <c:v>4.27801012479606</c:v>
                </c:pt>
                <c:pt idx="226">
                  <c:v>4.36598912998934</c:v>
                </c:pt>
                <c:pt idx="227">
                  <c:v>4.4716763165301</c:v>
                </c:pt>
                <c:pt idx="228">
                  <c:v>4.60276415496385</c:v>
                </c:pt>
                <c:pt idx="229">
                  <c:v>4.77405675492656</c:v>
                </c:pt>
                <c:pt idx="230">
                  <c:v>5.02090926640078</c:v>
                </c:pt>
                <c:pt idx="231">
                  <c:v>5.4814881841144</c:v>
                </c:pt>
                <c:pt idx="232">
                  <c:v>8.21193823162825</c:v>
                </c:pt>
                <c:pt idx="233">
                  <c:v>8.71212561556692</c:v>
                </c:pt>
                <c:pt idx="234">
                  <c:v>8.8926610471134</c:v>
                </c:pt>
                <c:pt idx="235">
                  <c:v>8.95430997249218</c:v>
                </c:pt>
                <c:pt idx="236">
                  <c:v>8.9041965607227</c:v>
                </c:pt>
                <c:pt idx="237">
                  <c:v>8.72089233069444</c:v>
                </c:pt>
                <c:pt idx="238">
                  <c:v>8.24026890948707</c:v>
                </c:pt>
                <c:pt idx="239">
                  <c:v>5.82750028445727</c:v>
                </c:pt>
                <c:pt idx="240">
                  <c:v>5.40093774929644</c:v>
                </c:pt>
                <c:pt idx="241">
                  <c:v>5.18418251418573</c:v>
                </c:pt>
                <c:pt idx="242">
                  <c:v>5.05935573248014</c:v>
                </c:pt>
                <c:pt idx="243">
                  <c:v>4.98487157072377</c:v>
                </c:pt>
                <c:pt idx="244">
                  <c:v>4.94216193529476</c:v>
                </c:pt>
                <c:pt idx="245">
                  <c:v>4.92230506065299</c:v>
                </c:pt>
                <c:pt idx="246">
                  <c:v>4.92021670020149</c:v>
                </c:pt>
                <c:pt idx="247">
                  <c:v>4.93302972030229</c:v>
                </c:pt>
                <c:pt idx="248">
                  <c:v>4.95916668950479</c:v>
                </c:pt>
                <c:pt idx="249">
                  <c:v>4.99790098620901</c:v>
                </c:pt>
                <c:pt idx="250">
                  <c:v>5.04913560009501</c:v>
                </c:pt>
                <c:pt idx="251">
                  <c:v>5.11330561227054</c:v>
                </c:pt>
                <c:pt idx="252">
                  <c:v>5.19137261734435</c:v>
                </c:pt>
                <c:pt idx="253">
                  <c:v>5.28493431265565</c:v>
                </c:pt>
                <c:pt idx="254">
                  <c:v>5.3965864644429</c:v>
                </c:pt>
                <c:pt idx="255">
                  <c:v>5.53105118531441</c:v>
                </c:pt>
                <c:pt idx="256">
                  <c:v>5.69920252541588</c:v>
                </c:pt>
                <c:pt idx="257">
                  <c:v>5.93066288119224</c:v>
                </c:pt>
                <c:pt idx="258">
                  <c:v>6.31760714984921</c:v>
                </c:pt>
                <c:pt idx="259">
                  <c:v>7.18914177548361</c:v>
                </c:pt>
                <c:pt idx="260">
                  <c:v>7.63140127608748</c:v>
                </c:pt>
                <c:pt idx="261">
                  <c:v>7.75117928742828</c:v>
                </c:pt>
                <c:pt idx="262">
                  <c:v>7.81896974223437</c:v>
                </c:pt>
                <c:pt idx="263">
                  <c:v>7.85398782670101</c:v>
                </c:pt>
                <c:pt idx="264">
                  <c:v>7.86630155888284</c:v>
                </c:pt>
                <c:pt idx="265">
                  <c:v>7.86127160561086</c:v>
                </c:pt>
                <c:pt idx="266">
                  <c:v>7.84182473324065</c:v>
                </c:pt>
                <c:pt idx="267">
                  <c:v>7.80962123124849</c:v>
                </c:pt>
                <c:pt idx="268">
                  <c:v>7.765622452464</c:v>
                </c:pt>
                <c:pt idx="269">
                  <c:v>7.71044447245359</c:v>
                </c:pt>
                <c:pt idx="270">
                  <c:v>7.64466115011247</c:v>
                </c:pt>
                <c:pt idx="271">
                  <c:v>7.56915232953534</c:v>
                </c:pt>
                <c:pt idx="272">
                  <c:v>7.4855422130938</c:v>
                </c:pt>
                <c:pt idx="273">
                  <c:v>7.39665192116357</c:v>
                </c:pt>
                <c:pt idx="274">
                  <c:v>7.30711676066644</c:v>
                </c:pt>
                <c:pt idx="275">
                  <c:v>7.2241932198921</c:v>
                </c:pt>
                <c:pt idx="276">
                  <c:v>7.15503330772091</c:v>
                </c:pt>
                <c:pt idx="277">
                  <c:v>7.10289047172813</c:v>
                </c:pt>
                <c:pt idx="278">
                  <c:v>7.06640312637308</c:v>
                </c:pt>
                <c:pt idx="279">
                  <c:v>7.04195660430883</c:v>
                </c:pt>
                <c:pt idx="280">
                  <c:v>7.02595157789334</c:v>
                </c:pt>
                <c:pt idx="281">
                  <c:v>7.01562291653345</c:v>
                </c:pt>
                <c:pt idx="282">
                  <c:v>7.00903502013355</c:v>
                </c:pt>
                <c:pt idx="283">
                  <c:v>7.00488338934559</c:v>
                </c:pt>
                <c:pt idx="284">
                  <c:v>7.00230572210958</c:v>
                </c:pt>
                <c:pt idx="285">
                  <c:v>7.00073804352811</c:v>
                </c:pt>
                <c:pt idx="286">
                  <c:v>6.99981384975996</c:v>
                </c:pt>
                <c:pt idx="287">
                  <c:v>6.99929607977749</c:v>
                </c:pt>
                <c:pt idx="288">
                  <c:v>6.99903203192597</c:v>
                </c:pt>
                <c:pt idx="289">
                  <c:v>6.99892377200588</c:v>
                </c:pt>
                <c:pt idx="290">
                  <c:v>6.99890882011526</c:v>
                </c:pt>
                <c:pt idx="291">
                  <c:v>6.99894758937237</c:v>
                </c:pt>
                <c:pt idx="292">
                  <c:v>6.9990152351059</c:v>
                </c:pt>
                <c:pt idx="293">
                  <c:v>6.99909637540449</c:v>
                </c:pt>
                <c:pt idx="294">
                  <c:v>6.99918167696773</c:v>
                </c:pt>
                <c:pt idx="295">
                  <c:v>6.99926565092653</c:v>
                </c:pt>
                <c:pt idx="296">
                  <c:v>6.99934523265972</c:v>
                </c:pt>
                <c:pt idx="297">
                  <c:v>6.99941886909792</c:v>
                </c:pt>
                <c:pt idx="298">
                  <c:v>6.99948593418825</c:v>
                </c:pt>
                <c:pt idx="299">
                  <c:v>6.9995463563002</c:v>
                </c:pt>
                <c:pt idx="300">
                  <c:v>6.9996003822981</c:v>
                </c:pt>
                <c:pt idx="301">
                  <c:v>6.99964842955394</c:v>
                </c:pt>
                <c:pt idx="302">
                  <c:v>6.9996909943826</c:v>
                </c:pt>
                <c:pt idx="303">
                  <c:v>6.99972859653371</c:v>
                </c:pt>
                <c:pt idx="304">
                  <c:v>6.99976174659691</c:v>
                </c:pt>
                <c:pt idx="305">
                  <c:v>6.99979092785171</c:v>
                </c:pt>
                <c:pt idx="306">
                  <c:v>6.99981658712185</c:v>
                </c:pt>
                <c:pt idx="307">
                  <c:v>6.99983913114805</c:v>
                </c:pt>
                <c:pt idx="308">
                  <c:v>6.99985892625788</c:v>
                </c:pt>
                <c:pt idx="309">
                  <c:v>6.99987629992585</c:v>
                </c:pt>
                <c:pt idx="310">
                  <c:v>6.99989154334248</c:v>
                </c:pt>
                <c:pt idx="311">
                  <c:v>6.99990491444561</c:v>
                </c:pt>
                <c:pt idx="312">
                  <c:v>6.99991664108505</c:v>
                </c:pt>
                <c:pt idx="313">
                  <c:v>6.99992692412455</c:v>
                </c:pt>
                <c:pt idx="314">
                  <c:v>6.99993594037541</c:v>
                </c:pt>
                <c:pt idx="315">
                  <c:v>6.99994384530702</c:v>
                </c:pt>
                <c:pt idx="316">
                  <c:v>6.99995077551259</c:v>
                </c:pt>
                <c:pt idx="317">
                  <c:v>6.99995685092966</c:v>
                </c:pt>
                <c:pt idx="318">
                  <c:v>6.99996217682481</c:v>
                </c:pt>
                <c:pt idx="319">
                  <c:v>6.99996684555761</c:v>
                </c:pt>
                <c:pt idx="320">
                  <c:v>6.99997093814366</c:v>
                </c:pt>
                <c:pt idx="321">
                  <c:v>6.99997452563538</c:v>
                </c:pt>
                <c:pt idx="322">
                  <c:v>6.99997767033849</c:v>
                </c:pt>
                <c:pt idx="323">
                  <c:v>6.99998042688376</c:v>
                </c:pt>
                <c:pt idx="324">
                  <c:v>6.99998284316892</c:v>
                </c:pt>
                <c:pt idx="325">
                  <c:v>6.99998496118536</c:v>
                </c:pt>
                <c:pt idx="326">
                  <c:v>6.99998681774546</c:v>
                </c:pt>
                <c:pt idx="327">
                  <c:v>6.99998844512015</c:v>
                </c:pt>
                <c:pt idx="328">
                  <c:v>6.99998987159887</c:v>
                </c:pt>
                <c:pt idx="329">
                  <c:v>6.99999112197978</c:v>
                </c:pt>
                <c:pt idx="330">
                  <c:v>6.99999221800054</c:v>
                </c:pt>
                <c:pt idx="331">
                  <c:v>6.99999317871618</c:v>
                </c:pt>
                <c:pt idx="332">
                  <c:v>6.99999402082945</c:v>
                </c:pt>
                <c:pt idx="333">
                  <c:v>6.99999475898174</c:v>
                </c:pt>
                <c:pt idx="334">
                  <c:v>6.9999954060072</c:v>
                </c:pt>
                <c:pt idx="335">
                  <c:v>6.99999597315528</c:v>
                </c:pt>
                <c:pt idx="336">
                  <c:v>6.99999647028685</c:v>
                </c:pt>
                <c:pt idx="337">
                  <c:v>6.99999690604594</c:v>
                </c:pt>
                <c:pt idx="338">
                  <c:v>6.99999728800901</c:v>
                </c:pt>
                <c:pt idx="339">
                  <c:v>6.99999762281702</c:v>
                </c:pt>
                <c:pt idx="340">
                  <c:v>6.99999791629165</c:v>
                </c:pt>
                <c:pt idx="341">
                  <c:v>6.99999817353546</c:v>
                </c:pt>
                <c:pt idx="342">
                  <c:v>6.99999839902156</c:v>
                </c:pt>
                <c:pt idx="343">
                  <c:v>6.99999859667031</c:v>
                </c:pt>
                <c:pt idx="344">
                  <c:v>6.99999876991826</c:v>
                </c:pt>
                <c:pt idx="345">
                  <c:v>6.99999892177783</c:v>
                </c:pt>
                <c:pt idx="346">
                  <c:v>6.99999905488973</c:v>
                </c:pt>
                <c:pt idx="347">
                  <c:v>6.99999917156833</c:v>
                </c:pt>
                <c:pt idx="348">
                  <c:v>6.99999927384233</c:v>
                </c:pt>
                <c:pt idx="349">
                  <c:v>6.99999936349009</c:v>
                </c:pt>
                <c:pt idx="350">
                  <c:v>6.99999944207029</c:v>
                </c:pt>
                <c:pt idx="351">
                  <c:v>6.99999951094928</c:v>
                </c:pt>
                <c:pt idx="352">
                  <c:v>6.99999957132506</c:v>
                </c:pt>
                <c:pt idx="353">
                  <c:v>6.99999962424718</c:v>
                </c:pt>
                <c:pt idx="354">
                  <c:v>6.99999967063579</c:v>
                </c:pt>
                <c:pt idx="355">
                  <c:v>6.99999971129769</c:v>
                </c:pt>
                <c:pt idx="356">
                  <c:v>6.99999974693962</c:v>
                </c:pt>
                <c:pt idx="357">
                  <c:v>6.99999977818138</c:v>
                </c:pt>
                <c:pt idx="358">
                  <c:v>6.99999980556603</c:v>
                </c:pt>
                <c:pt idx="359">
                  <c:v>6.99999982956982</c:v>
                </c:pt>
                <c:pt idx="360">
                  <c:v>6.99999985061044</c:v>
                </c:pt>
                <c:pt idx="361">
                  <c:v>6.99999986905335</c:v>
                </c:pt>
                <c:pt idx="362">
                  <c:v>6.99999988521946</c:v>
                </c:pt>
                <c:pt idx="363">
                  <c:v>6.99999989938965</c:v>
                </c:pt>
                <c:pt idx="364">
                  <c:v>6.99999991181053</c:v>
                </c:pt>
                <c:pt idx="365">
                  <c:v>6.99999992269789</c:v>
                </c:pt>
                <c:pt idx="366">
                  <c:v>6.99999993224115</c:v>
                </c:pt>
                <c:pt idx="367">
                  <c:v>6.99999994060613</c:v>
                </c:pt>
                <c:pt idx="368">
                  <c:v>6.99999994793861</c:v>
                </c:pt>
                <c:pt idx="369">
                  <c:v>6.99999995436599</c:v>
                </c:pt>
                <c:pt idx="370">
                  <c:v>6.99999995999981</c:v>
                </c:pt>
                <c:pt idx="371">
                  <c:v>6.99999996493794</c:v>
                </c:pt>
                <c:pt idx="372">
                  <c:v>6.99999996926647</c:v>
                </c:pt>
                <c:pt idx="373">
                  <c:v>6.99999997306039</c:v>
                </c:pt>
                <c:pt idx="374">
                  <c:v>6.99999997638585</c:v>
                </c:pt>
                <c:pt idx="375">
                  <c:v>6.99999997930099</c:v>
                </c:pt>
                <c:pt idx="376">
                  <c:v>6.99999998185626</c:v>
                </c:pt>
                <c:pt idx="377">
                  <c:v>6.99999998409624</c:v>
                </c:pt>
                <c:pt idx="378">
                  <c:v>6.9999999860596</c:v>
                </c:pt>
                <c:pt idx="379">
                  <c:v>6.99999998778056</c:v>
                </c:pt>
                <c:pt idx="380">
                  <c:v>6.99999998928903</c:v>
                </c:pt>
                <c:pt idx="381">
                  <c:v>6.99999999061116</c:v>
                </c:pt>
                <c:pt idx="382">
                  <c:v>6.99999999177013</c:v>
                </c:pt>
                <c:pt idx="383">
                  <c:v>6.99999999278597</c:v>
                </c:pt>
                <c:pt idx="384">
                  <c:v>6.99999999367646</c:v>
                </c:pt>
                <c:pt idx="385">
                  <c:v>6.99999999445724</c:v>
                </c:pt>
                <c:pt idx="386">
                  <c:v>6.99999999514162</c:v>
                </c:pt>
                <c:pt idx="387">
                  <c:v>6.9999999957415</c:v>
                </c:pt>
                <c:pt idx="388">
                  <c:v>6.99999999626735</c:v>
                </c:pt>
                <c:pt idx="389">
                  <c:v>6.99999999672821</c:v>
                </c:pt>
                <c:pt idx="390">
                  <c:v>6.99999999713226</c:v>
                </c:pt>
                <c:pt idx="391">
                  <c:v>6.99999999748635</c:v>
                </c:pt>
                <c:pt idx="392">
                  <c:v>6.99999999779651</c:v>
                </c:pt>
                <c:pt idx="393">
                  <c:v>6.99999999806845</c:v>
                </c:pt>
                <c:pt idx="394">
                  <c:v>6.99999999830674</c:v>
                </c:pt>
                <c:pt idx="395">
                  <c:v>6.9999999985158</c:v>
                </c:pt>
                <c:pt idx="396">
                  <c:v>6.99999999869904</c:v>
                </c:pt>
                <c:pt idx="397">
                  <c:v>6.99999999885978</c:v>
                </c:pt>
                <c:pt idx="398">
                  <c:v>6.99999999900053</c:v>
                </c:pt>
                <c:pt idx="399">
                  <c:v>6.9999999991238</c:v>
                </c:pt>
                <c:pt idx="400">
                  <c:v>6.99999999923195</c:v>
                </c:pt>
                <c:pt idx="401">
                  <c:v>6.99999999932683</c:v>
                </c:pt>
                <c:pt idx="402">
                  <c:v>6.99999999940977</c:v>
                </c:pt>
                <c:pt idx="403">
                  <c:v>6.99999999948241</c:v>
                </c:pt>
                <c:pt idx="404">
                  <c:v>6.99999999954611</c:v>
                </c:pt>
                <c:pt idx="405">
                  <c:v>6.99999999960179</c:v>
                </c:pt>
                <c:pt idx="406">
                  <c:v>6.99999999965055</c:v>
                </c:pt>
                <c:pt idx="407">
                  <c:v>6.99999999969368</c:v>
                </c:pt>
                <c:pt idx="408">
                  <c:v>6.99999999973166</c:v>
                </c:pt>
                <c:pt idx="409">
                  <c:v>6.99999999976504</c:v>
                </c:pt>
                <c:pt idx="410">
                  <c:v>6.99999999979425</c:v>
                </c:pt>
                <c:pt idx="411">
                  <c:v>6.99999999981971</c:v>
                </c:pt>
                <c:pt idx="412">
                  <c:v>6.99999999984178</c:v>
                </c:pt>
                <c:pt idx="413">
                  <c:v>6.99999999986083</c:v>
                </c:pt>
                <c:pt idx="414">
                  <c:v>6.99999999987789</c:v>
                </c:pt>
                <c:pt idx="415">
                  <c:v>6.99999999989321</c:v>
                </c:pt>
                <c:pt idx="416">
                  <c:v>6.99999999990623</c:v>
                </c:pt>
                <c:pt idx="417">
                  <c:v>6.99999999991764</c:v>
                </c:pt>
                <c:pt idx="418">
                  <c:v>6.99999999992794</c:v>
                </c:pt>
                <c:pt idx="419">
                  <c:v>6.99999999993723</c:v>
                </c:pt>
                <c:pt idx="420">
                  <c:v>6.99999999994562</c:v>
                </c:pt>
                <c:pt idx="421">
                  <c:v>6.99999999995298</c:v>
                </c:pt>
                <c:pt idx="422">
                  <c:v>6.99999999995877</c:v>
                </c:pt>
                <c:pt idx="423">
                  <c:v>6.99999999996384</c:v>
                </c:pt>
                <c:pt idx="424">
                  <c:v>6.99999999996841</c:v>
                </c:pt>
                <c:pt idx="425">
                  <c:v>6.99999999997254</c:v>
                </c:pt>
                <c:pt idx="426">
                  <c:v>6.99999999997626</c:v>
                </c:pt>
                <c:pt idx="427">
                  <c:v>6.99999999997963</c:v>
                </c:pt>
                <c:pt idx="428">
                  <c:v>6.99999999998266</c:v>
                </c:pt>
                <c:pt idx="429">
                  <c:v>6.9999999999854</c:v>
                </c:pt>
                <c:pt idx="430">
                  <c:v>6.99999999998787</c:v>
                </c:pt>
                <c:pt idx="431">
                  <c:v>6.9999999999901</c:v>
                </c:pt>
                <c:pt idx="432">
                  <c:v>6.99999999999211</c:v>
                </c:pt>
                <c:pt idx="433">
                  <c:v>6.99999999999393</c:v>
                </c:pt>
                <c:pt idx="434">
                  <c:v>6.99999999999557</c:v>
                </c:pt>
                <c:pt idx="435">
                  <c:v>6.99999999999705</c:v>
                </c:pt>
                <c:pt idx="436">
                  <c:v>6.99999999999839</c:v>
                </c:pt>
                <c:pt idx="437">
                  <c:v>6.9999999999996</c:v>
                </c:pt>
                <c:pt idx="438">
                  <c:v>7.00000000000068</c:v>
                </c:pt>
                <c:pt idx="439">
                  <c:v>7.00000000000167</c:v>
                </c:pt>
                <c:pt idx="440">
                  <c:v>7.00000000000255</c:v>
                </c:pt>
                <c:pt idx="441">
                  <c:v>7.00000000000335</c:v>
                </c:pt>
                <c:pt idx="442">
                  <c:v>7.00000000000408</c:v>
                </c:pt>
                <c:pt idx="443">
                  <c:v>7.00000000000473</c:v>
                </c:pt>
                <c:pt idx="444">
                  <c:v>7.00000000000532</c:v>
                </c:pt>
                <c:pt idx="445">
                  <c:v>7.00000000000585</c:v>
                </c:pt>
                <c:pt idx="446">
                  <c:v>7.00000000000633</c:v>
                </c:pt>
                <c:pt idx="447">
                  <c:v>7.00000000000676</c:v>
                </c:pt>
                <c:pt idx="448">
                  <c:v>7.00000000000715</c:v>
                </c:pt>
                <c:pt idx="449">
                  <c:v>7.0000000000075</c:v>
                </c:pt>
                <c:pt idx="450">
                  <c:v>7.00000000000782</c:v>
                </c:pt>
                <c:pt idx="451">
                  <c:v>7.00000000000811</c:v>
                </c:pt>
                <c:pt idx="452">
                  <c:v>7.00000000000837</c:v>
                </c:pt>
                <c:pt idx="453">
                  <c:v>7.0000000000086</c:v>
                </c:pt>
                <c:pt idx="454">
                  <c:v>7.00000000000881</c:v>
                </c:pt>
                <c:pt idx="455">
                  <c:v>7.000000000009</c:v>
                </c:pt>
                <c:pt idx="456">
                  <c:v>7.00000000000917</c:v>
                </c:pt>
                <c:pt idx="457">
                  <c:v>7.00000000000933</c:v>
                </c:pt>
                <c:pt idx="458">
                  <c:v>7.00000000000919</c:v>
                </c:pt>
                <c:pt idx="459">
                  <c:v>7.00000000000899</c:v>
                </c:pt>
                <c:pt idx="460">
                  <c:v>7.00000000000881</c:v>
                </c:pt>
                <c:pt idx="461">
                  <c:v>7.00000000000866</c:v>
                </c:pt>
                <c:pt idx="462">
                  <c:v>7.00000000000851</c:v>
                </c:pt>
                <c:pt idx="463">
                  <c:v>7.00000000000838</c:v>
                </c:pt>
                <c:pt idx="464">
                  <c:v>7.00000000000826</c:v>
                </c:pt>
                <c:pt idx="465">
                  <c:v>7.00000000000816</c:v>
                </c:pt>
                <c:pt idx="466">
                  <c:v>7.00000000000806</c:v>
                </c:pt>
                <c:pt idx="467">
                  <c:v>7.00000000000798</c:v>
                </c:pt>
                <c:pt idx="468">
                  <c:v>7.0000000000079</c:v>
                </c:pt>
                <c:pt idx="469">
                  <c:v>7.00000000000783</c:v>
                </c:pt>
                <c:pt idx="470">
                  <c:v>7.00000000000777</c:v>
                </c:pt>
                <c:pt idx="471">
                  <c:v>7.00000000000771</c:v>
                </c:pt>
                <c:pt idx="472">
                  <c:v>7.00000000000766</c:v>
                </c:pt>
                <c:pt idx="473">
                  <c:v>7.00000000000761</c:v>
                </c:pt>
                <c:pt idx="474">
                  <c:v>7.00000000000757</c:v>
                </c:pt>
                <c:pt idx="475">
                  <c:v>7.00000000000753</c:v>
                </c:pt>
                <c:pt idx="476">
                  <c:v>7.0000000000075</c:v>
                </c:pt>
                <c:pt idx="477">
                  <c:v>7.00000000000746</c:v>
                </c:pt>
                <c:pt idx="478">
                  <c:v>7.00000000000744</c:v>
                </c:pt>
                <c:pt idx="479">
                  <c:v>7.00000000000741</c:v>
                </c:pt>
                <c:pt idx="480">
                  <c:v>7.00000000000739</c:v>
                </c:pt>
                <c:pt idx="481">
                  <c:v>7.00000000000737</c:v>
                </c:pt>
                <c:pt idx="482">
                  <c:v>7.00000000000735</c:v>
                </c:pt>
                <c:pt idx="483">
                  <c:v>7.00000000000733</c:v>
                </c:pt>
                <c:pt idx="484">
                  <c:v>7.00000000000732</c:v>
                </c:pt>
                <c:pt idx="485">
                  <c:v>7.0000000000073</c:v>
                </c:pt>
                <c:pt idx="486">
                  <c:v>7.00000000000729</c:v>
                </c:pt>
                <c:pt idx="487">
                  <c:v>7.00000000000728</c:v>
                </c:pt>
                <c:pt idx="488">
                  <c:v>7.00000000000727</c:v>
                </c:pt>
                <c:pt idx="489">
                  <c:v>7.00000000000726</c:v>
                </c:pt>
                <c:pt idx="490">
                  <c:v>7.00000000000725</c:v>
                </c:pt>
                <c:pt idx="491">
                  <c:v>7.00000000000725</c:v>
                </c:pt>
                <c:pt idx="492">
                  <c:v>7.00000000000724</c:v>
                </c:pt>
                <c:pt idx="493">
                  <c:v>7.00000000000723</c:v>
                </c:pt>
                <c:pt idx="494">
                  <c:v>7.00000000000723</c:v>
                </c:pt>
                <c:pt idx="495">
                  <c:v>7.00000000000722</c:v>
                </c:pt>
                <c:pt idx="496">
                  <c:v>7.00000000000722</c:v>
                </c:pt>
                <c:pt idx="497">
                  <c:v>7.00000000000722</c:v>
                </c:pt>
                <c:pt idx="498">
                  <c:v>7.00000000000721</c:v>
                </c:pt>
                <c:pt idx="499">
                  <c:v>7.00000000000721</c:v>
                </c:pt>
                <c:pt idx="500">
                  <c:v>7.00000000000721</c:v>
                </c:pt>
                <c:pt idx="501">
                  <c:v>7.0000000000072</c:v>
                </c:pt>
                <c:pt idx="502">
                  <c:v>7.0000000000072</c:v>
                </c:pt>
                <c:pt idx="503">
                  <c:v>7.0000000000072</c:v>
                </c:pt>
                <c:pt idx="504">
                  <c:v>7.0000000000072</c:v>
                </c:pt>
                <c:pt idx="505">
                  <c:v>7.00000000000719</c:v>
                </c:pt>
                <c:pt idx="506">
                  <c:v>7.00000000000719</c:v>
                </c:pt>
                <c:pt idx="507">
                  <c:v>7.00000000000719</c:v>
                </c:pt>
                <c:pt idx="508">
                  <c:v>7.00000000000719</c:v>
                </c:pt>
                <c:pt idx="509">
                  <c:v>7.00000000000719</c:v>
                </c:pt>
                <c:pt idx="510">
                  <c:v>7.00000000000719</c:v>
                </c:pt>
                <c:pt idx="511">
                  <c:v>7.00000000000719</c:v>
                </c:pt>
                <c:pt idx="512">
                  <c:v>7.00000000000719</c:v>
                </c:pt>
                <c:pt idx="513">
                  <c:v>7.00000000000719</c:v>
                </c:pt>
                <c:pt idx="514">
                  <c:v>7.00000000000718</c:v>
                </c:pt>
                <c:pt idx="515">
                  <c:v>7.00000000000718</c:v>
                </c:pt>
                <c:pt idx="516">
                  <c:v>7.00000000000718</c:v>
                </c:pt>
                <c:pt idx="517">
                  <c:v>7.00000000000718</c:v>
                </c:pt>
                <c:pt idx="518">
                  <c:v>7.00000000000718</c:v>
                </c:pt>
                <c:pt idx="519">
                  <c:v>7.00000000000718</c:v>
                </c:pt>
                <c:pt idx="520">
                  <c:v>7.00000000000718</c:v>
                </c:pt>
                <c:pt idx="521">
                  <c:v>7.00000000000718</c:v>
                </c:pt>
                <c:pt idx="522">
                  <c:v>7.00000000000718</c:v>
                </c:pt>
                <c:pt idx="523">
                  <c:v>7.00000000000718</c:v>
                </c:pt>
                <c:pt idx="524">
                  <c:v>7.00000000000718</c:v>
                </c:pt>
                <c:pt idx="525">
                  <c:v>7.00000000000718</c:v>
                </c:pt>
                <c:pt idx="526">
                  <c:v>7.00000000000718</c:v>
                </c:pt>
                <c:pt idx="527">
                  <c:v>7.00000000000718</c:v>
                </c:pt>
                <c:pt idx="528">
                  <c:v>7.00000000000718</c:v>
                </c:pt>
                <c:pt idx="529">
                  <c:v>7.00000000000718</c:v>
                </c:pt>
                <c:pt idx="530">
                  <c:v>7.00000000000718</c:v>
                </c:pt>
                <c:pt idx="531">
                  <c:v>7.00000000000718</c:v>
                </c:pt>
                <c:pt idx="532">
                  <c:v>7.00000000000718</c:v>
                </c:pt>
                <c:pt idx="533">
                  <c:v>7.00000000000718</c:v>
                </c:pt>
                <c:pt idx="534">
                  <c:v>7.00000000000718</c:v>
                </c:pt>
                <c:pt idx="535">
                  <c:v>7.00000000000718</c:v>
                </c:pt>
                <c:pt idx="536">
                  <c:v>7.00000000000718</c:v>
                </c:pt>
                <c:pt idx="537">
                  <c:v>7.00000000000718</c:v>
                </c:pt>
                <c:pt idx="538">
                  <c:v>7.00000000000718</c:v>
                </c:pt>
                <c:pt idx="539">
                  <c:v>7.00000000000718</c:v>
                </c:pt>
                <c:pt idx="540">
                  <c:v>7.00000000000718</c:v>
                </c:pt>
                <c:pt idx="541">
                  <c:v>7.00000000000718</c:v>
                </c:pt>
                <c:pt idx="542">
                  <c:v>7.00000000000718</c:v>
                </c:pt>
                <c:pt idx="543">
                  <c:v>7.00000000000718</c:v>
                </c:pt>
                <c:pt idx="544">
                  <c:v>7.00000000000718</c:v>
                </c:pt>
                <c:pt idx="545">
                  <c:v>7.00000000000718</c:v>
                </c:pt>
                <c:pt idx="546">
                  <c:v>7.00000000000718</c:v>
                </c:pt>
                <c:pt idx="547">
                  <c:v>7.00000000000718</c:v>
                </c:pt>
                <c:pt idx="548">
                  <c:v>7.00000000000718</c:v>
                </c:pt>
                <c:pt idx="549">
                  <c:v>7.00000000000718</c:v>
                </c:pt>
                <c:pt idx="550">
                  <c:v>7.00000000000718</c:v>
                </c:pt>
                <c:pt idx="551">
                  <c:v>7.00000000000718</c:v>
                </c:pt>
                <c:pt idx="552">
                  <c:v>7.00000000000718</c:v>
                </c:pt>
                <c:pt idx="553">
                  <c:v>7.00000000000718</c:v>
                </c:pt>
                <c:pt idx="554">
                  <c:v>7.00000000000718</c:v>
                </c:pt>
                <c:pt idx="555">
                  <c:v>7.00000000000718</c:v>
                </c:pt>
                <c:pt idx="556">
                  <c:v>7.00000000000718</c:v>
                </c:pt>
                <c:pt idx="557">
                  <c:v>7.00000000000718</c:v>
                </c:pt>
                <c:pt idx="558">
                  <c:v>7.00000000000718</c:v>
                </c:pt>
                <c:pt idx="559">
                  <c:v>7.00000000000718</c:v>
                </c:pt>
                <c:pt idx="560">
                  <c:v>7.00000000000718</c:v>
                </c:pt>
                <c:pt idx="561">
                  <c:v>7.00000000000718</c:v>
                </c:pt>
                <c:pt idx="562">
                  <c:v>7.00000000000718</c:v>
                </c:pt>
                <c:pt idx="563">
                  <c:v>7.00000000000718</c:v>
                </c:pt>
                <c:pt idx="564">
                  <c:v>7.00000000000718</c:v>
                </c:pt>
                <c:pt idx="565">
                  <c:v>7.00000000000718</c:v>
                </c:pt>
                <c:pt idx="566">
                  <c:v>7.00000000000718</c:v>
                </c:pt>
                <c:pt idx="567">
                  <c:v>7.00000000000718</c:v>
                </c:pt>
                <c:pt idx="568">
                  <c:v>7.00000000000718</c:v>
                </c:pt>
                <c:pt idx="569">
                  <c:v>7.00000000000718</c:v>
                </c:pt>
                <c:pt idx="570">
                  <c:v>7.00000000000718</c:v>
                </c:pt>
                <c:pt idx="571">
                  <c:v>7.00000000000718</c:v>
                </c:pt>
                <c:pt idx="572">
                  <c:v>7.00000000000718</c:v>
                </c:pt>
                <c:pt idx="573">
                  <c:v>7.00000000000718</c:v>
                </c:pt>
                <c:pt idx="574">
                  <c:v>7.00000000000718</c:v>
                </c:pt>
                <c:pt idx="575">
                  <c:v>7.00000000000718</c:v>
                </c:pt>
                <c:pt idx="576">
                  <c:v>7.00000000000718</c:v>
                </c:pt>
                <c:pt idx="577">
                  <c:v>7.00000000000718</c:v>
                </c:pt>
                <c:pt idx="578">
                  <c:v>7.00000000000718</c:v>
                </c:pt>
                <c:pt idx="579">
                  <c:v>7.00000000000718</c:v>
                </c:pt>
                <c:pt idx="580">
                  <c:v>7.00000000000718</c:v>
                </c:pt>
                <c:pt idx="581">
                  <c:v>7.00000000000718</c:v>
                </c:pt>
                <c:pt idx="582">
                  <c:v>7.00000000000718</c:v>
                </c:pt>
                <c:pt idx="583">
                  <c:v>7.00000000000718</c:v>
                </c:pt>
                <c:pt idx="584">
                  <c:v>7.00000000000718</c:v>
                </c:pt>
                <c:pt idx="585">
                  <c:v>7.00000000000718</c:v>
                </c:pt>
                <c:pt idx="586">
                  <c:v>7.00000000000718</c:v>
                </c:pt>
                <c:pt idx="587">
                  <c:v>7.00000000000718</c:v>
                </c:pt>
                <c:pt idx="588">
                  <c:v>7.00000000000718</c:v>
                </c:pt>
                <c:pt idx="589">
                  <c:v>7.00000000000718</c:v>
                </c:pt>
                <c:pt idx="590">
                  <c:v>7.00000000000718</c:v>
                </c:pt>
                <c:pt idx="591">
                  <c:v>7.00000000000718</c:v>
                </c:pt>
                <c:pt idx="592">
                  <c:v>7.00000000000718</c:v>
                </c:pt>
                <c:pt idx="593">
                  <c:v>7.00000000000718</c:v>
                </c:pt>
                <c:pt idx="594">
                  <c:v>7.00000000000718</c:v>
                </c:pt>
                <c:pt idx="595">
                  <c:v>7.00000000000718</c:v>
                </c:pt>
                <c:pt idx="596">
                  <c:v>7.00000000000718</c:v>
                </c:pt>
                <c:pt idx="597">
                  <c:v>7.00000000000718</c:v>
                </c:pt>
                <c:pt idx="598">
                  <c:v>7.00000000000718</c:v>
                </c:pt>
                <c:pt idx="599">
                  <c:v>7.00000000000718</c:v>
                </c:pt>
                <c:pt idx="600">
                  <c:v>7.00000000000718</c:v>
                </c:pt>
                <c:pt idx="601">
                  <c:v>7.07887796052734</c:v>
                </c:pt>
                <c:pt idx="602">
                  <c:v>7.41337285069326</c:v>
                </c:pt>
                <c:pt idx="603">
                  <c:v>7.56728585110405</c:v>
                </c:pt>
                <c:pt idx="604">
                  <c:v>7.66053274103098</c:v>
                </c:pt>
                <c:pt idx="605">
                  <c:v>7.72796827023674</c:v>
                </c:pt>
                <c:pt idx="606">
                  <c:v>7.77898662159187</c:v>
                </c:pt>
                <c:pt idx="607">
                  <c:v>7.81903340122423</c:v>
                </c:pt>
                <c:pt idx="608">
                  <c:v>7.85129025051192</c:v>
                </c:pt>
                <c:pt idx="609">
                  <c:v>7.87774584102755</c:v>
                </c:pt>
                <c:pt idx="610">
                  <c:v>7.89972049592615</c:v>
                </c:pt>
                <c:pt idx="611">
                  <c:v>7.91813439451435</c:v>
                </c:pt>
                <c:pt idx="612">
                  <c:v>7.93365519965453</c:v>
                </c:pt>
                <c:pt idx="613">
                  <c:v>7.94678404057416</c:v>
                </c:pt>
                <c:pt idx="614">
                  <c:v>7.95790802974499</c:v>
                </c:pt>
                <c:pt idx="615">
                  <c:v>7.9673336554695</c:v>
                </c:pt>
                <c:pt idx="616">
                  <c:v>7.97530875445843</c:v>
                </c:pt>
                <c:pt idx="617">
                  <c:v>7.98203740224786</c:v>
                </c:pt>
                <c:pt idx="618">
                  <c:v>7.98769026559379</c:v>
                </c:pt>
                <c:pt idx="619">
                  <c:v>7.99241196319455</c:v>
                </c:pt>
                <c:pt idx="620">
                  <c:v>7.99632640466031</c:v>
                </c:pt>
                <c:pt idx="621">
                  <c:v>7.99954073332406</c:v>
                </c:pt>
                <c:pt idx="622">
                  <c:v>8.00214828658923</c:v>
                </c:pt>
                <c:pt idx="623">
                  <c:v>8.00423085356707</c:v>
                </c:pt>
                <c:pt idx="624">
                  <c:v>8.00586042300433</c:v>
                </c:pt>
                <c:pt idx="625">
                  <c:v>8.00710055704521</c:v>
                </c:pt>
                <c:pt idx="626">
                  <c:v>8.00800748752024</c:v>
                </c:pt>
                <c:pt idx="627">
                  <c:v>8.00863100466989</c:v>
                </c:pt>
                <c:pt idx="628">
                  <c:v>8.00901518941184</c:v>
                </c:pt>
                <c:pt idx="629">
                  <c:v>8.00919902683784</c:v>
                </c:pt>
                <c:pt idx="630">
                  <c:v>8.00921692889924</c:v>
                </c:pt>
                <c:pt idx="631">
                  <c:v>8.0090991870912</c:v>
                </c:pt>
                <c:pt idx="632">
                  <c:v>8.00887237063449</c:v>
                </c:pt>
                <c:pt idx="633">
                  <c:v>8.0085596816719</c:v>
                </c:pt>
                <c:pt idx="634">
                  <c:v>8.00818127599523</c:v>
                </c:pt>
                <c:pt idx="635">
                  <c:v>8.00775455555373</c:v>
                </c:pt>
                <c:pt idx="636">
                  <c:v>8.00729443728753</c:v>
                </c:pt>
                <c:pt idx="637">
                  <c:v>8.00681360155272</c:v>
                </c:pt>
                <c:pt idx="638">
                  <c:v>8.00632272246176</c:v>
                </c:pt>
                <c:pt idx="639">
                  <c:v>8.00583068177874</c:v>
                </c:pt>
                <c:pt idx="640">
                  <c:v>8.00534476752648</c:v>
                </c:pt>
                <c:pt idx="641">
                  <c:v>8.00487085813588</c:v>
                </c:pt>
                <c:pt idx="642">
                  <c:v>8.00441359275868</c:v>
                </c:pt>
                <c:pt idx="643">
                  <c:v>8.00397652824497</c:v>
                </c:pt>
                <c:pt idx="644">
                  <c:v>8.00356228323046</c:v>
                </c:pt>
                <c:pt idx="645">
                  <c:v>8.00317266976554</c:v>
                </c:pt>
                <c:pt idx="646">
                  <c:v>8.00280881293562</c:v>
                </c:pt>
                <c:pt idx="647">
                  <c:v>8.00247125895486</c:v>
                </c:pt>
                <c:pt idx="648">
                  <c:v>8.00216007225542</c:v>
                </c:pt>
                <c:pt idx="649">
                  <c:v>8.00187492213566</c:v>
                </c:pt>
                <c:pt idx="650">
                  <c:v>9.0371881922737</c:v>
                </c:pt>
                <c:pt idx="651">
                  <c:v>9.75933572400574</c:v>
                </c:pt>
                <c:pt idx="652">
                  <c:v>9.93360830903891</c:v>
                </c:pt>
                <c:pt idx="653">
                  <c:v>10.0188791913431</c:v>
                </c:pt>
                <c:pt idx="654">
                  <c:v>10.0571267432786</c:v>
                </c:pt>
                <c:pt idx="655">
                  <c:v>10.0642680818996</c:v>
                </c:pt>
                <c:pt idx="656">
                  <c:v>10.0459056734131</c:v>
                </c:pt>
                <c:pt idx="657">
                  <c:v>10.002487903792</c:v>
                </c:pt>
                <c:pt idx="658">
                  <c:v>9.9299256893794</c:v>
                </c:pt>
                <c:pt idx="659">
                  <c:v>9.81698444227998</c:v>
                </c:pt>
                <c:pt idx="660">
                  <c:v>9.63448056016047</c:v>
                </c:pt>
                <c:pt idx="661">
                  <c:v>9.27470413450086</c:v>
                </c:pt>
                <c:pt idx="662">
                  <c:v>5.29288220839676</c:v>
                </c:pt>
                <c:pt idx="663">
                  <c:v>4.62603960374537</c:v>
                </c:pt>
                <c:pt idx="664">
                  <c:v>4.28009594272079</c:v>
                </c:pt>
                <c:pt idx="665">
                  <c:v>4.09956788340228</c:v>
                </c:pt>
                <c:pt idx="666">
                  <c:v>3.99136197438586</c:v>
                </c:pt>
                <c:pt idx="667">
                  <c:v>3.91969569485701</c:v>
                </c:pt>
                <c:pt idx="668">
                  <c:v>3.87090755472226</c:v>
                </c:pt>
                <c:pt idx="669">
                  <c:v>3.83794314810966</c:v>
                </c:pt>
                <c:pt idx="670">
                  <c:v>3.81680459820041</c:v>
                </c:pt>
                <c:pt idx="671">
                  <c:v>3.80505408454143</c:v>
                </c:pt>
                <c:pt idx="672">
                  <c:v>3.80114274748634</c:v>
                </c:pt>
                <c:pt idx="673">
                  <c:v>3.8040753713833</c:v>
                </c:pt>
                <c:pt idx="674">
                  <c:v>3.81323164778577</c:v>
                </c:pt>
                <c:pt idx="675">
                  <c:v>3.82826847083281</c:v>
                </c:pt>
                <c:pt idx="676">
                  <c:v>3.8490690185908</c:v>
                </c:pt>
                <c:pt idx="677">
                  <c:v>3.87572294318767</c:v>
                </c:pt>
                <c:pt idx="678">
                  <c:v>3.90853178904785</c:v>
                </c:pt>
                <c:pt idx="679">
                  <c:v>3.9480405643234</c:v>
                </c:pt>
                <c:pt idx="680">
                  <c:v>3.99510354642554</c:v>
                </c:pt>
                <c:pt idx="681">
                  <c:v>4.05100350309152</c:v>
                </c:pt>
                <c:pt idx="682">
                  <c:v>4.11766541640614</c:v>
                </c:pt>
                <c:pt idx="683">
                  <c:v>4.19805597379087</c:v>
                </c:pt>
                <c:pt idx="684">
                  <c:v>4.29699124419737</c:v>
                </c:pt>
                <c:pt idx="685">
                  <c:v>4.42297654452432</c:v>
                </c:pt>
                <c:pt idx="686">
                  <c:v>4.59323836705848</c:v>
                </c:pt>
                <c:pt idx="687">
                  <c:v>4.85254563211014</c:v>
                </c:pt>
                <c:pt idx="688">
                  <c:v>5.42269943916887</c:v>
                </c:pt>
                <c:pt idx="689">
                  <c:v>8.6645308412536</c:v>
                </c:pt>
                <c:pt idx="690">
                  <c:v>9.0272029721624</c:v>
                </c:pt>
                <c:pt idx="691">
                  <c:v>9.18161756948126</c:v>
                </c:pt>
                <c:pt idx="692">
                  <c:v>9.22909029319649</c:v>
                </c:pt>
                <c:pt idx="693">
                  <c:v>9.20132223367009</c:v>
                </c:pt>
                <c:pt idx="694">
                  <c:v>9.10305241152599</c:v>
                </c:pt>
                <c:pt idx="695">
                  <c:v>8.91562923343546</c:v>
                </c:pt>
                <c:pt idx="696">
                  <c:v>8.56705178167298</c:v>
                </c:pt>
                <c:pt idx="697">
                  <c:v>7.06098502568463</c:v>
                </c:pt>
                <c:pt idx="698">
                  <c:v>5.55696968986079</c:v>
                </c:pt>
                <c:pt idx="699">
                  <c:v>5.29666808879384</c:v>
                </c:pt>
                <c:pt idx="700">
                  <c:v>5.13385310852102</c:v>
                </c:pt>
                <c:pt idx="701">
                  <c:v>5.04174364238497</c:v>
                </c:pt>
                <c:pt idx="702">
                  <c:v>4.99232013681049</c:v>
                </c:pt>
                <c:pt idx="703">
                  <c:v>4.97366905626978</c:v>
                </c:pt>
                <c:pt idx="704">
                  <c:v>4.97963727090167</c:v>
                </c:pt>
                <c:pt idx="705">
                  <c:v>5.0074395797422</c:v>
                </c:pt>
                <c:pt idx="706">
                  <c:v>5.05653956123592</c:v>
                </c:pt>
                <c:pt idx="707">
                  <c:v>5.12834367348185</c:v>
                </c:pt>
                <c:pt idx="708">
                  <c:v>5.22655562406831</c:v>
                </c:pt>
                <c:pt idx="709">
                  <c:v>5.35858369969861</c:v>
                </c:pt>
                <c:pt idx="710">
                  <c:v>5.54013385558395</c:v>
                </c:pt>
                <c:pt idx="711">
                  <c:v>5.81609054566947</c:v>
                </c:pt>
                <c:pt idx="712">
                  <c:v>6.44844708336659</c:v>
                </c:pt>
                <c:pt idx="713">
                  <c:v>7.81242283818987</c:v>
                </c:pt>
                <c:pt idx="714">
                  <c:v>8.06971547549815</c:v>
                </c:pt>
                <c:pt idx="715">
                  <c:v>8.19639706719849</c:v>
                </c:pt>
                <c:pt idx="716">
                  <c:v>8.27917213978851</c:v>
                </c:pt>
                <c:pt idx="717">
                  <c:v>8.3363807817543</c:v>
                </c:pt>
                <c:pt idx="718">
                  <c:v>8.37718845319746</c:v>
                </c:pt>
                <c:pt idx="719">
                  <c:v>8.40647579193628</c:v>
                </c:pt>
                <c:pt idx="720">
                  <c:v>8.42715541126452</c:v>
                </c:pt>
                <c:pt idx="721">
                  <c:v>8.44110585431793</c:v>
                </c:pt>
                <c:pt idx="722">
                  <c:v>8.44961079260708</c:v>
                </c:pt>
                <c:pt idx="723">
                  <c:v>8.45358801197221</c:v>
                </c:pt>
                <c:pt idx="724">
                  <c:v>8.45371859051666</c:v>
                </c:pt>
                <c:pt idx="725">
                  <c:v>8.45052452547289</c:v>
                </c:pt>
                <c:pt idx="726">
                  <c:v>8.44441790559486</c:v>
                </c:pt>
                <c:pt idx="727">
                  <c:v>8.43573351768871</c:v>
                </c:pt>
                <c:pt idx="728">
                  <c:v>8.42475137929177</c:v>
                </c:pt>
                <c:pt idx="729">
                  <c:v>8.41171291754384</c:v>
                </c:pt>
                <c:pt idx="730">
                  <c:v>8.39683300865233</c:v>
                </c:pt>
                <c:pt idx="731">
                  <c:v>8.38030923168335</c:v>
                </c:pt>
                <c:pt idx="732">
                  <c:v>8.36232917304229</c:v>
                </c:pt>
                <c:pt idx="733">
                  <c:v>8.34307629000506</c:v>
                </c:pt>
                <c:pt idx="734">
                  <c:v>8.32273462150201</c:v>
                </c:pt>
                <c:pt idx="735">
                  <c:v>8.30149247824842</c:v>
                </c:pt>
                <c:pt idx="736">
                  <c:v>8.27954512964401</c:v>
                </c:pt>
                <c:pt idx="737">
                  <c:v>8.25709642201268</c:v>
                </c:pt>
                <c:pt idx="738">
                  <c:v>8.23435921075437</c:v>
                </c:pt>
                <c:pt idx="739">
                  <c:v>8.21155447253687</c:v>
                </c:pt>
                <c:pt idx="740">
                  <c:v>8.18890899015898</c:v>
                </c:pt>
                <c:pt idx="741">
                  <c:v>8.16665157840429</c:v>
                </c:pt>
                <c:pt idx="742">
                  <c:v>8.14500794440557</c:v>
                </c:pt>
                <c:pt idx="743">
                  <c:v>8.12419444036158</c:v>
                </c:pt>
                <c:pt idx="744">
                  <c:v>8.1044111457763</c:v>
                </c:pt>
                <c:pt idx="745">
                  <c:v>8.08583487407477</c:v>
                </c:pt>
                <c:pt idx="746">
                  <c:v>8.06861279231516</c:v>
                </c:pt>
                <c:pt idx="747">
                  <c:v>8.05285733722678</c:v>
                </c:pt>
                <c:pt idx="748">
                  <c:v>8.03864299058335</c:v>
                </c:pt>
                <c:pt idx="749">
                  <c:v>8.02600525564593</c:v>
                </c:pt>
                <c:pt idx="750">
                  <c:v>8.01494189591974</c:v>
                </c:pt>
                <c:pt idx="751">
                  <c:v>8.00541621605859</c:v>
                </c:pt>
                <c:pt idx="752">
                  <c:v>7.99736193905691</c:v>
                </c:pt>
                <c:pt idx="753">
                  <c:v>7.99068910206533</c:v>
                </c:pt>
                <c:pt idx="754">
                  <c:v>7.98529036620151</c:v>
                </c:pt>
                <c:pt idx="755">
                  <c:v>7.98104719897275</c:v>
                </c:pt>
                <c:pt idx="756">
                  <c:v>7.97783551054972</c:v>
                </c:pt>
                <c:pt idx="757">
                  <c:v>7.97553047200413</c:v>
                </c:pt>
                <c:pt idx="758">
                  <c:v>7.97401038497505</c:v>
                </c:pt>
                <c:pt idx="759">
                  <c:v>7.97315958866158</c:v>
                </c:pt>
                <c:pt idx="760">
                  <c:v>7.97287047309404</c:v>
                </c:pt>
                <c:pt idx="761">
                  <c:v>7.97304471743759</c:v>
                </c:pt>
                <c:pt idx="762">
                  <c:v>7.97359389397969</c:v>
                </c:pt>
                <c:pt idx="763">
                  <c:v>7.97443957990604</c:v>
                </c:pt>
                <c:pt idx="764">
                  <c:v>7.97551310739098</c:v>
                </c:pt>
                <c:pt idx="765">
                  <c:v>7.97675506407674</c:v>
                </c:pt>
                <c:pt idx="766">
                  <c:v>7.97811463519671</c:v>
                </c:pt>
                <c:pt idx="767">
                  <c:v>7.97954885832975</c:v>
                </c:pt>
                <c:pt idx="768">
                  <c:v>7.98102184369188</c:v>
                </c:pt>
                <c:pt idx="769">
                  <c:v>7.98250399768631</c:v>
                </c:pt>
                <c:pt idx="770">
                  <c:v>7.9839712752623</c:v>
                </c:pt>
                <c:pt idx="771">
                  <c:v>7.98540447724895</c:v>
                </c:pt>
                <c:pt idx="772">
                  <c:v>7.98678860184313</c:v>
                </c:pt>
                <c:pt idx="773">
                  <c:v>7.98811225440642</c:v>
                </c:pt>
                <c:pt idx="774">
                  <c:v>7.989367116245</c:v>
                </c:pt>
                <c:pt idx="775">
                  <c:v>7.99054747073955</c:v>
                </c:pt>
                <c:pt idx="776">
                  <c:v>7.99164978375576</c:v>
                </c:pt>
                <c:pt idx="777">
                  <c:v>7.99267233445277</c:v>
                </c:pt>
                <c:pt idx="778">
                  <c:v>7.99361489223164</c:v>
                </c:pt>
                <c:pt idx="779">
                  <c:v>7.9944784354831</c:v>
                </c:pt>
                <c:pt idx="780">
                  <c:v>7.99526490790271</c:v>
                </c:pt>
                <c:pt idx="781">
                  <c:v>7.99597700836383</c:v>
                </c:pt>
                <c:pt idx="782">
                  <c:v>7.99661801062625</c:v>
                </c:pt>
                <c:pt idx="783">
                  <c:v>7.99719160947116</c:v>
                </c:pt>
                <c:pt idx="784">
                  <c:v>7.99770179017201</c:v>
                </c:pt>
                <c:pt idx="785">
                  <c:v>7.99815271851758</c:v>
                </c:pt>
                <c:pt idx="786">
                  <c:v>7.99854864889247</c:v>
                </c:pt>
                <c:pt idx="787">
                  <c:v>7.9988938481865</c:v>
                </c:pt>
                <c:pt idx="788">
                  <c:v>7.99919253354442</c:v>
                </c:pt>
                <c:pt idx="789">
                  <c:v>7.99944882218423</c:v>
                </c:pt>
                <c:pt idx="790">
                  <c:v>7.9996666917066</c:v>
                </c:pt>
                <c:pt idx="791">
                  <c:v>7.99984994948966</c:v>
                </c:pt>
                <c:pt idx="792">
                  <c:v>8.00000220991772</c:v>
                </c:pt>
                <c:pt idx="793">
                  <c:v>8.00012687832908</c:v>
                </c:pt>
                <c:pt idx="794">
                  <c:v>8.00022714069015</c:v>
                </c:pt>
                <c:pt idx="795">
                  <c:v>8.00030595811345</c:v>
                </c:pt>
                <c:pt idx="796">
                  <c:v>8.00036606543455</c:v>
                </c:pt>
                <c:pt idx="797">
                  <c:v>8.00040997315188</c:v>
                </c:pt>
                <c:pt idx="798">
                  <c:v>8.00043997211382</c:v>
                </c:pt>
                <c:pt idx="799">
                  <c:v>8.00045814041008</c:v>
                </c:pt>
                <c:pt idx="800">
                  <c:v>8.00046635199007</c:v>
                </c:pt>
                <c:pt idx="801">
                  <c:v>7.97931543428527</c:v>
                </c:pt>
                <c:pt idx="802">
                  <c:v>7.85139843658346</c:v>
                </c:pt>
                <c:pt idx="803">
                  <c:v>7.68544745296766</c:v>
                </c:pt>
                <c:pt idx="804">
                  <c:v>7.46717082163152</c:v>
                </c:pt>
                <c:pt idx="805">
                  <c:v>7.18629255057154</c:v>
                </c:pt>
                <c:pt idx="806">
                  <c:v>6.91304204086953</c:v>
                </c:pt>
                <c:pt idx="807">
                  <c:v>6.76040372052069</c:v>
                </c:pt>
                <c:pt idx="808">
                  <c:v>6.6935222096858</c:v>
                </c:pt>
                <c:pt idx="809">
                  <c:v>6.6631964523769</c:v>
                </c:pt>
                <c:pt idx="810">
                  <c:v>6.655230489484</c:v>
                </c:pt>
                <c:pt idx="811">
                  <c:v>6.66158156185179</c:v>
                </c:pt>
                <c:pt idx="812">
                  <c:v>6.67676359341905</c:v>
                </c:pt>
                <c:pt idx="813">
                  <c:v>6.69736976343895</c:v>
                </c:pt>
                <c:pt idx="814">
                  <c:v>6.72094493833063</c:v>
                </c:pt>
                <c:pt idx="815">
                  <c:v>6.74569386783477</c:v>
                </c:pt>
                <c:pt idx="816">
                  <c:v>6.77034424857363</c:v>
                </c:pt>
                <c:pt idx="817">
                  <c:v>6.79403690380761</c:v>
                </c:pt>
                <c:pt idx="818">
                  <c:v>6.81624264433021</c:v>
                </c:pt>
                <c:pt idx="819">
                  <c:v>6.83668325774471</c:v>
                </c:pt>
                <c:pt idx="820">
                  <c:v>6.855258667549</c:v>
                </c:pt>
                <c:pt idx="821">
                  <c:v>6.87198612136951</c:v>
                </c:pt>
                <c:pt idx="822">
                  <c:v>6.88695356322597</c:v>
                </c:pt>
                <c:pt idx="823">
                  <c:v>6.90028661087229</c:v>
                </c:pt>
                <c:pt idx="824">
                  <c:v>6.9121267872822</c:v>
                </c:pt>
                <c:pt idx="825">
                  <c:v>6.92261811007652</c:v>
                </c:pt>
                <c:pt idx="826">
                  <c:v>6.93189942341633</c:v>
                </c:pt>
                <c:pt idx="827">
                  <c:v>6.9401004377484</c:v>
                </c:pt>
                <c:pt idx="828">
                  <c:v>6.94734003694627</c:v>
                </c:pt>
                <c:pt idx="829">
                  <c:v>6.95372589947381</c:v>
                </c:pt>
                <c:pt idx="830">
                  <c:v>6.95935483429546</c:v>
                </c:pt>
                <c:pt idx="831">
                  <c:v>6.9643134709974</c:v>
                </c:pt>
                <c:pt idx="832">
                  <c:v>6.96867909617918</c:v>
                </c:pt>
                <c:pt idx="833">
                  <c:v>6.9725205216897</c:v>
                </c:pt>
                <c:pt idx="834">
                  <c:v>6.97589892552905</c:v>
                </c:pt>
                <c:pt idx="835">
                  <c:v>6.97886863774245</c:v>
                </c:pt>
                <c:pt idx="836">
                  <c:v>6.98147786088717</c:v>
                </c:pt>
                <c:pt idx="837">
                  <c:v>6.98376932363818</c:v>
                </c:pt>
                <c:pt idx="838">
                  <c:v>6.98578087043031</c:v>
                </c:pt>
                <c:pt idx="839">
                  <c:v>6.98754599184249</c:v>
                </c:pt>
                <c:pt idx="840">
                  <c:v>6.98909430094726</c:v>
                </c:pt>
                <c:pt idx="841">
                  <c:v>6.99045196074301</c:v>
                </c:pt>
                <c:pt idx="842">
                  <c:v>6.99164206742006</c:v>
                </c:pt>
                <c:pt idx="843">
                  <c:v>6.99268499377612</c:v>
                </c:pt>
                <c:pt idx="844">
                  <c:v>6.9935986966619</c:v>
                </c:pt>
                <c:pt idx="845">
                  <c:v>6.99439899194902</c:v>
                </c:pt>
                <c:pt idx="846">
                  <c:v>6.99509980017101</c:v>
                </c:pt>
                <c:pt idx="847">
                  <c:v>6.99571336569057</c:v>
                </c:pt>
                <c:pt idx="848">
                  <c:v>6.99625045198652</c:v>
                </c:pt>
                <c:pt idx="849">
                  <c:v>6.99672051542663</c:v>
                </c:pt>
                <c:pt idx="850">
                  <c:v>6.99713185968283</c:v>
                </c:pt>
                <c:pt idx="851">
                  <c:v>6.99749177276287</c:v>
                </c:pt>
                <c:pt idx="852">
                  <c:v>6.99780664845427</c:v>
                </c:pt>
                <c:pt idx="853">
                  <c:v>6.99808209382002</c:v>
                </c:pt>
                <c:pt idx="854">
                  <c:v>6.9983230242366</c:v>
                </c:pt>
                <c:pt idx="855">
                  <c:v>6.99853374732361</c:v>
                </c:pt>
                <c:pt idx="856">
                  <c:v>6.99871803698824</c:v>
                </c:pt>
                <c:pt idx="857">
                  <c:v>6.99887919868726</c:v>
                </c:pt>
                <c:pt idx="858">
                  <c:v>6.99902012689645</c:v>
                </c:pt>
                <c:pt idx="859">
                  <c:v>6.99914335567922</c:v>
                </c:pt>
                <c:pt idx="860">
                  <c:v>6.99925110315052</c:v>
                </c:pt>
                <c:pt idx="861">
                  <c:v>6.99934531054747</c:v>
                </c:pt>
                <c:pt idx="862">
                  <c:v>6.99942767654074</c:v>
                </c:pt>
                <c:pt idx="863">
                  <c:v>6.9994996873498</c:v>
                </c:pt>
                <c:pt idx="864">
                  <c:v>6.99956264316375</c:v>
                </c:pt>
                <c:pt idx="865">
                  <c:v>6.99961768131107</c:v>
                </c:pt>
                <c:pt idx="866">
                  <c:v>6.99966579656878</c:v>
                </c:pt>
                <c:pt idx="867">
                  <c:v>6.9997078589607</c:v>
                </c:pt>
                <c:pt idx="868">
                  <c:v>6.99974462934908</c:v>
                </c:pt>
                <c:pt idx="869">
                  <c:v>6.99977677308997</c:v>
                </c:pt>
                <c:pt idx="870">
                  <c:v>6.99980487198998</c:v>
                </c:pt>
                <c:pt idx="871">
                  <c:v>6.99982943477254</c:v>
                </c:pt>
                <c:pt idx="872">
                  <c:v>6.99985090624024</c:v>
                </c:pt>
                <c:pt idx="873">
                  <c:v>6.99986967529209</c:v>
                </c:pt>
                <c:pt idx="874">
                  <c:v>6.99988608193808</c:v>
                </c:pt>
                <c:pt idx="875">
                  <c:v>6.999900423437</c:v>
                </c:pt>
                <c:pt idx="876">
                  <c:v>6.9999129596654</c:v>
                </c:pt>
                <c:pt idx="877">
                  <c:v>6.99992391781285</c:v>
                </c:pt>
                <c:pt idx="878">
                  <c:v>6.99993349649001</c:v>
                </c:pt>
                <c:pt idx="879">
                  <c:v>6.99994186932107</c:v>
                </c:pt>
                <c:pt idx="880">
                  <c:v>6.99994918808466</c:v>
                </c:pt>
                <c:pt idx="881">
                  <c:v>6.99995558546071</c:v>
                </c:pt>
                <c:pt idx="882">
                  <c:v>6.99996117743267</c:v>
                </c:pt>
                <c:pt idx="883">
                  <c:v>6.99996606538696</c:v>
                </c:pt>
                <c:pt idx="884">
                  <c:v>6.9999703379498</c:v>
                </c:pt>
                <c:pt idx="885">
                  <c:v>6.99997407259256</c:v>
                </c:pt>
                <c:pt idx="886">
                  <c:v>6.99997733703497</c:v>
                </c:pt>
                <c:pt idx="887">
                  <c:v>6.99998019047276</c:v>
                </c:pt>
                <c:pt idx="888">
                  <c:v>6.99998268465043</c:v>
                </c:pt>
                <c:pt idx="889">
                  <c:v>6.9999848647979</c:v>
                </c:pt>
                <c:pt idx="890">
                  <c:v>6.99998677045162</c:v>
                </c:pt>
                <c:pt idx="891">
                  <c:v>6.99998843617095</c:v>
                </c:pt>
                <c:pt idx="892">
                  <c:v>6.99998989216445</c:v>
                </c:pt>
                <c:pt idx="893">
                  <c:v>6.99999116483735</c:v>
                </c:pt>
                <c:pt idx="894">
                  <c:v>6.99999227727039</c:v>
                </c:pt>
                <c:pt idx="895">
                  <c:v>6.9999932496386</c:v>
                </c:pt>
                <c:pt idx="896">
                  <c:v>6.99999409957696</c:v>
                </c:pt>
                <c:pt idx="897">
                  <c:v>6.99999484250029</c:v>
                </c:pt>
                <c:pt idx="898">
                  <c:v>6.99999549188276</c:v>
                </c:pt>
                <c:pt idx="899">
                  <c:v>6.99999605950171</c:v>
                </c:pt>
                <c:pt idx="900">
                  <c:v>6.99999655565178</c:v>
                </c:pt>
                <c:pt idx="901">
                  <c:v>6.99999698933141</c:v>
                </c:pt>
                <c:pt idx="902">
                  <c:v>6.99999736840652</c:v>
                </c:pt>
                <c:pt idx="903">
                  <c:v>6.99999769975223</c:v>
                </c:pt>
                <c:pt idx="904">
                  <c:v>6.99999798937821</c:v>
                </c:pt>
                <c:pt idx="905">
                  <c:v>6.99999824253714</c:v>
                </c:pt>
                <c:pt idx="906">
                  <c:v>6.99999846382075</c:v>
                </c:pt>
                <c:pt idx="907">
                  <c:v>6.99999865724248</c:v>
                </c:pt>
                <c:pt idx="908">
                  <c:v>6.99999882631041</c:v>
                </c:pt>
                <c:pt idx="909">
                  <c:v>6.9999989740909</c:v>
                </c:pt>
                <c:pt idx="910">
                  <c:v>6.9999991032641</c:v>
                </c:pt>
                <c:pt idx="911">
                  <c:v>6.99999921617307</c:v>
                </c:pt>
                <c:pt idx="912">
                  <c:v>6.99999931486557</c:v>
                </c:pt>
                <c:pt idx="913">
                  <c:v>6.99999940113165</c:v>
                </c:pt>
                <c:pt idx="914">
                  <c:v>6.99999947653582</c:v>
                </c:pt>
                <c:pt idx="915">
                  <c:v>6.99999954244576</c:v>
                </c:pt>
                <c:pt idx="916">
                  <c:v>6.99999960005693</c:v>
                </c:pt>
                <c:pt idx="917">
                  <c:v>6.99999965041434</c:v>
                </c:pt>
                <c:pt idx="918">
                  <c:v>6.99999969443121</c:v>
                </c:pt>
                <c:pt idx="919">
                  <c:v>6.99999973290602</c:v>
                </c:pt>
                <c:pt idx="920">
                  <c:v>6.99999976653642</c:v>
                </c:pt>
                <c:pt idx="921">
                  <c:v>6.99999979593219</c:v>
                </c:pt>
                <c:pt idx="922">
                  <c:v>6.9999998216267</c:v>
                </c:pt>
                <c:pt idx="923">
                  <c:v>6.99999984408582</c:v>
                </c:pt>
                <c:pt idx="924">
                  <c:v>6.99999986371713</c:v>
                </c:pt>
                <c:pt idx="925">
                  <c:v>6.99999988087665</c:v>
                </c:pt>
                <c:pt idx="926">
                  <c:v>6.99999989587552</c:v>
                </c:pt>
                <c:pt idx="927">
                  <c:v>6.99999990898597</c:v>
                </c:pt>
                <c:pt idx="928">
                  <c:v>6.99999992044573</c:v>
                </c:pt>
                <c:pt idx="929">
                  <c:v>6.99999993046253</c:v>
                </c:pt>
                <c:pt idx="930">
                  <c:v>6.99999993921812</c:v>
                </c:pt>
                <c:pt idx="931">
                  <c:v>6.9999999468713</c:v>
                </c:pt>
                <c:pt idx="932">
                  <c:v>6.99999995356103</c:v>
                </c:pt>
                <c:pt idx="933">
                  <c:v>6.99999995940841</c:v>
                </c:pt>
                <c:pt idx="934">
                  <c:v>6.99999996451955</c:v>
                </c:pt>
                <c:pt idx="935">
                  <c:v>6.99999996898704</c:v>
                </c:pt>
                <c:pt idx="936">
                  <c:v>6.99999997289201</c:v>
                </c:pt>
                <c:pt idx="937">
                  <c:v>6.99999997630531</c:v>
                </c:pt>
                <c:pt idx="938">
                  <c:v>6.99999997928884</c:v>
                </c:pt>
                <c:pt idx="939">
                  <c:v>6.99999998189674</c:v>
                </c:pt>
                <c:pt idx="940">
                  <c:v>6.99999998417621</c:v>
                </c:pt>
                <c:pt idx="941">
                  <c:v>6.99999998616861</c:v>
                </c:pt>
                <c:pt idx="942">
                  <c:v>6.99999998791017</c:v>
                </c:pt>
                <c:pt idx="943">
                  <c:v>6.99999998943257</c:v>
                </c:pt>
                <c:pt idx="944">
                  <c:v>6.99999999076317</c:v>
                </c:pt>
                <c:pt idx="945">
                  <c:v>6.99999999192632</c:v>
                </c:pt>
                <c:pt idx="946">
                  <c:v>6.99999999294276</c:v>
                </c:pt>
                <c:pt idx="947">
                  <c:v>6.99999999383105</c:v>
                </c:pt>
                <c:pt idx="948">
                  <c:v>6.99999999460758</c:v>
                </c:pt>
                <c:pt idx="949">
                  <c:v>6.9999999952865</c:v>
                </c:pt>
                <c:pt idx="950">
                  <c:v>6.99999999587976</c:v>
                </c:pt>
                <c:pt idx="951">
                  <c:v>6.99999999639825</c:v>
                </c:pt>
                <c:pt idx="952">
                  <c:v>6.99999999685159</c:v>
                </c:pt>
                <c:pt idx="953">
                  <c:v>6.99999999724803</c:v>
                </c:pt>
                <c:pt idx="954">
                  <c:v>6.99999999759434</c:v>
                </c:pt>
                <c:pt idx="955">
                  <c:v>6.99999999789705</c:v>
                </c:pt>
                <c:pt idx="956">
                  <c:v>6.99999999816166</c:v>
                </c:pt>
                <c:pt idx="957">
                  <c:v>6.99999999839283</c:v>
                </c:pt>
                <c:pt idx="958">
                  <c:v>6.99999999859481</c:v>
                </c:pt>
                <c:pt idx="959">
                  <c:v>6.99999999877148</c:v>
                </c:pt>
                <c:pt idx="960">
                  <c:v>6.99999999892617</c:v>
                </c:pt>
                <c:pt idx="961">
                  <c:v>6.99999999906137</c:v>
                </c:pt>
                <c:pt idx="962">
                  <c:v>6.99999999917957</c:v>
                </c:pt>
                <c:pt idx="963">
                  <c:v>6.99999999928293</c:v>
                </c:pt>
                <c:pt idx="964">
                  <c:v>6.99999999937312</c:v>
                </c:pt>
                <c:pt idx="965">
                  <c:v>6.99999999945209</c:v>
                </c:pt>
                <c:pt idx="966">
                  <c:v>6.99999999952099</c:v>
                </c:pt>
                <c:pt idx="967">
                  <c:v>6.99999999958147</c:v>
                </c:pt>
                <c:pt idx="968">
                  <c:v>6.99999999963447</c:v>
                </c:pt>
                <c:pt idx="969">
                  <c:v>6.99999999968068</c:v>
                </c:pt>
                <c:pt idx="970">
                  <c:v>6.99999999972078</c:v>
                </c:pt>
                <c:pt idx="971">
                  <c:v>6.9999999997559</c:v>
                </c:pt>
                <c:pt idx="972">
                  <c:v>6.99999999978681</c:v>
                </c:pt>
                <c:pt idx="973">
                  <c:v>6.99999999981397</c:v>
                </c:pt>
                <c:pt idx="974">
                  <c:v>6.99999999983763</c:v>
                </c:pt>
                <c:pt idx="975">
                  <c:v>6.99999999985817</c:v>
                </c:pt>
                <c:pt idx="976">
                  <c:v>6.99999999987597</c:v>
                </c:pt>
                <c:pt idx="977">
                  <c:v>6.99999999989142</c:v>
                </c:pt>
                <c:pt idx="978">
                  <c:v>6.99999999990511</c:v>
                </c:pt>
                <c:pt idx="979">
                  <c:v>6.99999999991701</c:v>
                </c:pt>
                <c:pt idx="980">
                  <c:v>6.99999999992724</c:v>
                </c:pt>
                <c:pt idx="981">
                  <c:v>6.99999999993645</c:v>
                </c:pt>
                <c:pt idx="982">
                  <c:v>6.99999999994481</c:v>
                </c:pt>
                <c:pt idx="983">
                  <c:v>6.99999999995239</c:v>
                </c:pt>
                <c:pt idx="984">
                  <c:v>6.99999999995881</c:v>
                </c:pt>
                <c:pt idx="985">
                  <c:v>6.9999999999639</c:v>
                </c:pt>
                <c:pt idx="986">
                  <c:v>6.99999999996848</c:v>
                </c:pt>
                <c:pt idx="987">
                  <c:v>6.99999999997263</c:v>
                </c:pt>
                <c:pt idx="988">
                  <c:v>6.9999999999764</c:v>
                </c:pt>
                <c:pt idx="989">
                  <c:v>6.99999999997982</c:v>
                </c:pt>
                <c:pt idx="990">
                  <c:v>6.99999999998292</c:v>
                </c:pt>
                <c:pt idx="991">
                  <c:v>6.99999999998574</c:v>
                </c:pt>
                <c:pt idx="992">
                  <c:v>6.99999999998829</c:v>
                </c:pt>
                <c:pt idx="993">
                  <c:v>6.9999999999906</c:v>
                </c:pt>
                <c:pt idx="994">
                  <c:v>6.9999999999927</c:v>
                </c:pt>
                <c:pt idx="995">
                  <c:v>6.99999999999461</c:v>
                </c:pt>
                <c:pt idx="996">
                  <c:v>6.99999999999634</c:v>
                </c:pt>
                <c:pt idx="997">
                  <c:v>6.9999999999979</c:v>
                </c:pt>
                <c:pt idx="998">
                  <c:v>6.99999999999933</c:v>
                </c:pt>
                <c:pt idx="999">
                  <c:v>7.00000000000062</c:v>
                </c:pt>
                <c:pt idx="1000">
                  <c:v>7.00000000000161</c:v>
                </c:pt>
                <c:pt idx="1001">
                  <c:v>6.92108285752609</c:v>
                </c:pt>
                <c:pt idx="1002">
                  <c:v>6.58569355253509</c:v>
                </c:pt>
                <c:pt idx="1003">
                  <c:v>6.44456138913473</c:v>
                </c:pt>
                <c:pt idx="1004">
                  <c:v>6.35772883985773</c:v>
                </c:pt>
                <c:pt idx="1005">
                  <c:v>6.29296067958315</c:v>
                </c:pt>
                <c:pt idx="1006">
                  <c:v>6.24613157261217</c:v>
                </c:pt>
                <c:pt idx="1007">
                  <c:v>6.21002201653995</c:v>
                </c:pt>
                <c:pt idx="1008">
                  <c:v>6.18137673606096</c:v>
                </c:pt>
                <c:pt idx="1009">
                  <c:v>6.15814402291489</c:v>
                </c:pt>
                <c:pt idx="1010">
                  <c:v>6.13895542873736</c:v>
                </c:pt>
                <c:pt idx="1011">
                  <c:v>6.12287885403273</c:v>
                </c:pt>
                <c:pt idx="1012">
                  <c:v>6.10924966302291</c:v>
                </c:pt>
                <c:pt idx="1013">
                  <c:v>6.09758069599513</c:v>
                </c:pt>
                <c:pt idx="1014">
                  <c:v>6.08750592973793</c:v>
                </c:pt>
                <c:pt idx="1015">
                  <c:v>6.07874457659625</c:v>
                </c:pt>
                <c:pt idx="1016">
                  <c:v>6.07107741810722</c:v>
                </c:pt>
                <c:pt idx="1017">
                  <c:v>6.06433069178856</c:v>
                </c:pt>
                <c:pt idx="1018">
                  <c:v>6.05836484072912</c:v>
                </c:pt>
                <c:pt idx="1019">
                  <c:v>6.05306647859029</c:v>
                </c:pt>
                <c:pt idx="1020">
                  <c:v>6.04834253617033</c:v>
                </c:pt>
                <c:pt idx="1021">
                  <c:v>6.04411592192677</c:v>
                </c:pt>
                <c:pt idx="1022">
                  <c:v>6.040322254436</c:v>
                </c:pt>
                <c:pt idx="1023">
                  <c:v>6.03690736758093</c:v>
                </c:pt>
                <c:pt idx="1024">
                  <c:v>6.03382538183863</c:v>
                </c:pt>
                <c:pt idx="1025">
                  <c:v>6.03103719637402</c:v>
                </c:pt>
                <c:pt idx="1026">
                  <c:v>6.02850929808878</c:v>
                </c:pt>
                <c:pt idx="1027">
                  <c:v>6.02621281228018</c:v>
                </c:pt>
                <c:pt idx="1028">
                  <c:v>6.02412273949669</c:v>
                </c:pt>
                <c:pt idx="1029">
                  <c:v>6.02221733732335</c:v>
                </c:pt>
                <c:pt idx="1030">
                  <c:v>6.02047761601135</c:v>
                </c:pt>
                <c:pt idx="1031">
                  <c:v>6.01888692428669</c:v>
                </c:pt>
                <c:pt idx="1032">
                  <c:v>6.01743060714586</c:v>
                </c:pt>
                <c:pt idx="1033">
                  <c:v>6.01609572152749</c:v>
                </c:pt>
                <c:pt idx="1034">
                  <c:v>6.01487079882273</c:v>
                </c:pt>
                <c:pt idx="1035">
                  <c:v>6.01374564552493</c:v>
                </c:pt>
                <c:pt idx="1036">
                  <c:v>6.01271117511244</c:v>
                </c:pt>
                <c:pt idx="1037">
                  <c:v>6.01175926564508</c:v>
                </c:pt>
                <c:pt idx="1038">
                  <c:v>6.01088263863643</c:v>
                </c:pt>
                <c:pt idx="1039">
                  <c:v>6.0100747556119</c:v>
                </c:pt>
                <c:pt idx="1040">
                  <c:v>6.00932972943404</c:v>
                </c:pt>
                <c:pt idx="1041">
                  <c:v>6.00864224800904</c:v>
                </c:pt>
                <c:pt idx="1042">
                  <c:v>6.00800750841618</c:v>
                </c:pt>
                <c:pt idx="1043">
                  <c:v>6.00742115984387</c:v>
                </c:pt>
                <c:pt idx="1044">
                  <c:v>6.00687925399391</c:v>
                </c:pt>
                <c:pt idx="1045">
                  <c:v>6.0063782018413</c:v>
                </c:pt>
                <c:pt idx="1046">
                  <c:v>6.00591473582033</c:v>
                </c:pt>
                <c:pt idx="1047">
                  <c:v>6.00548587665865</c:v>
                </c:pt>
                <c:pt idx="1048">
                  <c:v>6.00508890420515</c:v>
                </c:pt>
                <c:pt idx="1049">
                  <c:v>6.00472133169991</c:v>
                </c:pt>
                <c:pt idx="1050">
                  <c:v>6.00438088301957</c:v>
                </c:pt>
                <c:pt idx="1051">
                  <c:v>6.00406547250186</c:v>
                </c:pt>
                <c:pt idx="1052">
                  <c:v>6.00377318701238</c:v>
                </c:pt>
                <c:pt idx="1053">
                  <c:v>6.00350226996582</c:v>
                </c:pt>
                <c:pt idx="1054">
                  <c:v>6.00325110705568</c:v>
                </c:pt>
                <c:pt idx="1055">
                  <c:v>6.00301821348094</c:v>
                </c:pt>
                <c:pt idx="1056">
                  <c:v>6.00280222248836</c:v>
                </c:pt>
                <c:pt idx="1057">
                  <c:v>6.00260187507315</c:v>
                </c:pt>
                <c:pt idx="1058">
                  <c:v>6.00241601070281</c:v>
                </c:pt>
                <c:pt idx="1059">
                  <c:v>6.00224355894639</c:v>
                </c:pt>
                <c:pt idx="1060">
                  <c:v>6.0020835319072</c:v>
                </c:pt>
                <c:pt idx="1061">
                  <c:v>6.00193501736987</c:v>
                </c:pt>
                <c:pt idx="1062">
                  <c:v>6.00179717258421</c:v>
                </c:pt>
                <c:pt idx="1063">
                  <c:v>6.00166921861761</c:v>
                </c:pt>
                <c:pt idx="1064">
                  <c:v>6.00155043521663</c:v>
                </c:pt>
                <c:pt idx="1065">
                  <c:v>6.00144015612491</c:v>
                </c:pt>
                <c:pt idx="1066">
                  <c:v>6.00133776481147</c:v>
                </c:pt>
                <c:pt idx="1067">
                  <c:v>6.00124269056845</c:v>
                </c:pt>
                <c:pt idx="1068">
                  <c:v>6.00115440494199</c:v>
                </c:pt>
                <c:pt idx="1069">
                  <c:v>6.00107241846428</c:v>
                </c:pt>
                <c:pt idx="1070">
                  <c:v>6.00099627765823</c:v>
                </c:pt>
                <c:pt idx="1071">
                  <c:v>6.00092556228912</c:v>
                </c:pt>
                <c:pt idx="1072">
                  <c:v>6.00085988284075</c:v>
                </c:pt>
                <c:pt idx="1073">
                  <c:v>6.00079887819556</c:v>
                </c:pt>
                <c:pt idx="1074">
                  <c:v>6.00074221350078</c:v>
                </c:pt>
                <c:pt idx="1075">
                  <c:v>6.00068957820394</c:v>
                </c:pt>
                <c:pt idx="1076">
                  <c:v>6.00064068424315</c:v>
                </c:pt>
                <c:pt idx="1077">
                  <c:v>6.00059526437883</c:v>
                </c:pt>
                <c:pt idx="1078">
                  <c:v>6.0005530706548</c:v>
                </c:pt>
                <c:pt idx="1079">
                  <c:v>6.00051387297819</c:v>
                </c:pt>
                <c:pt idx="1080">
                  <c:v>6.00047745780799</c:v>
                </c:pt>
                <c:pt idx="1081">
                  <c:v>6.00044362694338</c:v>
                </c:pt>
                <c:pt idx="1082">
                  <c:v>6.00041219640407</c:v>
                </c:pt>
                <c:pt idx="1083">
                  <c:v>6.00038299539461</c:v>
                </c:pt>
                <c:pt idx="1084">
                  <c:v>6.00035586534665</c:v>
                </c:pt>
                <c:pt idx="1085">
                  <c:v>6.00033065903259</c:v>
                </c:pt>
                <c:pt idx="1086">
                  <c:v>6.00030723974493</c:v>
                </c:pt>
                <c:pt idx="1087">
                  <c:v>6.00028548053678</c:v>
                </c:pt>
                <c:pt idx="1088">
                  <c:v>6.00026526351797</c:v>
                </c:pt>
                <c:pt idx="1089">
                  <c:v>6.00024647920312</c:v>
                </c:pt>
                <c:pt idx="1090">
                  <c:v>6.0002290259075</c:v>
                </c:pt>
                <c:pt idx="1091">
                  <c:v>6.00021280918715</c:v>
                </c:pt>
                <c:pt idx="1092">
                  <c:v>6.0001977413195</c:v>
                </c:pt>
                <c:pt idx="1093">
                  <c:v>6.00018374082215</c:v>
                </c:pt>
                <c:pt idx="1094">
                  <c:v>6.00017073200629</c:v>
                </c:pt>
                <c:pt idx="1095">
                  <c:v>6.00015864456254</c:v>
                </c:pt>
                <c:pt idx="1096">
                  <c:v>6.00014741317683</c:v>
                </c:pt>
                <c:pt idx="1097">
                  <c:v>6.00013697717384</c:v>
                </c:pt>
                <c:pt idx="1098">
                  <c:v>6.0001272801863</c:v>
                </c:pt>
                <c:pt idx="1099">
                  <c:v>6.00011826984789</c:v>
                </c:pt>
                <c:pt idx="1100">
                  <c:v>6.00010989750819</c:v>
                </c:pt>
                <c:pt idx="1101">
                  <c:v>6.00010211796828</c:v>
                </c:pt>
                <c:pt idx="1102">
                  <c:v>6.00009488923515</c:v>
                </c:pt>
                <c:pt idx="1103">
                  <c:v>6.00008817229375</c:v>
                </c:pt>
                <c:pt idx="1104">
                  <c:v>6.00008193089528</c:v>
                </c:pt>
                <c:pt idx="1105">
                  <c:v>6.00007613136064</c:v>
                </c:pt>
                <c:pt idx="1106">
                  <c:v>6.00007074239781</c:v>
                </c:pt>
                <c:pt idx="1107">
                  <c:v>6.00006573493257</c:v>
                </c:pt>
                <c:pt idx="1108">
                  <c:v>6.00006108195086</c:v>
                </c:pt>
                <c:pt idx="1109">
                  <c:v>6.00005675835267</c:v>
                </c:pt>
                <c:pt idx="1110">
                  <c:v>6.00005274081615</c:v>
                </c:pt>
                <c:pt idx="1111">
                  <c:v>6.00004900767166</c:v>
                </c:pt>
                <c:pt idx="1112">
                  <c:v>6.00004553878439</c:v>
                </c:pt>
                <c:pt idx="1113">
                  <c:v>6.00004231544566</c:v>
                </c:pt>
                <c:pt idx="1114">
                  <c:v>6.00003932027182</c:v>
                </c:pt>
                <c:pt idx="1115">
                  <c:v>6.00003653711029</c:v>
                </c:pt>
                <c:pt idx="1116">
                  <c:v>6.00003395095226</c:v>
                </c:pt>
                <c:pt idx="1117">
                  <c:v>6.00003154785177</c:v>
                </c:pt>
                <c:pt idx="1118">
                  <c:v>6.0000293148503</c:v>
                </c:pt>
                <c:pt idx="1119">
                  <c:v>6.00002723990685</c:v>
                </c:pt>
                <c:pt idx="1120">
                  <c:v>6.00002531183297</c:v>
                </c:pt>
                <c:pt idx="1121">
                  <c:v>6.0000235202323</c:v>
                </c:pt>
                <c:pt idx="1122">
                  <c:v>6.00002185544452</c:v>
                </c:pt>
                <c:pt idx="1123">
                  <c:v>6.00002030849321</c:v>
                </c:pt>
                <c:pt idx="1124">
                  <c:v>6.00001887103745</c:v>
                </c:pt>
                <c:pt idx="1125">
                  <c:v>6.00001753532673</c:v>
                </c:pt>
                <c:pt idx="1126">
                  <c:v>6.00001629415921</c:v>
                </c:pt>
                <c:pt idx="1127">
                  <c:v>6.00001514084289</c:v>
                </c:pt>
                <c:pt idx="1128">
                  <c:v>6.00001406915942</c:v>
                </c:pt>
                <c:pt idx="1129">
                  <c:v>6.0000130733307</c:v>
                </c:pt>
                <c:pt idx="1130">
                  <c:v>6.00001214798761</c:v>
                </c:pt>
                <c:pt idx="1131">
                  <c:v>6.00001128814106</c:v>
                </c:pt>
                <c:pt idx="1132">
                  <c:v>6.0000104891551</c:v>
                </c:pt>
                <c:pt idx="1133">
                  <c:v>6.00000974672199</c:v>
                </c:pt>
                <c:pt idx="1134">
                  <c:v>6.00000905683884</c:v>
                </c:pt>
                <c:pt idx="1135">
                  <c:v>6.00000841578612</c:v>
                </c:pt>
                <c:pt idx="1136">
                  <c:v>6.00000782010759</c:v>
                </c:pt>
                <c:pt idx="1137">
                  <c:v>6.00000726659165</c:v>
                </c:pt>
                <c:pt idx="1138">
                  <c:v>6.00000675225399</c:v>
                </c:pt>
                <c:pt idx="1139">
                  <c:v>6.00000627432151</c:v>
                </c:pt>
                <c:pt idx="1140">
                  <c:v>6.00000583021748</c:v>
                </c:pt>
                <c:pt idx="1141">
                  <c:v>6.00000541754751</c:v>
                </c:pt>
                <c:pt idx="1142">
                  <c:v>6.00000503408668</c:v>
                </c:pt>
                <c:pt idx="1143">
                  <c:v>6.00000467776753</c:v>
                </c:pt>
                <c:pt idx="1144">
                  <c:v>6.00000434666895</c:v>
                </c:pt>
                <c:pt idx="1145">
                  <c:v>6.00000403900586</c:v>
                </c:pt>
                <c:pt idx="1146">
                  <c:v>6.00000375311944</c:v>
                </c:pt>
                <c:pt idx="1147">
                  <c:v>6.00000348746835</c:v>
                </c:pt>
                <c:pt idx="1148">
                  <c:v>6.00000324062033</c:v>
                </c:pt>
                <c:pt idx="1149">
                  <c:v>6.00000301124447</c:v>
                </c:pt>
                <c:pt idx="1150">
                  <c:v>6.00000279810411</c:v>
                </c:pt>
                <c:pt idx="1151">
                  <c:v>6.00000260005005</c:v>
                </c:pt>
                <c:pt idx="1152">
                  <c:v>6.00000241601452</c:v>
                </c:pt>
                <c:pt idx="1153">
                  <c:v>6.00000224500525</c:v>
                </c:pt>
                <c:pt idx="1154">
                  <c:v>6.00000208610022</c:v>
                </c:pt>
                <c:pt idx="1155">
                  <c:v>6.00000193844269</c:v>
                </c:pt>
                <c:pt idx="1156">
                  <c:v>6.00000180123658</c:v>
                </c:pt>
                <c:pt idx="1157">
                  <c:v>6.0000016737421</c:v>
                </c:pt>
                <c:pt idx="1158">
                  <c:v>6.00000155527185</c:v>
                </c:pt>
                <c:pt idx="1159">
                  <c:v>6.00000144518709</c:v>
                </c:pt>
                <c:pt idx="1160">
                  <c:v>6.00000134289429</c:v>
                </c:pt>
                <c:pt idx="1161">
                  <c:v>6.00000124784197</c:v>
                </c:pt>
                <c:pt idx="1162">
                  <c:v>6.0000011595176</c:v>
                </c:pt>
                <c:pt idx="1163">
                  <c:v>6.00000107744498</c:v>
                </c:pt>
                <c:pt idx="1164">
                  <c:v>6.0000010011816</c:v>
                </c:pt>
                <c:pt idx="1165">
                  <c:v>6.00000093031626</c:v>
                </c:pt>
                <c:pt idx="1166">
                  <c:v>6.00000086446684</c:v>
                </c:pt>
                <c:pt idx="1167">
                  <c:v>6.00000080327833</c:v>
                </c:pt>
                <c:pt idx="1168">
                  <c:v>6.00000074642082</c:v>
                </c:pt>
                <c:pt idx="1169">
                  <c:v>6.00000069358778</c:v>
                </c:pt>
                <c:pt idx="1170">
                  <c:v>6.00000064449436</c:v>
                </c:pt>
                <c:pt idx="1171">
                  <c:v>6.00000059887581</c:v>
                </c:pt>
                <c:pt idx="1172">
                  <c:v>6.00000055648626</c:v>
                </c:pt>
                <c:pt idx="1173">
                  <c:v>6.00000051709707</c:v>
                </c:pt>
                <c:pt idx="1174">
                  <c:v>6.0000004804959</c:v>
                </c:pt>
                <c:pt idx="1175">
                  <c:v>6.00000044648543</c:v>
                </c:pt>
                <c:pt idx="1176">
                  <c:v>6.0000004148823</c:v>
                </c:pt>
                <c:pt idx="1177">
                  <c:v>6.0000003855161</c:v>
                </c:pt>
                <c:pt idx="1178">
                  <c:v>6.00000035822852</c:v>
                </c:pt>
                <c:pt idx="1179">
                  <c:v>6.00000033287243</c:v>
                </c:pt>
                <c:pt idx="1180">
                  <c:v>6.0000003093111</c:v>
                </c:pt>
                <c:pt idx="1181">
                  <c:v>6.00000028741746</c:v>
                </c:pt>
                <c:pt idx="1182">
                  <c:v>6.00000026707349</c:v>
                </c:pt>
                <c:pt idx="1183">
                  <c:v>6.00000024816954</c:v>
                </c:pt>
                <c:pt idx="1184">
                  <c:v>6.00000023060365</c:v>
                </c:pt>
                <c:pt idx="1185">
                  <c:v>6.00000021428113</c:v>
                </c:pt>
                <c:pt idx="1186">
                  <c:v>6.00000019911394</c:v>
                </c:pt>
                <c:pt idx="1187">
                  <c:v>6.00000018502028</c:v>
                </c:pt>
                <c:pt idx="1188">
                  <c:v>6.00000017192423</c:v>
                </c:pt>
                <c:pt idx="1189">
                  <c:v>6.00000015975514</c:v>
                </c:pt>
                <c:pt idx="1190">
                  <c:v>6.0000001484474</c:v>
                </c:pt>
                <c:pt idx="1191">
                  <c:v>6.00000013794006</c:v>
                </c:pt>
                <c:pt idx="1192">
                  <c:v>6.00000012817647</c:v>
                </c:pt>
                <c:pt idx="1193">
                  <c:v>6.00000011910396</c:v>
                </c:pt>
                <c:pt idx="1194">
                  <c:v>6.00000011067361</c:v>
                </c:pt>
                <c:pt idx="1195">
                  <c:v>6.00000010283996</c:v>
                </c:pt>
                <c:pt idx="1196">
                  <c:v>6.00000009556079</c:v>
                </c:pt>
                <c:pt idx="1197">
                  <c:v>6.00000008879685</c:v>
                </c:pt>
                <c:pt idx="1198">
                  <c:v>6.0000000825117</c:v>
                </c:pt>
                <c:pt idx="1199">
                  <c:v>6.00000007667143</c:v>
                </c:pt>
                <c:pt idx="1200">
                  <c:v>4.96276432450262</c:v>
                </c:pt>
                <c:pt idx="1201">
                  <c:v>4.23942860802425</c:v>
                </c:pt>
                <c:pt idx="1202">
                  <c:v>4.01953371212479</c:v>
                </c:pt>
                <c:pt idx="1203">
                  <c:v>3.87385553509378</c:v>
                </c:pt>
                <c:pt idx="1204">
                  <c:v>3.7781964927503</c:v>
                </c:pt>
                <c:pt idx="1205">
                  <c:v>3.71016475975206</c:v>
                </c:pt>
                <c:pt idx="1206">
                  <c:v>3.65983297770489</c:v>
                </c:pt>
                <c:pt idx="1207">
                  <c:v>3.62181887407743</c:v>
                </c:pt>
                <c:pt idx="1208">
                  <c:v>3.59289448673475</c:v>
                </c:pt>
                <c:pt idx="1209">
                  <c:v>3.57097767948258</c:v>
                </c:pt>
                <c:pt idx="1210">
                  <c:v>3.55465105061911</c:v>
                </c:pt>
                <c:pt idx="1211">
                  <c:v>3.54290930675801</c:v>
                </c:pt>
                <c:pt idx="1212">
                  <c:v>3.53501640441943</c:v>
                </c:pt>
                <c:pt idx="1213">
                  <c:v>3.53041989581983</c:v>
                </c:pt>
                <c:pt idx="1214">
                  <c:v>3.52869708689637</c:v>
                </c:pt>
                <c:pt idx="1215">
                  <c:v>3.52951985512352</c:v>
                </c:pt>
                <c:pt idx="1216">
                  <c:v>3.53263091202094</c:v>
                </c:pt>
                <c:pt idx="1217">
                  <c:v>3.53782735801442</c:v>
                </c:pt>
                <c:pt idx="1218">
                  <c:v>3.54494904122225</c:v>
                </c:pt>
                <c:pt idx="1219">
                  <c:v>3.55387017670665</c:v>
                </c:pt>
                <c:pt idx="1220">
                  <c:v>3.56449324053751</c:v>
                </c:pt>
                <c:pt idx="1221">
                  <c:v>3.57674449378668</c:v>
                </c:pt>
                <c:pt idx="1222">
                  <c:v>3.59057070638176</c:v>
                </c:pt>
                <c:pt idx="1223">
                  <c:v>3.60593679026618</c:v>
                </c:pt>
                <c:pt idx="1224">
                  <c:v>3.6228241447241</c:v>
                </c:pt>
                <c:pt idx="1225">
                  <c:v>3.64122958141365</c:v>
                </c:pt>
                <c:pt idx="1226">
                  <c:v>3.66116474332225</c:v>
                </c:pt>
                <c:pt idx="1227">
                  <c:v>3.68265596737966</c:v>
                </c:pt>
                <c:pt idx="1228">
                  <c:v>3.70574456948731</c:v>
                </c:pt>
                <c:pt idx="1229">
                  <c:v>3.73048755664928</c:v>
                </c:pt>
                <c:pt idx="1230">
                  <c:v>3.7569587965192</c:v>
                </c:pt>
                <c:pt idx="1231">
                  <c:v>3.78525070267745</c:v>
                </c:pt>
                <c:pt idx="1232">
                  <c:v>3.81547652729545</c:v>
                </c:pt>
                <c:pt idx="1233">
                  <c:v>3.84777339529679</c:v>
                </c:pt>
                <c:pt idx="1234">
                  <c:v>3.8823062709211</c:v>
                </c:pt>
                <c:pt idx="1235">
                  <c:v>3.91927312646148</c:v>
                </c:pt>
                <c:pt idx="1236">
                  <c:v>3.95891169577196</c:v>
                </c:pt>
                <c:pt idx="1237">
                  <c:v>4.00150836086764</c:v>
                </c:pt>
                <c:pt idx="1238">
                  <c:v>4.04740996966625</c:v>
                </c:pt>
                <c:pt idx="1239">
                  <c:v>4.09703976935504</c:v>
                </c:pt>
                <c:pt idx="1240">
                  <c:v>4.15091925545009</c:v>
                </c:pt>
                <c:pt idx="1241">
                  <c:v>4.20969874985112</c:v>
                </c:pt>
                <c:pt idx="1242">
                  <c:v>4.27420125322043</c:v>
                </c:pt>
                <c:pt idx="1243">
                  <c:v>4.34548721260844</c:v>
                </c:pt>
                <c:pt idx="1244">
                  <c:v>4.4249536817942</c:v>
                </c:pt>
                <c:pt idx="1245">
                  <c:v>4.51449310037503</c:v>
                </c:pt>
                <c:pt idx="1246">
                  <c:v>4.61676258173262</c:v>
                </c:pt>
                <c:pt idx="1247">
                  <c:v>4.73567684810102</c:v>
                </c:pt>
                <c:pt idx="1248">
                  <c:v>4.87741128199585</c:v>
                </c:pt>
                <c:pt idx="1249">
                  <c:v>5.05278513301598</c:v>
                </c:pt>
                <c:pt idx="1250">
                  <c:v>5.28449679623396</c:v>
                </c:pt>
                <c:pt idx="1251">
                  <c:v>5.64157867512081</c:v>
                </c:pt>
                <c:pt idx="1252">
                  <c:v>6.98048808507017</c:v>
                </c:pt>
                <c:pt idx="1253">
                  <c:v>8.24083790513798</c:v>
                </c:pt>
                <c:pt idx="1254">
                  <c:v>8.44076512417619</c:v>
                </c:pt>
                <c:pt idx="1255">
                  <c:v>8.55231349862563</c:v>
                </c:pt>
                <c:pt idx="1256">
                  <c:v>8.61609353614175</c:v>
                </c:pt>
                <c:pt idx="1257">
                  <c:v>8.62543790523915</c:v>
                </c:pt>
                <c:pt idx="1258">
                  <c:v>8.55662635243205</c:v>
                </c:pt>
                <c:pt idx="1259">
                  <c:v>8.383884339212</c:v>
                </c:pt>
                <c:pt idx="1260">
                  <c:v>8.04167875184282</c:v>
                </c:pt>
                <c:pt idx="1261">
                  <c:v>6.73305613018075</c:v>
                </c:pt>
                <c:pt idx="1262">
                  <c:v>5.93620440152335</c:v>
                </c:pt>
                <c:pt idx="1263">
                  <c:v>5.71748959938995</c:v>
                </c:pt>
                <c:pt idx="1264">
                  <c:v>5.5713944883527</c:v>
                </c:pt>
                <c:pt idx="1265">
                  <c:v>5.47667525763908</c:v>
                </c:pt>
                <c:pt idx="1266">
                  <c:v>5.40931600307936</c:v>
                </c:pt>
                <c:pt idx="1267">
                  <c:v>5.36023349994516</c:v>
                </c:pt>
                <c:pt idx="1268">
                  <c:v>5.32555331503348</c:v>
                </c:pt>
                <c:pt idx="1269">
                  <c:v>5.30232679776374</c:v>
                </c:pt>
                <c:pt idx="1270">
                  <c:v>5.28831488497717</c:v>
                </c:pt>
                <c:pt idx="1271">
                  <c:v>5.2818292238996</c:v>
                </c:pt>
                <c:pt idx="1272">
                  <c:v>5.28156659487433</c:v>
                </c:pt>
                <c:pt idx="1273">
                  <c:v>5.28649559244481</c:v>
                </c:pt>
                <c:pt idx="1274">
                  <c:v>5.29577657056464</c:v>
                </c:pt>
                <c:pt idx="1275">
                  <c:v>5.30870610068668</c:v>
                </c:pt>
                <c:pt idx="1276">
                  <c:v>5.32467854556149</c:v>
                </c:pt>
                <c:pt idx="1277">
                  <c:v>5.34315967226712</c:v>
                </c:pt>
                <c:pt idx="1278">
                  <c:v>5.36366887770262</c:v>
                </c:pt>
                <c:pt idx="1279">
                  <c:v>5.38576765279139</c:v>
                </c:pt>
                <c:pt idx="1280">
                  <c:v>5.40905256713018</c:v>
                </c:pt>
                <c:pt idx="1281">
                  <c:v>5.43315145047038</c:v>
                </c:pt>
                <c:pt idx="1282">
                  <c:v>5.45772169063509</c:v>
                </c:pt>
                <c:pt idx="1283">
                  <c:v>5.48244973656373</c:v>
                </c:pt>
                <c:pt idx="1284">
                  <c:v>5.50705104054841</c:v>
                </c:pt>
                <c:pt idx="1285">
                  <c:v>5.53127050465204</c:v>
                </c:pt>
                <c:pt idx="1286">
                  <c:v>5.55494523793961</c:v>
                </c:pt>
                <c:pt idx="1287">
                  <c:v>5.57804050500155</c:v>
                </c:pt>
                <c:pt idx="1288">
                  <c:v>5.60052890606804</c:v>
                </c:pt>
                <c:pt idx="1289">
                  <c:v>5.62238195452504</c:v>
                </c:pt>
                <c:pt idx="1290">
                  <c:v>5.64357201989703</c:v>
                </c:pt>
                <c:pt idx="1291">
                  <c:v>5.66407282980698</c:v>
                </c:pt>
                <c:pt idx="1292">
                  <c:v>5.68386010092705</c:v>
                </c:pt>
                <c:pt idx="1293">
                  <c:v>5.70291214471648</c:v>
                </c:pt>
                <c:pt idx="1294">
                  <c:v>5.72121042920477</c:v>
                </c:pt>
                <c:pt idx="1295">
                  <c:v>5.73874007308762</c:v>
                </c:pt>
                <c:pt idx="1296">
                  <c:v>5.75549025049673</c:v>
                </c:pt>
                <c:pt idx="1297">
                  <c:v>5.77145448897776</c:v>
                </c:pt>
                <c:pt idx="1298">
                  <c:v>5.78663084860253</c:v>
                </c:pt>
                <c:pt idx="1299">
                  <c:v>5.8010219764359</c:v>
                </c:pt>
                <c:pt idx="1300">
                  <c:v>5.81463503721242</c:v>
                </c:pt>
                <c:pt idx="1301">
                  <c:v>5.82748152747276</c:v>
                </c:pt>
                <c:pt idx="1302">
                  <c:v>5.83957698602334</c:v>
                </c:pt>
                <c:pt idx="1303">
                  <c:v>5.85094061798719</c:v>
                </c:pt>
                <c:pt idx="1304">
                  <c:v>5.8615948526353</c:v>
                </c:pt>
                <c:pt idx="1305">
                  <c:v>5.87156485653079</c:v>
                </c:pt>
                <c:pt idx="1306">
                  <c:v>5.8808780233555</c:v>
                </c:pt>
                <c:pt idx="1307">
                  <c:v>5.88956346033019</c:v>
                </c:pt>
                <c:pt idx="1308">
                  <c:v>5.89765148868706</c:v>
                </c:pt>
                <c:pt idx="1309">
                  <c:v>5.90517317255066</c:v>
                </c:pt>
                <c:pt idx="1310">
                  <c:v>5.91215988716954</c:v>
                </c:pt>
                <c:pt idx="1311">
                  <c:v>5.91864293401656</c:v>
                </c:pt>
                <c:pt idx="1312">
                  <c:v>5.92465320707797</c:v>
                </c:pt>
                <c:pt idx="1313">
                  <c:v>5.93022091184789</c:v>
                </c:pt>
                <c:pt idx="1314">
                  <c:v>5.93537533622914</c:v>
                </c:pt>
                <c:pt idx="1315">
                  <c:v>5.94014467075084</c:v>
                </c:pt>
                <c:pt idx="1316">
                  <c:v>5.94455587423207</c:v>
                </c:pt>
                <c:pt idx="1317">
                  <c:v>5.94863458020328</c:v>
                </c:pt>
                <c:pt idx="1318">
                  <c:v>5.95240503897395</c:v>
                </c:pt>
                <c:pt idx="1319">
                  <c:v>5.95589009013155</c:v>
                </c:pt>
                <c:pt idx="1320">
                  <c:v>5.95911116039636</c:v>
                </c:pt>
                <c:pt idx="1321">
                  <c:v>5.9620882820679</c:v>
                </c:pt>
                <c:pt idx="1322">
                  <c:v>5.96484012772201</c:v>
                </c:pt>
                <c:pt idx="1323">
                  <c:v>5.96738405730332</c:v>
                </c:pt>
                <c:pt idx="1324">
                  <c:v>5.96973617426325</c:v>
                </c:pt>
                <c:pt idx="1325">
                  <c:v>5.9719113878966</c:v>
                </c:pt>
                <c:pt idx="1326">
                  <c:v>5.97392347950232</c:v>
                </c:pt>
                <c:pt idx="1327">
                  <c:v>5.97578517042998</c:v>
                </c:pt>
                <c:pt idx="1328">
                  <c:v>5.97750819046203</c:v>
                </c:pt>
                <c:pt idx="1329">
                  <c:v>5.97910334532186</c:v>
                </c:pt>
                <c:pt idx="1330">
                  <c:v>5.98058058238943</c:v>
                </c:pt>
                <c:pt idx="1331">
                  <c:v>5.98194905395104</c:v>
                </c:pt>
                <c:pt idx="1332">
                  <c:v>5.98321717751416</c:v>
                </c:pt>
                <c:pt idx="1333">
                  <c:v>5.984392692883</c:v>
                </c:pt>
                <c:pt idx="1334">
                  <c:v>5.98548271582317</c:v>
                </c:pt>
                <c:pt idx="1335">
                  <c:v>5.98649378824885</c:v>
                </c:pt>
                <c:pt idx="1336">
                  <c:v>5.98743192494463</c:v>
                </c:pt>
                <c:pt idx="1337">
                  <c:v>5.9883026568958</c:v>
                </c:pt>
                <c:pt idx="1338">
                  <c:v>5.98911107134403</c:v>
                </c:pt>
                <c:pt idx="1339">
                  <c:v>5.98986184871562</c:v>
                </c:pt>
                <c:pt idx="1340">
                  <c:v>5.99055929659003</c:v>
                </c:pt>
                <c:pt idx="1341">
                  <c:v>5.99120738088717</c:v>
                </c:pt>
                <c:pt idx="1342">
                  <c:v>5.99180975445751</c:v>
                </c:pt>
                <c:pt idx="1343">
                  <c:v>5.99236978325885</c:v>
                </c:pt>
                <c:pt idx="1344">
                  <c:v>5.99289057030005</c:v>
                </c:pt>
                <c:pt idx="1345">
                  <c:v>5.99337497752612</c:v>
                </c:pt>
                <c:pt idx="1346">
                  <c:v>5.99382564581058</c:v>
                </c:pt>
                <c:pt idx="1347">
                  <c:v>5.99424501321256</c:v>
                </c:pt>
                <c:pt idx="1348">
                  <c:v>5.99463533164568</c:v>
                </c:pt>
                <c:pt idx="1349">
                  <c:v>5.99499868209616</c:v>
                </c:pt>
                <c:pt idx="1350">
                  <c:v>5.99533698851719</c:v>
                </c:pt>
                <c:pt idx="1351">
                  <c:v>5.99565203051707</c:v>
                </c:pt>
                <c:pt idx="1352">
                  <c:v>5.99594545494879</c:v>
                </c:pt>
                <c:pt idx="1353">
                  <c:v>5.99621878649999</c:v>
                </c:pt>
                <c:pt idx="1354">
                  <c:v>5.99647343737365</c:v>
                </c:pt>
                <c:pt idx="1355">
                  <c:v>5.99671071614161</c:v>
                </c:pt>
                <c:pt idx="1356">
                  <c:v>5.99693183584622</c:v>
                </c:pt>
                <c:pt idx="1357">
                  <c:v>5.99713792141792</c:v>
                </c:pt>
                <c:pt idx="1358">
                  <c:v>5.99733001647088</c:v>
                </c:pt>
                <c:pt idx="1359">
                  <c:v>5.99750908953262</c:v>
                </c:pt>
                <c:pt idx="1360">
                  <c:v>5.99767603975836</c:v>
                </c:pt>
                <c:pt idx="1361">
                  <c:v>5.99783170217661</c:v>
                </c:pt>
                <c:pt idx="1362">
                  <c:v>5.99797685250725</c:v>
                </c:pt>
                <c:pt idx="1363">
                  <c:v>5.99811221159033</c:v>
                </c:pt>
                <c:pt idx="1364">
                  <c:v>5.99823844945933</c:v>
                </c:pt>
                <c:pt idx="1365">
                  <c:v>5.99835618909041</c:v>
                </c:pt>
                <c:pt idx="1366">
                  <c:v>5.99846600985529</c:v>
                </c:pt>
                <c:pt idx="1367">
                  <c:v>5.99856845070352</c:v>
                </c:pt>
                <c:pt idx="1368">
                  <c:v>5.99866401309724</c:v>
                </c:pt>
                <c:pt idx="1369">
                  <c:v>5.99875316371893</c:v>
                </c:pt>
                <c:pt idx="1370">
                  <c:v>5.99883633697198</c:v>
                </c:pt>
                <c:pt idx="1371">
                  <c:v>5.9989139372905</c:v>
                </c:pt>
                <c:pt idx="1372">
                  <c:v>5.99898634127457</c:v>
                </c:pt>
                <c:pt idx="1373">
                  <c:v>5.99905389966509</c:v>
                </c:pt>
                <c:pt idx="1374">
                  <c:v>5.99911693917132</c:v>
                </c:pt>
                <c:pt idx="1375">
                  <c:v>5.99917576416277</c:v>
                </c:pt>
                <c:pt idx="1376">
                  <c:v>5.99923065823637</c:v>
                </c:pt>
                <c:pt idx="1377">
                  <c:v>5.99928188566879</c:v>
                </c:pt>
                <c:pt idx="1378">
                  <c:v>5.99932969276294</c:v>
                </c:pt>
                <c:pt idx="1379">
                  <c:v>5.99937430909683</c:v>
                </c:pt>
                <c:pt idx="1380">
                  <c:v>5.99941594868217</c:v>
                </c:pt>
                <c:pt idx="1381">
                  <c:v>5.99945481103999</c:v>
                </c:pt>
                <c:pt idx="1382">
                  <c:v>5.99949108219945</c:v>
                </c:pt>
                <c:pt idx="1383">
                  <c:v>5.99952493562535</c:v>
                </c:pt>
                <c:pt idx="1384">
                  <c:v>5.9995565330801</c:v>
                </c:pt>
                <c:pt idx="1385">
                  <c:v>5.99958602542477</c:v>
                </c:pt>
                <c:pt idx="1386">
                  <c:v>5.99961355336396</c:v>
                </c:pt>
                <c:pt idx="1387">
                  <c:v>5.99963924813822</c:v>
                </c:pt>
                <c:pt idx="1388">
                  <c:v>5.99966323216845</c:v>
                </c:pt>
                <c:pt idx="1389">
                  <c:v>5.99968561965515</c:v>
                </c:pt>
                <c:pt idx="1390">
                  <c:v>5.99970651713642</c:v>
                </c:pt>
                <c:pt idx="1391">
                  <c:v>5.99972602400701</c:v>
                </c:pt>
                <c:pt idx="1392">
                  <c:v>5.99974423300168</c:v>
                </c:pt>
                <c:pt idx="1393">
                  <c:v>5.99976123064529</c:v>
                </c:pt>
                <c:pt idx="1394">
                  <c:v>5.9997770976721</c:v>
                </c:pt>
                <c:pt idx="1395">
                  <c:v>5.99979190941609</c:v>
                </c:pt>
                <c:pt idx="1396">
                  <c:v>5.99980573617482</c:v>
                </c:pt>
                <c:pt idx="1397">
                  <c:v>5.99981864354819</c:v>
                </c:pt>
                <c:pt idx="1398">
                  <c:v>5.99983069275441</c:v>
                </c:pt>
                <c:pt idx="1399">
                  <c:v>5.99984194092431</c:v>
                </c:pt>
                <c:pt idx="1400">
                  <c:v>5.99985244137564</c:v>
                </c:pt>
                <c:pt idx="1401">
                  <c:v>5.99986224386887</c:v>
                </c:pt>
                <c:pt idx="1402">
                  <c:v>5.99987139484556</c:v>
                </c:pt>
                <c:pt idx="1403">
                  <c:v>5.9998799376508</c:v>
                </c:pt>
                <c:pt idx="1404">
                  <c:v>5.99988791274035</c:v>
                </c:pt>
                <c:pt idx="1405">
                  <c:v>5.99989535787407</c:v>
                </c:pt>
                <c:pt idx="1406">
                  <c:v>5.99990230829618</c:v>
                </c:pt>
                <c:pt idx="1407">
                  <c:v>5.99990879690331</c:v>
                </c:pt>
                <c:pt idx="1408">
                  <c:v>5.99991485440144</c:v>
                </c:pt>
                <c:pt idx="1409">
                  <c:v>5.99992050945223</c:v>
                </c:pt>
                <c:pt idx="1410">
                  <c:v>5.99992578880935</c:v>
                </c:pt>
                <c:pt idx="1411">
                  <c:v>5.99993071744588</c:v>
                </c:pt>
                <c:pt idx="1412">
                  <c:v>5.9999353186731</c:v>
                </c:pt>
                <c:pt idx="1413">
                  <c:v>5.99993961425133</c:v>
                </c:pt>
                <c:pt idx="1414">
                  <c:v>5.99994362449327</c:v>
                </c:pt>
                <c:pt idx="1415">
                  <c:v>5.99994736836045</c:v>
                </c:pt>
                <c:pt idx="1416">
                  <c:v>5.99995086355333</c:v>
                </c:pt>
                <c:pt idx="1417">
                  <c:v>5.99995412659532</c:v>
                </c:pt>
                <c:pt idx="1418">
                  <c:v>5.99995717291109</c:v>
                </c:pt>
                <c:pt idx="1419">
                  <c:v>5.9999600168998</c:v>
                </c:pt>
                <c:pt idx="1420">
                  <c:v>5.99996267200338</c:v>
                </c:pt>
                <c:pt idx="1421">
                  <c:v>5.9999651507701</c:v>
                </c:pt>
                <c:pt idx="1422">
                  <c:v>5.9999674649143</c:v>
                </c:pt>
                <c:pt idx="1423">
                  <c:v>5.99996962537169</c:v>
                </c:pt>
                <c:pt idx="1424">
                  <c:v>5.99997164235115</c:v>
                </c:pt>
                <c:pt idx="1425">
                  <c:v>5.99997352538313</c:v>
                </c:pt>
                <c:pt idx="1426">
                  <c:v>5.99997528336477</c:v>
                </c:pt>
                <c:pt idx="1427">
                  <c:v>5.99997692460205</c:v>
                </c:pt>
                <c:pt idx="1428">
                  <c:v>5.99997845684901</c:v>
                </c:pt>
                <c:pt idx="1429">
                  <c:v>5.99997988734451</c:v>
                </c:pt>
                <c:pt idx="1430">
                  <c:v>5.99998122284658</c:v>
                </c:pt>
                <c:pt idx="1431">
                  <c:v>5.99998246966413</c:v>
                </c:pt>
                <c:pt idx="1432">
                  <c:v>5.99998363368705</c:v>
                </c:pt>
                <c:pt idx="1433">
                  <c:v>5.99998472041395</c:v>
                </c:pt>
                <c:pt idx="1434">
                  <c:v>5.9999857349782</c:v>
                </c:pt>
                <c:pt idx="1435">
                  <c:v>5.99998668217212</c:v>
                </c:pt>
                <c:pt idx="1436">
                  <c:v>5.99998756646978</c:v>
                </c:pt>
                <c:pt idx="1437">
                  <c:v>5.99998839204802</c:v>
                </c:pt>
                <c:pt idx="1438">
                  <c:v>5.99998916280624</c:v>
                </c:pt>
                <c:pt idx="1439">
                  <c:v>5.99998988238487</c:v>
                </c:pt>
                <c:pt idx="1440">
                  <c:v>5.99999055418259</c:v>
                </c:pt>
                <c:pt idx="1441">
                  <c:v>5.99999118137228</c:v>
                </c:pt>
                <c:pt idx="1442">
                  <c:v>5.99999176691617</c:v>
                </c:pt>
                <c:pt idx="1443">
                  <c:v>5.99999231357972</c:v>
                </c:pt>
                <c:pt idx="1444">
                  <c:v>5.99999282394478</c:v>
                </c:pt>
                <c:pt idx="1445">
                  <c:v>5.99999330042169</c:v>
                </c:pt>
                <c:pt idx="1446">
                  <c:v>5.99999374526072</c:v>
                </c:pt>
                <c:pt idx="1447">
                  <c:v>5.99999416056269</c:v>
                </c:pt>
                <c:pt idx="1448">
                  <c:v>5.99999454828894</c:v>
                </c:pt>
                <c:pt idx="1449">
                  <c:v>5.99999491027049</c:v>
                </c:pt>
                <c:pt idx="1450">
                  <c:v>5.99999524821685</c:v>
                </c:pt>
                <c:pt idx="1451">
                  <c:v>5.99999556372397</c:v>
                </c:pt>
                <c:pt idx="1452">
                  <c:v>5.99999585828184</c:v>
                </c:pt>
                <c:pt idx="1453">
                  <c:v>5.99999613328153</c:v>
                </c:pt>
                <c:pt idx="1454">
                  <c:v>5.9999963900217</c:v>
                </c:pt>
                <c:pt idx="1455">
                  <c:v>5.99999662971476</c:v>
                </c:pt>
                <c:pt idx="1456">
                  <c:v>5.99999685349266</c:v>
                </c:pt>
                <c:pt idx="1457">
                  <c:v>5.99999706241213</c:v>
                </c:pt>
                <c:pt idx="1458">
                  <c:v>5.99999725745975</c:v>
                </c:pt>
                <c:pt idx="1459">
                  <c:v>5.99999743955662</c:v>
                </c:pt>
                <c:pt idx="1460">
                  <c:v>5.99999760956269</c:v>
                </c:pt>
                <c:pt idx="1461">
                  <c:v>5.99999776828077</c:v>
                </c:pt>
                <c:pt idx="1462">
                  <c:v>5.99999791646035</c:v>
                </c:pt>
                <c:pt idx="1463">
                  <c:v>5.99999805480117</c:v>
                </c:pt>
                <c:pt idx="1464">
                  <c:v>5.99999818395651</c:v>
                </c:pt>
                <c:pt idx="1465">
                  <c:v>5.99999830453629</c:v>
                </c:pt>
                <c:pt idx="1466">
                  <c:v>5.99999841710988</c:v>
                </c:pt>
                <c:pt idx="1467">
                  <c:v>5.99999852220892</c:v>
                </c:pt>
                <c:pt idx="1468">
                  <c:v>5.99999862032967</c:v>
                </c:pt>
                <c:pt idx="1469">
                  <c:v>5.99999871193546</c:v>
                </c:pt>
                <c:pt idx="1470">
                  <c:v>5.99999879745893</c:v>
                </c:pt>
                <c:pt idx="1471">
                  <c:v>5.99999887730387</c:v>
                </c:pt>
                <c:pt idx="1472">
                  <c:v>5.99999895184736</c:v>
                </c:pt>
                <c:pt idx="1473">
                  <c:v>5.99999902144139</c:v>
                </c:pt>
                <c:pt idx="1474">
                  <c:v>5.99999908641455</c:v>
                </c:pt>
                <c:pt idx="1475">
                  <c:v>5.99999914707368</c:v>
                </c:pt>
                <c:pt idx="1476">
                  <c:v>5.99999920370526</c:v>
                </c:pt>
                <c:pt idx="1477">
                  <c:v>5.99999925657668</c:v>
                </c:pt>
                <c:pt idx="1478">
                  <c:v>5.9999993059376</c:v>
                </c:pt>
                <c:pt idx="1479">
                  <c:v>5.99999935202111</c:v>
                </c:pt>
                <c:pt idx="1480">
                  <c:v>5.99999939504481</c:v>
                </c:pt>
                <c:pt idx="1481">
                  <c:v>5.99999943521188</c:v>
                </c:pt>
                <c:pt idx="1482">
                  <c:v>5.99999947271195</c:v>
                </c:pt>
                <c:pt idx="1483">
                  <c:v>5.99999950772216</c:v>
                </c:pt>
                <c:pt idx="1484">
                  <c:v>5.99999954040782</c:v>
                </c:pt>
                <c:pt idx="1485">
                  <c:v>5.99999957092323</c:v>
                </c:pt>
                <c:pt idx="1486">
                  <c:v>5.99999959941251</c:v>
                </c:pt>
                <c:pt idx="1487">
                  <c:v>5.99999962601021</c:v>
                </c:pt>
                <c:pt idx="1488">
                  <c:v>5.99999965084191</c:v>
                </c:pt>
                <c:pt idx="1489">
                  <c:v>5.99999967402489</c:v>
                </c:pt>
                <c:pt idx="1490">
                  <c:v>5.99999969566857</c:v>
                </c:pt>
                <c:pt idx="1491">
                  <c:v>5.9999997158752</c:v>
                </c:pt>
                <c:pt idx="1492">
                  <c:v>5.99999973474017</c:v>
                </c:pt>
                <c:pt idx="1493">
                  <c:v>5.99999975235256</c:v>
                </c:pt>
                <c:pt idx="1494">
                  <c:v>5.99999976879554</c:v>
                </c:pt>
                <c:pt idx="1495">
                  <c:v>5.99999978414675</c:v>
                </c:pt>
                <c:pt idx="1496">
                  <c:v>5.99999979847865</c:v>
                </c:pt>
                <c:pt idx="1497">
                  <c:v>5.99999981185899</c:v>
                </c:pt>
                <c:pt idx="1498">
                  <c:v>5.99999982435089</c:v>
                </c:pt>
                <c:pt idx="1499">
                  <c:v>5.99999983601336</c:v>
                </c:pt>
                <c:pt idx="1500">
                  <c:v>5.99999984690147</c:v>
                </c:pt>
                <c:pt idx="1501">
                  <c:v>5.99999985706665</c:v>
                </c:pt>
                <c:pt idx="1502">
                  <c:v>5.99999986655693</c:v>
                </c:pt>
                <c:pt idx="1503">
                  <c:v>5.99999987541708</c:v>
                </c:pt>
                <c:pt idx="1504">
                  <c:v>5.99999988368898</c:v>
                </c:pt>
                <c:pt idx="1505">
                  <c:v>5.99999989141166</c:v>
                </c:pt>
                <c:pt idx="1506">
                  <c:v>5.99999989862162</c:v>
                </c:pt>
                <c:pt idx="1507">
                  <c:v>5.99999990535286</c:v>
                </c:pt>
                <c:pt idx="1508">
                  <c:v>5.99999991163717</c:v>
                </c:pt>
                <c:pt idx="1509">
                  <c:v>5.99999991750422</c:v>
                </c:pt>
                <c:pt idx="1510">
                  <c:v>5.99999992298172</c:v>
                </c:pt>
                <c:pt idx="1511">
                  <c:v>5.99999992809551</c:v>
                </c:pt>
                <c:pt idx="1512">
                  <c:v>5.99999993286974</c:v>
                </c:pt>
                <c:pt idx="1513">
                  <c:v>5.99999993732695</c:v>
                </c:pt>
                <c:pt idx="1514">
                  <c:v>5.99999994148823</c:v>
                </c:pt>
                <c:pt idx="1515">
                  <c:v>5.99999994537321</c:v>
                </c:pt>
                <c:pt idx="1516">
                  <c:v>5.99999994900023</c:v>
                </c:pt>
                <c:pt idx="1517">
                  <c:v>5.9999999523864</c:v>
                </c:pt>
                <c:pt idx="1518">
                  <c:v>5.99999995554776</c:v>
                </c:pt>
                <c:pt idx="1519">
                  <c:v>5.99999995849922</c:v>
                </c:pt>
                <c:pt idx="1520">
                  <c:v>5.99999996125471</c:v>
                </c:pt>
                <c:pt idx="1521">
                  <c:v>5.99999996382725</c:v>
                </c:pt>
                <c:pt idx="1522">
                  <c:v>5.99999996622901</c:v>
                </c:pt>
                <c:pt idx="1523">
                  <c:v>5.99999996847133</c:v>
                </c:pt>
                <c:pt idx="1524">
                  <c:v>5.99999997056476</c:v>
                </c:pt>
                <c:pt idx="1525">
                  <c:v>5.99999997251922</c:v>
                </c:pt>
                <c:pt idx="1526">
                  <c:v>5.99999997434388</c:v>
                </c:pt>
                <c:pt idx="1527">
                  <c:v>5.99999997604739</c:v>
                </c:pt>
                <c:pt idx="1528">
                  <c:v>5.99999997763775</c:v>
                </c:pt>
                <c:pt idx="1529">
                  <c:v>5.99999997912256</c:v>
                </c:pt>
                <c:pt idx="1530">
                  <c:v>5.99999998050875</c:v>
                </c:pt>
                <c:pt idx="1531">
                  <c:v>5.99999998180291</c:v>
                </c:pt>
                <c:pt idx="1532">
                  <c:v>5.9999999830111</c:v>
                </c:pt>
                <c:pt idx="1533">
                  <c:v>5.99999998413906</c:v>
                </c:pt>
                <c:pt idx="1534">
                  <c:v>5.99999998519214</c:v>
                </c:pt>
                <c:pt idx="1535">
                  <c:v>5.99999998617531</c:v>
                </c:pt>
                <c:pt idx="1536">
                  <c:v>5.9999999870932</c:v>
                </c:pt>
                <c:pt idx="1537">
                  <c:v>5.99999998795019</c:v>
                </c:pt>
                <c:pt idx="1538">
                  <c:v>5.99999998875029</c:v>
                </c:pt>
                <c:pt idx="1539">
                  <c:v>5.99999998949729</c:v>
                </c:pt>
                <c:pt idx="1540">
                  <c:v>5.99999999019469</c:v>
                </c:pt>
                <c:pt idx="1541">
                  <c:v>5.99999999084579</c:v>
                </c:pt>
                <c:pt idx="1542">
                  <c:v>5.99999999145366</c:v>
                </c:pt>
                <c:pt idx="1543">
                  <c:v>5.99999999202115</c:v>
                </c:pt>
                <c:pt idx="1544">
                  <c:v>5.99999999255094</c:v>
                </c:pt>
                <c:pt idx="1545">
                  <c:v>5.99999999304557</c:v>
                </c:pt>
                <c:pt idx="1546">
                  <c:v>5.99999999350736</c:v>
                </c:pt>
                <c:pt idx="1547">
                  <c:v>5.99999999393849</c:v>
                </c:pt>
                <c:pt idx="1548">
                  <c:v>5.99999999434105</c:v>
                </c:pt>
                <c:pt idx="1549">
                  <c:v>5.9999999947169</c:v>
                </c:pt>
                <c:pt idx="1550">
                  <c:v>5.99999999506775</c:v>
                </c:pt>
                <c:pt idx="1551">
                  <c:v>5.99999999539529</c:v>
                </c:pt>
                <c:pt idx="1552">
                  <c:v>5.99999999570108</c:v>
                </c:pt>
                <c:pt idx="1553">
                  <c:v>5.99999999598653</c:v>
                </c:pt>
                <c:pt idx="1554">
                  <c:v>5.99999999625302</c:v>
                </c:pt>
                <c:pt idx="1555">
                  <c:v>5.99999999650184</c:v>
                </c:pt>
                <c:pt idx="1556">
                  <c:v>5.99999999673415</c:v>
                </c:pt>
                <c:pt idx="1557">
                  <c:v>5.99999999695104</c:v>
                </c:pt>
                <c:pt idx="1558">
                  <c:v>5.99999999715353</c:v>
                </c:pt>
                <c:pt idx="1559">
                  <c:v>5.99999999734256</c:v>
                </c:pt>
                <c:pt idx="1560">
                  <c:v>5.99999999751903</c:v>
                </c:pt>
                <c:pt idx="1561">
                  <c:v>5.99999999768378</c:v>
                </c:pt>
                <c:pt idx="1562">
                  <c:v>5.9999999978376</c:v>
                </c:pt>
                <c:pt idx="1563">
                  <c:v>5.99999999798122</c:v>
                </c:pt>
                <c:pt idx="1564">
                  <c:v>5.9999999981153</c:v>
                </c:pt>
                <c:pt idx="1565">
                  <c:v>5.99999999824047</c:v>
                </c:pt>
                <c:pt idx="1566">
                  <c:v>5.99999999835735</c:v>
                </c:pt>
                <c:pt idx="1567">
                  <c:v>5.99999999846645</c:v>
                </c:pt>
                <c:pt idx="1568">
                  <c:v>5.9999999985683</c:v>
                </c:pt>
                <c:pt idx="1569">
                  <c:v>5.99999999866337</c:v>
                </c:pt>
                <c:pt idx="1570">
                  <c:v>5.99999999875213</c:v>
                </c:pt>
                <c:pt idx="1571">
                  <c:v>5.99999999883499</c:v>
                </c:pt>
                <c:pt idx="1572">
                  <c:v>5.99999999891233</c:v>
                </c:pt>
                <c:pt idx="1573">
                  <c:v>5.99999999898456</c:v>
                </c:pt>
                <c:pt idx="1574">
                  <c:v>5.99999999905202</c:v>
                </c:pt>
                <c:pt idx="1575">
                  <c:v>5.999999999115</c:v>
                </c:pt>
                <c:pt idx="1576">
                  <c:v>5.99999999917377</c:v>
                </c:pt>
                <c:pt idx="1577">
                  <c:v>5.99999999922863</c:v>
                </c:pt>
                <c:pt idx="1578">
                  <c:v>5.99999999927985</c:v>
                </c:pt>
                <c:pt idx="1579">
                  <c:v>5.99999999932768</c:v>
                </c:pt>
                <c:pt idx="1580">
                  <c:v>5.99999999937234</c:v>
                </c:pt>
                <c:pt idx="1581">
                  <c:v>5.99999999941402</c:v>
                </c:pt>
                <c:pt idx="1582">
                  <c:v>5.99999999945291</c:v>
                </c:pt>
                <c:pt idx="1583">
                  <c:v>5.99999999948924</c:v>
                </c:pt>
                <c:pt idx="1584">
                  <c:v>5.99999999952313</c:v>
                </c:pt>
                <c:pt idx="1585">
                  <c:v>5.99999999955479</c:v>
                </c:pt>
                <c:pt idx="1586">
                  <c:v>5.99999999958436</c:v>
                </c:pt>
                <c:pt idx="1587">
                  <c:v>5.99999999961196</c:v>
                </c:pt>
                <c:pt idx="1588">
                  <c:v>5.99999999963776</c:v>
                </c:pt>
                <c:pt idx="1589">
                  <c:v>5.99999999966183</c:v>
                </c:pt>
                <c:pt idx="1590">
                  <c:v>5.99999999968427</c:v>
                </c:pt>
                <c:pt idx="1591">
                  <c:v>5.99999999970525</c:v>
                </c:pt>
                <c:pt idx="1592">
                  <c:v>5.99999999972487</c:v>
                </c:pt>
                <c:pt idx="1593">
                  <c:v>5.99999999974313</c:v>
                </c:pt>
                <c:pt idx="1594">
                  <c:v>5.99999999976016</c:v>
                </c:pt>
                <c:pt idx="1595">
                  <c:v>5.99999999977607</c:v>
                </c:pt>
                <c:pt idx="1596">
                  <c:v>5.99999999979098</c:v>
                </c:pt>
                <c:pt idx="1597">
                  <c:v>5.99999999980491</c:v>
                </c:pt>
                <c:pt idx="1598">
                  <c:v>5.99999999981784</c:v>
                </c:pt>
                <c:pt idx="1599">
                  <c:v>5.99999999982987</c:v>
                </c:pt>
                <c:pt idx="1600">
                  <c:v>5.99999999984109</c:v>
                </c:pt>
                <c:pt idx="1601">
                  <c:v>5.99999999985159</c:v>
                </c:pt>
                <c:pt idx="1602">
                  <c:v>5.99999999986142</c:v>
                </c:pt>
                <c:pt idx="1603">
                  <c:v>5.99999999987066</c:v>
                </c:pt>
                <c:pt idx="1604">
                  <c:v>5.99999999987928</c:v>
                </c:pt>
                <c:pt idx="1605">
                  <c:v>5.99999999988728</c:v>
                </c:pt>
                <c:pt idx="1606">
                  <c:v>5.99999999989469</c:v>
                </c:pt>
                <c:pt idx="1607">
                  <c:v>5.99999999990156</c:v>
                </c:pt>
                <c:pt idx="1608">
                  <c:v>5.99999999990793</c:v>
                </c:pt>
                <c:pt idx="1609">
                  <c:v>5.99999999991388</c:v>
                </c:pt>
                <c:pt idx="1610">
                  <c:v>5.99999999991942</c:v>
                </c:pt>
                <c:pt idx="1611">
                  <c:v>5.9999999999246</c:v>
                </c:pt>
                <c:pt idx="1612">
                  <c:v>5.99999999992947</c:v>
                </c:pt>
                <c:pt idx="1613">
                  <c:v>5.99999999993403</c:v>
                </c:pt>
                <c:pt idx="1614">
                  <c:v>5.99999999993834</c:v>
                </c:pt>
                <c:pt idx="1615">
                  <c:v>5.99999999994241</c:v>
                </c:pt>
                <c:pt idx="1616">
                  <c:v>5.99999999994626</c:v>
                </c:pt>
                <c:pt idx="1617">
                  <c:v>5.99999999994992</c:v>
                </c:pt>
                <c:pt idx="1618">
                  <c:v>5.9999999999534</c:v>
                </c:pt>
                <c:pt idx="1619">
                  <c:v>5.9999999999566</c:v>
                </c:pt>
                <c:pt idx="1620">
                  <c:v>5.99999999995951</c:v>
                </c:pt>
                <c:pt idx="1621">
                  <c:v>5.99999999996231</c:v>
                </c:pt>
                <c:pt idx="1622">
                  <c:v>5.99999999996488</c:v>
                </c:pt>
                <c:pt idx="1623">
                  <c:v>5.9999999999672</c:v>
                </c:pt>
                <c:pt idx="1624">
                  <c:v>5.99999999996929</c:v>
                </c:pt>
                <c:pt idx="1625">
                  <c:v>5.99999999997118</c:v>
                </c:pt>
                <c:pt idx="1626">
                  <c:v>5.99999999997288</c:v>
                </c:pt>
                <c:pt idx="1627">
                  <c:v>5.99999999997442</c:v>
                </c:pt>
                <c:pt idx="1628">
                  <c:v>5.99999999997583</c:v>
                </c:pt>
                <c:pt idx="1629">
                  <c:v>5.99999999997714</c:v>
                </c:pt>
                <c:pt idx="1630">
                  <c:v>5.99999999997836</c:v>
                </c:pt>
                <c:pt idx="1631">
                  <c:v>5.99999999997947</c:v>
                </c:pt>
                <c:pt idx="1632">
                  <c:v>5.99999999998047</c:v>
                </c:pt>
                <c:pt idx="1633">
                  <c:v>5.99999999998137</c:v>
                </c:pt>
                <c:pt idx="1634">
                  <c:v>5.99999999998219</c:v>
                </c:pt>
                <c:pt idx="1635">
                  <c:v>5.99999999998293</c:v>
                </c:pt>
                <c:pt idx="1636">
                  <c:v>5.99999999998368</c:v>
                </c:pt>
                <c:pt idx="1637">
                  <c:v>5.99999999998441</c:v>
                </c:pt>
                <c:pt idx="1638">
                  <c:v>5.99999999998506</c:v>
                </c:pt>
                <c:pt idx="1639">
                  <c:v>5.99999999998566</c:v>
                </c:pt>
                <c:pt idx="1640">
                  <c:v>5.99999999998619</c:v>
                </c:pt>
                <c:pt idx="1641">
                  <c:v>5.99999999998668</c:v>
                </c:pt>
                <c:pt idx="1642">
                  <c:v>5.99999999998711</c:v>
                </c:pt>
                <c:pt idx="1643">
                  <c:v>5.99999999998751</c:v>
                </c:pt>
                <c:pt idx="1644">
                  <c:v>5.99999999998786</c:v>
                </c:pt>
                <c:pt idx="1645">
                  <c:v>5.99999999998818</c:v>
                </c:pt>
                <c:pt idx="1646">
                  <c:v>5.99999999998847</c:v>
                </c:pt>
                <c:pt idx="1647">
                  <c:v>5.99999999998873</c:v>
                </c:pt>
                <c:pt idx="1648">
                  <c:v>5.99999999998897</c:v>
                </c:pt>
                <c:pt idx="1649">
                  <c:v>5.99999999998918</c:v>
                </c:pt>
                <c:pt idx="1650">
                  <c:v>5.99999999998938</c:v>
                </c:pt>
                <c:pt idx="1651">
                  <c:v>5.99999999998955</c:v>
                </c:pt>
                <c:pt idx="1652">
                  <c:v>5.9999999999897</c:v>
                </c:pt>
                <c:pt idx="1653">
                  <c:v>5.99999999998985</c:v>
                </c:pt>
                <c:pt idx="1654">
                  <c:v>5.99999999998997</c:v>
                </c:pt>
                <c:pt idx="1655">
                  <c:v>5.99999999999009</c:v>
                </c:pt>
                <c:pt idx="1656">
                  <c:v>5.99999999999019</c:v>
                </c:pt>
                <c:pt idx="1657">
                  <c:v>5.99999999999029</c:v>
                </c:pt>
                <c:pt idx="1658">
                  <c:v>5.99999999999037</c:v>
                </c:pt>
                <c:pt idx="1659">
                  <c:v>5.99999999999045</c:v>
                </c:pt>
                <c:pt idx="1660">
                  <c:v>5.99999999999052</c:v>
                </c:pt>
                <c:pt idx="1661">
                  <c:v>5.99999999999058</c:v>
                </c:pt>
                <c:pt idx="1662">
                  <c:v>5.99999999999064</c:v>
                </c:pt>
                <c:pt idx="1663">
                  <c:v>5.99999999999069</c:v>
                </c:pt>
                <c:pt idx="1664">
                  <c:v>5.99999999999073</c:v>
                </c:pt>
                <c:pt idx="1665">
                  <c:v>5.99999999999077</c:v>
                </c:pt>
                <c:pt idx="1666">
                  <c:v>5.99999999999081</c:v>
                </c:pt>
                <c:pt idx="1667">
                  <c:v>5.99999999999084</c:v>
                </c:pt>
                <c:pt idx="1668">
                  <c:v>5.99999999999087</c:v>
                </c:pt>
                <c:pt idx="1669">
                  <c:v>5.9999999999909</c:v>
                </c:pt>
                <c:pt idx="1670">
                  <c:v>5.99999999999093</c:v>
                </c:pt>
                <c:pt idx="1671">
                  <c:v>5.99999999999095</c:v>
                </c:pt>
                <c:pt idx="1672">
                  <c:v>5.99999999999097</c:v>
                </c:pt>
                <c:pt idx="1673">
                  <c:v>5.99999999999099</c:v>
                </c:pt>
                <c:pt idx="1674">
                  <c:v>5.999999999991</c:v>
                </c:pt>
                <c:pt idx="1675">
                  <c:v>5.99999999999102</c:v>
                </c:pt>
                <c:pt idx="1676">
                  <c:v>5.99999999999103</c:v>
                </c:pt>
                <c:pt idx="1677">
                  <c:v>5.99999999999104</c:v>
                </c:pt>
                <c:pt idx="1678">
                  <c:v>5.99999999999105</c:v>
                </c:pt>
                <c:pt idx="1679">
                  <c:v>5.99999999999106</c:v>
                </c:pt>
                <c:pt idx="1680">
                  <c:v>5.99999999999107</c:v>
                </c:pt>
                <c:pt idx="1681">
                  <c:v>5.99999999999108</c:v>
                </c:pt>
                <c:pt idx="1682">
                  <c:v>5.99999999999109</c:v>
                </c:pt>
                <c:pt idx="1683">
                  <c:v>5.9999999999911</c:v>
                </c:pt>
                <c:pt idx="1684">
                  <c:v>5.9999999999911</c:v>
                </c:pt>
                <c:pt idx="1685">
                  <c:v>5.99999999999111</c:v>
                </c:pt>
                <c:pt idx="1686">
                  <c:v>5.99999999999111</c:v>
                </c:pt>
                <c:pt idx="1687">
                  <c:v>5.99999999999112</c:v>
                </c:pt>
                <c:pt idx="1688">
                  <c:v>5.99999999999112</c:v>
                </c:pt>
                <c:pt idx="1689">
                  <c:v>5.99999999999112</c:v>
                </c:pt>
                <c:pt idx="1690">
                  <c:v>5.99999999999113</c:v>
                </c:pt>
                <c:pt idx="1691">
                  <c:v>5.99999999999113</c:v>
                </c:pt>
                <c:pt idx="1692">
                  <c:v>5.99999999999113</c:v>
                </c:pt>
                <c:pt idx="1693">
                  <c:v>5.99999999999113</c:v>
                </c:pt>
                <c:pt idx="1694">
                  <c:v>5.99999999999114</c:v>
                </c:pt>
                <c:pt idx="1695">
                  <c:v>5.99999999999114</c:v>
                </c:pt>
                <c:pt idx="1696">
                  <c:v>5.99999999999114</c:v>
                </c:pt>
                <c:pt idx="1697">
                  <c:v>5.99999999999114</c:v>
                </c:pt>
                <c:pt idx="1698">
                  <c:v>5.99999999999114</c:v>
                </c:pt>
                <c:pt idx="1699">
                  <c:v>5.99999999999114</c:v>
                </c:pt>
              </c:numCache>
            </c:numRef>
          </c:yVal>
          <c:smooth val="0"/>
        </c:ser>
        <c:ser>
          <c:idx val="4"/>
          <c:order val="4"/>
          <c:tx>
            <c:strRef>
              <c:f>"Pure gain-scheduled PID"</c:f>
              <c:strCache>
                <c:ptCount val="1"/>
                <c:pt idx="0">
                  <c:v>Pure gain-scheduled PID</c:v>
                </c:pt>
              </c:strCache>
            </c:strRef>
          </c:tx>
          <c:spPr>
            <a:solidFill>
              <a:srgbClr val="ff7f0e"/>
            </a:solidFill>
            <a:ln w="18000">
              <a:solidFill>
                <a:srgbClr val="ff7f0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12_Traces!$F$5:$F$1704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4.3690458080591</c:v>
                </c:pt>
                <c:pt idx="203">
                  <c:v>4.30183635073281</c:v>
                </c:pt>
                <c:pt idx="204">
                  <c:v>4.30441316673428</c:v>
                </c:pt>
                <c:pt idx="205">
                  <c:v>4.36465886218606</c:v>
                </c:pt>
                <c:pt idx="206">
                  <c:v>4.4982932153985</c:v>
                </c:pt>
                <c:pt idx="207">
                  <c:v>4.78421166627259</c:v>
                </c:pt>
                <c:pt idx="208">
                  <c:v>8.10744797685534</c:v>
                </c:pt>
                <c:pt idx="209">
                  <c:v>9.24866642942156</c:v>
                </c:pt>
                <c:pt idx="210">
                  <c:v>9.32124512684447</c:v>
                </c:pt>
                <c:pt idx="211">
                  <c:v>9.31597015954664</c:v>
                </c:pt>
                <c:pt idx="212">
                  <c:v>9.20507835116611</c:v>
                </c:pt>
                <c:pt idx="213">
                  <c:v>8.8556697580767</c:v>
                </c:pt>
                <c:pt idx="214">
                  <c:v>5.39126398944373</c:v>
                </c:pt>
                <c:pt idx="215">
                  <c:v>4.91645208351724</c:v>
                </c:pt>
                <c:pt idx="216">
                  <c:v>4.9603081128815</c:v>
                </c:pt>
                <c:pt idx="217">
                  <c:v>5.1286906751094</c:v>
                </c:pt>
                <c:pt idx="218">
                  <c:v>5.91035472428549</c:v>
                </c:pt>
                <c:pt idx="219">
                  <c:v>8.7644164488955</c:v>
                </c:pt>
                <c:pt idx="220">
                  <c:v>8.74843089760273</c:v>
                </c:pt>
                <c:pt idx="221">
                  <c:v>8.15083845000798</c:v>
                </c:pt>
                <c:pt idx="222">
                  <c:v>5.52302572908668</c:v>
                </c:pt>
                <c:pt idx="223">
                  <c:v>5.62138232492484</c:v>
                </c:pt>
                <c:pt idx="224">
                  <c:v>8.40904286035294</c:v>
                </c:pt>
                <c:pt idx="225">
                  <c:v>8.63360406216705</c:v>
                </c:pt>
                <c:pt idx="226">
                  <c:v>7.21799661065961</c:v>
                </c:pt>
                <c:pt idx="227">
                  <c:v>5.37110695860851</c:v>
                </c:pt>
                <c:pt idx="228">
                  <c:v>5.77993754205353</c:v>
                </c:pt>
                <c:pt idx="229">
                  <c:v>8.51492964105887</c:v>
                </c:pt>
                <c:pt idx="230">
                  <c:v>8.54340429104927</c:v>
                </c:pt>
                <c:pt idx="231">
                  <c:v>5.98080283628632</c:v>
                </c:pt>
                <c:pt idx="232">
                  <c:v>5.35213870360737</c:v>
                </c:pt>
                <c:pt idx="233">
                  <c:v>6.23665910186758</c:v>
                </c:pt>
                <c:pt idx="234">
                  <c:v>8.62230273022909</c:v>
                </c:pt>
                <c:pt idx="235">
                  <c:v>8.41207117912979</c:v>
                </c:pt>
                <c:pt idx="236">
                  <c:v>5.66661259860235</c:v>
                </c:pt>
                <c:pt idx="237">
                  <c:v>5.41562133703329</c:v>
                </c:pt>
                <c:pt idx="238">
                  <c:v>7.78801194414279</c:v>
                </c:pt>
                <c:pt idx="239">
                  <c:v>8.68410675379603</c:v>
                </c:pt>
                <c:pt idx="240">
                  <c:v>8.19947487877535</c:v>
                </c:pt>
                <c:pt idx="241">
                  <c:v>5.49715969275901</c:v>
                </c:pt>
                <c:pt idx="242">
                  <c:v>5.51489145790662</c:v>
                </c:pt>
                <c:pt idx="243">
                  <c:v>8.2304481023181</c:v>
                </c:pt>
                <c:pt idx="244">
                  <c:v>8.65442430515984</c:v>
                </c:pt>
                <c:pt idx="245">
                  <c:v>7.74693999100559</c:v>
                </c:pt>
                <c:pt idx="246">
                  <c:v>5.39214941793989</c:v>
                </c:pt>
                <c:pt idx="247">
                  <c:v>5.66341112283541</c:v>
                </c:pt>
                <c:pt idx="248">
                  <c:v>8.43456836390884</c:v>
                </c:pt>
                <c:pt idx="249">
                  <c:v>8.59230742296252</c:v>
                </c:pt>
                <c:pt idx="250">
                  <c:v>6.29894223498114</c:v>
                </c:pt>
                <c:pt idx="251">
                  <c:v>5.33490797641984</c:v>
                </c:pt>
                <c:pt idx="252">
                  <c:v>5.91618149175647</c:v>
                </c:pt>
                <c:pt idx="253">
                  <c:v>8.563064143043</c:v>
                </c:pt>
                <c:pt idx="254">
                  <c:v>8.50062773460115</c:v>
                </c:pt>
                <c:pt idx="255">
                  <c:v>5.82674358501879</c:v>
                </c:pt>
                <c:pt idx="256">
                  <c:v>5.36489954289261</c:v>
                </c:pt>
                <c:pt idx="257">
                  <c:v>6.6330609392561</c:v>
                </c:pt>
                <c:pt idx="258">
                  <c:v>8.64877884161095</c:v>
                </c:pt>
                <c:pt idx="259">
                  <c:v>8.3656256536553</c:v>
                </c:pt>
                <c:pt idx="260">
                  <c:v>5.61021559240016</c:v>
                </c:pt>
                <c:pt idx="261">
                  <c:v>5.43076699007229</c:v>
                </c:pt>
                <c:pt idx="262">
                  <c:v>7.92576505554714</c:v>
                </c:pt>
                <c:pt idx="263">
                  <c:v>8.68411375037105</c:v>
                </c:pt>
                <c:pt idx="264">
                  <c:v>8.14500872375951</c:v>
                </c:pt>
                <c:pt idx="265">
                  <c:v>5.47397381426001</c:v>
                </c:pt>
                <c:pt idx="266">
                  <c:v>5.5301142683577</c:v>
                </c:pt>
                <c:pt idx="267">
                  <c:v>8.2655794190803</c:v>
                </c:pt>
                <c:pt idx="268">
                  <c:v>8.64839652342266</c:v>
                </c:pt>
                <c:pt idx="269">
                  <c:v>7.63746501042243</c:v>
                </c:pt>
                <c:pt idx="270">
                  <c:v>5.38221552067823</c:v>
                </c:pt>
                <c:pt idx="271">
                  <c:v>5.68051918513567</c:v>
                </c:pt>
                <c:pt idx="272">
                  <c:v>8.44932649603312</c:v>
                </c:pt>
                <c:pt idx="273">
                  <c:v>8.58510079264347</c:v>
                </c:pt>
                <c:pt idx="274">
                  <c:v>6.22687577371885</c:v>
                </c:pt>
                <c:pt idx="275">
                  <c:v>5.33330341147892</c:v>
                </c:pt>
                <c:pt idx="276">
                  <c:v>5.94135919142292</c:v>
                </c:pt>
                <c:pt idx="277">
                  <c:v>8.57057761271599</c:v>
                </c:pt>
                <c:pt idx="278">
                  <c:v>8.49240218768897</c:v>
                </c:pt>
                <c:pt idx="279">
                  <c:v>5.80657195975816</c:v>
                </c:pt>
                <c:pt idx="280">
                  <c:v>5.367069033128</c:v>
                </c:pt>
                <c:pt idx="281">
                  <c:v>6.72919152025038</c:v>
                </c:pt>
                <c:pt idx="282">
                  <c:v>8.65263811558855</c:v>
                </c:pt>
                <c:pt idx="283">
                  <c:v>8.35534470472549</c:v>
                </c:pt>
                <c:pt idx="284">
                  <c:v>5.60050625064617</c:v>
                </c:pt>
                <c:pt idx="285">
                  <c:v>5.43419395614684</c:v>
                </c:pt>
                <c:pt idx="286">
                  <c:v>7.94934951174998</c:v>
                </c:pt>
                <c:pt idx="287">
                  <c:v>8.68281255229017</c:v>
                </c:pt>
                <c:pt idx="288">
                  <c:v>8.12920370742485</c:v>
                </c:pt>
                <c:pt idx="289">
                  <c:v>5.46842439079669</c:v>
                </c:pt>
                <c:pt idx="290">
                  <c:v>5.53477062296984</c:v>
                </c:pt>
                <c:pt idx="291">
                  <c:v>8.2750526048602</c:v>
                </c:pt>
                <c:pt idx="292">
                  <c:v>8.64582322717466</c:v>
                </c:pt>
                <c:pt idx="293">
                  <c:v>7.5924544187081</c:v>
                </c:pt>
                <c:pt idx="294">
                  <c:v>5.37903277903754</c:v>
                </c:pt>
                <c:pt idx="295">
                  <c:v>5.68729410769116</c:v>
                </c:pt>
                <c:pt idx="296">
                  <c:v>8.45471090889694</c:v>
                </c:pt>
                <c:pt idx="297">
                  <c:v>8.58165193058793</c:v>
                </c:pt>
                <c:pt idx="298">
                  <c:v>6.19840848020703</c:v>
                </c:pt>
                <c:pt idx="299">
                  <c:v>5.33302858876439</c:v>
                </c:pt>
                <c:pt idx="300">
                  <c:v>5.95389145753789</c:v>
                </c:pt>
                <c:pt idx="301">
                  <c:v>8.57402996178887</c:v>
                </c:pt>
                <c:pt idx="302">
                  <c:v>8.4877808235005</c:v>
                </c:pt>
                <c:pt idx="303">
                  <c:v>5.7961686917095</c:v>
                </c:pt>
                <c:pt idx="304">
                  <c:v>5.36847266103592</c:v>
                </c:pt>
                <c:pt idx="305">
                  <c:v>6.79005253468705</c:v>
                </c:pt>
                <c:pt idx="306">
                  <c:v>8.65475493815084</c:v>
                </c:pt>
                <c:pt idx="307">
                  <c:v>8.34858488582424</c:v>
                </c:pt>
                <c:pt idx="308">
                  <c:v>5.59449359983308</c:v>
                </c:pt>
                <c:pt idx="309">
                  <c:v>5.43661238788273</c:v>
                </c:pt>
                <c:pt idx="310">
                  <c:v>7.96448706402297</c:v>
                </c:pt>
                <c:pt idx="311">
                  <c:v>8.68159839894576</c:v>
                </c:pt>
                <c:pt idx="312">
                  <c:v>8.11707021844242</c:v>
                </c:pt>
                <c:pt idx="313">
                  <c:v>5.46441744884653</c:v>
                </c:pt>
                <c:pt idx="314">
                  <c:v>5.53851051360304</c:v>
                </c:pt>
                <c:pt idx="315">
                  <c:v>8.28225848338565</c:v>
                </c:pt>
                <c:pt idx="316">
                  <c:v>8.64349346301769</c:v>
                </c:pt>
                <c:pt idx="317">
                  <c:v>7.55065661002887</c:v>
                </c:pt>
                <c:pt idx="318">
                  <c:v>5.37641456335833</c:v>
                </c:pt>
                <c:pt idx="319">
                  <c:v>5.69351533416211</c:v>
                </c:pt>
                <c:pt idx="320">
                  <c:v>8.45943662065837</c:v>
                </c:pt>
                <c:pt idx="321">
                  <c:v>8.57818549573466</c:v>
                </c:pt>
                <c:pt idx="322">
                  <c:v>6.17242607852014</c:v>
                </c:pt>
                <c:pt idx="323">
                  <c:v>5.33303660970661</c:v>
                </c:pt>
                <c:pt idx="324">
                  <c:v>5.96716119763974</c:v>
                </c:pt>
                <c:pt idx="325">
                  <c:v>8.57748927082264</c:v>
                </c:pt>
                <c:pt idx="326">
                  <c:v>8.48253793415407</c:v>
                </c:pt>
                <c:pt idx="327">
                  <c:v>5.78499097822726</c:v>
                </c:pt>
                <c:pt idx="328">
                  <c:v>5.37026497811083</c:v>
                </c:pt>
                <c:pt idx="329">
                  <c:v>6.8662490801815</c:v>
                </c:pt>
                <c:pt idx="330">
                  <c:v>8.65714315952993</c:v>
                </c:pt>
                <c:pt idx="331">
                  <c:v>8.33983905784537</c:v>
                </c:pt>
                <c:pt idx="332">
                  <c:v>5.58707453609293</c:v>
                </c:pt>
                <c:pt idx="333">
                  <c:v>5.43999667893673</c:v>
                </c:pt>
                <c:pt idx="334">
                  <c:v>7.98392517655065</c:v>
                </c:pt>
                <c:pt idx="335">
                  <c:v>8.67957191022786</c:v>
                </c:pt>
                <c:pt idx="336">
                  <c:v>8.09884160938487</c:v>
                </c:pt>
                <c:pt idx="337">
                  <c:v>5.4587510464359</c:v>
                </c:pt>
                <c:pt idx="338">
                  <c:v>5.54448853329831</c:v>
                </c:pt>
                <c:pt idx="339">
                  <c:v>8.29310836959227</c:v>
                </c:pt>
                <c:pt idx="340">
                  <c:v>8.63938079605426</c:v>
                </c:pt>
                <c:pt idx="341">
                  <c:v>7.47202566592519</c:v>
                </c:pt>
                <c:pt idx="342">
                  <c:v>5.37219155639052</c:v>
                </c:pt>
                <c:pt idx="343">
                  <c:v>5.70516583269651</c:v>
                </c:pt>
                <c:pt idx="344">
                  <c:v>8.46777153584931</c:v>
                </c:pt>
                <c:pt idx="345">
                  <c:v>8.57111883684872</c:v>
                </c:pt>
                <c:pt idx="346">
                  <c:v>6.12543465296468</c:v>
                </c:pt>
                <c:pt idx="347">
                  <c:v>5.33394444204876</c:v>
                </c:pt>
                <c:pt idx="348">
                  <c:v>5.99753258051165</c:v>
                </c:pt>
                <c:pt idx="349">
                  <c:v>8.5847222177787</c:v>
                </c:pt>
                <c:pt idx="350">
                  <c:v>8.46976482185788</c:v>
                </c:pt>
                <c:pt idx="351">
                  <c:v>5.75989265075832</c:v>
                </c:pt>
                <c:pt idx="352">
                  <c:v>5.37578661185129</c:v>
                </c:pt>
                <c:pt idx="353">
                  <c:v>7.08266509160345</c:v>
                </c:pt>
                <c:pt idx="354">
                  <c:v>8.66304329761782</c:v>
                </c:pt>
                <c:pt idx="355">
                  <c:v>8.31336144451391</c:v>
                </c:pt>
                <c:pt idx="356">
                  <c:v>5.56653555544365</c:v>
                </c:pt>
                <c:pt idx="357">
                  <c:v>5.45272786580505</c:v>
                </c:pt>
                <c:pt idx="358">
                  <c:v>8.04410549431344</c:v>
                </c:pt>
                <c:pt idx="359">
                  <c:v>8.67115184237633</c:v>
                </c:pt>
                <c:pt idx="360">
                  <c:v>8.02549721947327</c:v>
                </c:pt>
                <c:pt idx="361">
                  <c:v>5.43920577187392</c:v>
                </c:pt>
                <c:pt idx="362">
                  <c:v>5.57486508715185</c:v>
                </c:pt>
                <c:pt idx="363">
                  <c:v>8.33904868088185</c:v>
                </c:pt>
                <c:pt idx="364">
                  <c:v>8.61987406486377</c:v>
                </c:pt>
                <c:pt idx="365">
                  <c:v>6.93673051056601</c:v>
                </c:pt>
                <c:pt idx="366">
                  <c:v>5.3549633077376</c:v>
                </c:pt>
                <c:pt idx="367">
                  <c:v>5.78967185641366</c:v>
                </c:pt>
                <c:pt idx="368">
                  <c:v>8.51469324661085</c:v>
                </c:pt>
                <c:pt idx="369">
                  <c:v>8.53256389998282</c:v>
                </c:pt>
                <c:pt idx="370">
                  <c:v>5.93598826612155</c:v>
                </c:pt>
                <c:pt idx="371">
                  <c:v>5.35620225662745</c:v>
                </c:pt>
                <c:pt idx="372">
                  <c:v>6.31891278501468</c:v>
                </c:pt>
                <c:pt idx="373">
                  <c:v>8.62915892448462</c:v>
                </c:pt>
                <c:pt idx="374">
                  <c:v>8.39893157229672</c:v>
                </c:pt>
                <c:pt idx="375">
                  <c:v>5.64842277684236</c:v>
                </c:pt>
                <c:pt idx="376">
                  <c:v>5.4203389373856</c:v>
                </c:pt>
                <c:pt idx="377">
                  <c:v>7.83548117156458</c:v>
                </c:pt>
                <c:pt idx="378">
                  <c:v>8.68484027591241</c:v>
                </c:pt>
                <c:pt idx="379">
                  <c:v>8.18445989219545</c:v>
                </c:pt>
                <c:pt idx="380">
                  <c:v>5.48999864851195</c:v>
                </c:pt>
                <c:pt idx="381">
                  <c:v>5.51907206186614</c:v>
                </c:pt>
                <c:pt idx="382">
                  <c:v>8.24068259244977</c:v>
                </c:pt>
                <c:pt idx="383">
                  <c:v>8.65305613661096</c:v>
                </c:pt>
                <c:pt idx="384">
                  <c:v>7.72081770782731</c:v>
                </c:pt>
                <c:pt idx="385">
                  <c:v>5.38942128641072</c:v>
                </c:pt>
                <c:pt idx="386">
                  <c:v>5.66758495908559</c:v>
                </c:pt>
                <c:pt idx="387">
                  <c:v>8.43831816873526</c:v>
                </c:pt>
                <c:pt idx="388">
                  <c:v>8.59071992148777</c:v>
                </c:pt>
                <c:pt idx="389">
                  <c:v>6.28117568485698</c:v>
                </c:pt>
                <c:pt idx="390">
                  <c:v>5.33441546419527</c:v>
                </c:pt>
                <c:pt idx="391">
                  <c:v>5.92167464958667</c:v>
                </c:pt>
                <c:pt idx="392">
                  <c:v>8.5647692138746</c:v>
                </c:pt>
                <c:pt idx="393">
                  <c:v>8.49894636055181</c:v>
                </c:pt>
                <c:pt idx="394">
                  <c:v>5.82241606827614</c:v>
                </c:pt>
                <c:pt idx="395">
                  <c:v>5.36531212036906</c:v>
                </c:pt>
                <c:pt idx="396">
                  <c:v>6.65159865176538</c:v>
                </c:pt>
                <c:pt idx="397">
                  <c:v>8.64958025508545</c:v>
                </c:pt>
                <c:pt idx="398">
                  <c:v>8.36367681587344</c:v>
                </c:pt>
                <c:pt idx="399">
                  <c:v>5.60831566035</c:v>
                </c:pt>
                <c:pt idx="400">
                  <c:v>5.43139688854617</c:v>
                </c:pt>
                <c:pt idx="401">
                  <c:v>7.93030778820101</c:v>
                </c:pt>
                <c:pt idx="402">
                  <c:v>8.68391408131141</c:v>
                </c:pt>
                <c:pt idx="403">
                  <c:v>8.14222331264786</c:v>
                </c:pt>
                <c:pt idx="404">
                  <c:v>5.47296590085541</c:v>
                </c:pt>
                <c:pt idx="405">
                  <c:v>5.53092016422556</c:v>
                </c:pt>
                <c:pt idx="406">
                  <c:v>8.26726084741445</c:v>
                </c:pt>
                <c:pt idx="407">
                  <c:v>8.64797826514876</c:v>
                </c:pt>
                <c:pt idx="408">
                  <c:v>7.63018132129251</c:v>
                </c:pt>
                <c:pt idx="409">
                  <c:v>5.38167178918897</c:v>
                </c:pt>
                <c:pt idx="410">
                  <c:v>5.68162298053298</c:v>
                </c:pt>
                <c:pt idx="411">
                  <c:v>8.45022127957</c:v>
                </c:pt>
                <c:pt idx="412">
                  <c:v>8.58456323723583</c:v>
                </c:pt>
                <c:pt idx="413">
                  <c:v>6.2222374042413</c:v>
                </c:pt>
                <c:pt idx="414">
                  <c:v>5.33324154084388</c:v>
                </c:pt>
                <c:pt idx="415">
                  <c:v>5.94327973128375</c:v>
                </c:pt>
                <c:pt idx="416">
                  <c:v>8.57111880503813</c:v>
                </c:pt>
                <c:pt idx="417">
                  <c:v>8.49171673077085</c:v>
                </c:pt>
                <c:pt idx="418">
                  <c:v>5.80499218139485</c:v>
                </c:pt>
                <c:pt idx="419">
                  <c:v>5.36726794978038</c:v>
                </c:pt>
                <c:pt idx="420">
                  <c:v>6.73787359829166</c:v>
                </c:pt>
                <c:pt idx="421">
                  <c:v>8.65295363561308</c:v>
                </c:pt>
                <c:pt idx="422">
                  <c:v>8.35439274757384</c:v>
                </c:pt>
                <c:pt idx="423">
                  <c:v>5.59964329414511</c:v>
                </c:pt>
                <c:pt idx="424">
                  <c:v>5.43452560250047</c:v>
                </c:pt>
                <c:pt idx="425">
                  <c:v>7.95149372284404</c:v>
                </c:pt>
                <c:pt idx="426">
                  <c:v>8.68265961495938</c:v>
                </c:pt>
                <c:pt idx="427">
                  <c:v>8.12758755392057</c:v>
                </c:pt>
                <c:pt idx="428">
                  <c:v>5.46787877678762</c:v>
                </c:pt>
                <c:pt idx="429">
                  <c:v>5.53525945407514</c:v>
                </c:pt>
                <c:pt idx="430">
                  <c:v>8.27601411935548</c:v>
                </c:pt>
                <c:pt idx="431">
                  <c:v>8.64553143772919</c:v>
                </c:pt>
                <c:pt idx="432">
                  <c:v>7.58729351368681</c:v>
                </c:pt>
                <c:pt idx="433">
                  <c:v>5.37869317364019</c:v>
                </c:pt>
                <c:pt idx="434">
                  <c:v>5.68806496877705</c:v>
                </c:pt>
                <c:pt idx="435">
                  <c:v>8.45530754805931</c:v>
                </c:pt>
                <c:pt idx="436">
                  <c:v>8.58123727368058</c:v>
                </c:pt>
                <c:pt idx="437">
                  <c:v>6.19517473904634</c:v>
                </c:pt>
                <c:pt idx="438">
                  <c:v>5.33301468307915</c:v>
                </c:pt>
                <c:pt idx="439">
                  <c:v>5.95543768925557</c:v>
                </c:pt>
                <c:pt idx="440">
                  <c:v>8.5744431915506</c:v>
                </c:pt>
                <c:pt idx="441">
                  <c:v>8.48718715134837</c:v>
                </c:pt>
                <c:pt idx="442">
                  <c:v>5.79487189830258</c:v>
                </c:pt>
                <c:pt idx="443">
                  <c:v>5.36866425548275</c:v>
                </c:pt>
                <c:pt idx="444">
                  <c:v>6.79828505634022</c:v>
                </c:pt>
                <c:pt idx="445">
                  <c:v>8.65502560000764</c:v>
                </c:pt>
                <c:pt idx="446">
                  <c:v>8.34765501106592</c:v>
                </c:pt>
                <c:pt idx="447">
                  <c:v>5.59368650919802</c:v>
                </c:pt>
                <c:pt idx="448">
                  <c:v>5.43695750258221</c:v>
                </c:pt>
                <c:pt idx="449">
                  <c:v>7.96655737102321</c:v>
                </c:pt>
                <c:pt idx="450">
                  <c:v>8.6814075652017</c:v>
                </c:pt>
                <c:pt idx="451">
                  <c:v>8.11527460986653</c:v>
                </c:pt>
                <c:pt idx="452">
                  <c:v>5.46384127303713</c:v>
                </c:pt>
                <c:pt idx="453">
                  <c:v>5.53907877480513</c:v>
                </c:pt>
                <c:pt idx="454">
                  <c:v>8.28332398147899</c:v>
                </c:pt>
                <c:pt idx="455">
                  <c:v>8.64312094332623</c:v>
                </c:pt>
                <c:pt idx="456">
                  <c:v>7.54382365472639</c:v>
                </c:pt>
                <c:pt idx="457">
                  <c:v>5.37601357208476</c:v>
                </c:pt>
                <c:pt idx="458">
                  <c:v>5.69452882168109</c:v>
                </c:pt>
                <c:pt idx="459">
                  <c:v>8.46018757831898</c:v>
                </c:pt>
                <c:pt idx="460">
                  <c:v>8.57759652289872</c:v>
                </c:pt>
                <c:pt idx="461">
                  <c:v>6.16822978044407</c:v>
                </c:pt>
                <c:pt idx="462">
                  <c:v>5.33306604818162</c:v>
                </c:pt>
                <c:pt idx="463">
                  <c:v>5.96950339806801</c:v>
                </c:pt>
                <c:pt idx="464">
                  <c:v>8.57807992441495</c:v>
                </c:pt>
                <c:pt idx="465">
                  <c:v>8.4815813519771</c:v>
                </c:pt>
                <c:pt idx="466">
                  <c:v>5.7830139708391</c:v>
                </c:pt>
                <c:pt idx="467">
                  <c:v>5.37061804446309</c:v>
                </c:pt>
                <c:pt idx="468">
                  <c:v>6.88101486538483</c:v>
                </c:pt>
                <c:pt idx="469">
                  <c:v>8.65757938255701</c:v>
                </c:pt>
                <c:pt idx="470">
                  <c:v>8.33810856098579</c:v>
                </c:pt>
                <c:pt idx="471">
                  <c:v>5.58564944053158</c:v>
                </c:pt>
                <c:pt idx="472">
                  <c:v>5.44070625696162</c:v>
                </c:pt>
                <c:pt idx="473">
                  <c:v>7.98777417678333</c:v>
                </c:pt>
                <c:pt idx="474">
                  <c:v>8.67911061067693</c:v>
                </c:pt>
                <c:pt idx="475">
                  <c:v>8.09486396242387</c:v>
                </c:pt>
                <c:pt idx="476">
                  <c:v>5.45756534050531</c:v>
                </c:pt>
                <c:pt idx="477">
                  <c:v>5.5458608561906</c:v>
                </c:pt>
                <c:pt idx="478">
                  <c:v>8.29549330849863</c:v>
                </c:pt>
                <c:pt idx="479">
                  <c:v>8.63839066557514</c:v>
                </c:pt>
                <c:pt idx="480">
                  <c:v>7.45184119495312</c:v>
                </c:pt>
                <c:pt idx="481">
                  <c:v>5.37123037313415</c:v>
                </c:pt>
                <c:pt idx="482">
                  <c:v>5.70816240627037</c:v>
                </c:pt>
                <c:pt idx="483">
                  <c:v>8.46981572579568</c:v>
                </c:pt>
                <c:pt idx="484">
                  <c:v>8.56923670366734</c:v>
                </c:pt>
                <c:pt idx="485">
                  <c:v>6.113971906974</c:v>
                </c:pt>
                <c:pt idx="486">
                  <c:v>5.33439934263191</c:v>
                </c:pt>
                <c:pt idx="487">
                  <c:v>6.00664704598302</c:v>
                </c:pt>
                <c:pt idx="488">
                  <c:v>8.58672595272591</c:v>
                </c:pt>
                <c:pt idx="489">
                  <c:v>8.4659265667369</c:v>
                </c:pt>
                <c:pt idx="490">
                  <c:v>5.75281881128991</c:v>
                </c:pt>
                <c:pt idx="491">
                  <c:v>5.37784032214501</c:v>
                </c:pt>
                <c:pt idx="492">
                  <c:v>7.15284241847949</c:v>
                </c:pt>
                <c:pt idx="493">
                  <c:v>8.66486092182458</c:v>
                </c:pt>
                <c:pt idx="494">
                  <c:v>8.304267789298</c:v>
                </c:pt>
                <c:pt idx="495">
                  <c:v>5.56000494518799</c:v>
                </c:pt>
                <c:pt idx="496">
                  <c:v>5.45818292596296</c:v>
                </c:pt>
                <c:pt idx="497">
                  <c:v>8.06562212223932</c:v>
                </c:pt>
                <c:pt idx="498">
                  <c:v>8.66826069872815</c:v>
                </c:pt>
                <c:pt idx="499">
                  <c:v>7.99636529590884</c:v>
                </c:pt>
                <c:pt idx="500">
                  <c:v>5.43253528264776</c:v>
                </c:pt>
                <c:pt idx="501">
                  <c:v>5.5895350020826</c:v>
                </c:pt>
                <c:pt idx="502">
                  <c:v>8.35758508968251</c:v>
                </c:pt>
                <c:pt idx="503">
                  <c:v>8.61382865170907</c:v>
                </c:pt>
                <c:pt idx="504">
                  <c:v>6.7412543214289</c:v>
                </c:pt>
                <c:pt idx="505">
                  <c:v>5.3497704490645</c:v>
                </c:pt>
                <c:pt idx="506">
                  <c:v>5.82395242187798</c:v>
                </c:pt>
                <c:pt idx="507">
                  <c:v>8.52956446861089</c:v>
                </c:pt>
                <c:pt idx="508">
                  <c:v>8.52373625099179</c:v>
                </c:pt>
                <c:pt idx="509">
                  <c:v>5.90079938138529</c:v>
                </c:pt>
                <c:pt idx="510">
                  <c:v>5.35956551621522</c:v>
                </c:pt>
                <c:pt idx="511">
                  <c:v>6.40656227160615</c:v>
                </c:pt>
                <c:pt idx="512">
                  <c:v>8.63601958964306</c:v>
                </c:pt>
                <c:pt idx="513">
                  <c:v>8.38911517710708</c:v>
                </c:pt>
                <c:pt idx="514">
                  <c:v>5.63595154620326</c:v>
                </c:pt>
                <c:pt idx="515">
                  <c:v>5.42355150874052</c:v>
                </c:pt>
                <c:pt idx="516">
                  <c:v>7.86602207723993</c:v>
                </c:pt>
                <c:pt idx="517">
                  <c:v>8.68510108534562</c:v>
                </c:pt>
                <c:pt idx="518">
                  <c:v>8.17360990492999</c:v>
                </c:pt>
                <c:pt idx="519">
                  <c:v>5.48522775014659</c:v>
                </c:pt>
                <c:pt idx="520">
                  <c:v>5.52208505129973</c:v>
                </c:pt>
                <c:pt idx="521">
                  <c:v>8.24781494048312</c:v>
                </c:pt>
                <c:pt idx="522">
                  <c:v>8.65196791467538</c:v>
                </c:pt>
                <c:pt idx="523">
                  <c:v>7.70064386788686</c:v>
                </c:pt>
                <c:pt idx="524">
                  <c:v>5.38748983366598</c:v>
                </c:pt>
                <c:pt idx="525">
                  <c:v>5.67077715950435</c:v>
                </c:pt>
                <c:pt idx="526">
                  <c:v>8.44112464567779</c:v>
                </c:pt>
                <c:pt idx="527">
                  <c:v>8.58944292417976</c:v>
                </c:pt>
                <c:pt idx="528">
                  <c:v>6.26775699170461</c:v>
                </c:pt>
                <c:pt idx="529">
                  <c:v>5.33408229872258</c:v>
                </c:pt>
                <c:pt idx="530">
                  <c:v>5.92611258226587</c:v>
                </c:pt>
                <c:pt idx="531">
                  <c:v>8.56612064669591</c:v>
                </c:pt>
                <c:pt idx="532">
                  <c:v>8.49754565788654</c:v>
                </c:pt>
                <c:pt idx="533">
                  <c:v>5.81889793164408</c:v>
                </c:pt>
                <c:pt idx="534">
                  <c:v>5.36566788293052</c:v>
                </c:pt>
                <c:pt idx="535">
                  <c:v>6.66746020480253</c:v>
                </c:pt>
                <c:pt idx="536">
                  <c:v>8.65024304262751</c:v>
                </c:pt>
                <c:pt idx="537">
                  <c:v>8.36199810332636</c:v>
                </c:pt>
                <c:pt idx="538">
                  <c:v>5.6067028064133</c:v>
                </c:pt>
                <c:pt idx="539">
                  <c:v>5.43194646946481</c:v>
                </c:pt>
                <c:pt idx="540">
                  <c:v>7.93419127939532</c:v>
                </c:pt>
                <c:pt idx="541">
                  <c:v>8.68372510840994</c:v>
                </c:pt>
                <c:pt idx="542">
                  <c:v>8.13975040410557</c:v>
                </c:pt>
                <c:pt idx="543">
                  <c:v>5.47208229604699</c:v>
                </c:pt>
                <c:pt idx="544">
                  <c:v>5.53164054390613</c:v>
                </c:pt>
                <c:pt idx="545">
                  <c:v>8.26874873642295</c:v>
                </c:pt>
                <c:pt idx="546">
                  <c:v>8.6475947452263</c:v>
                </c:pt>
                <c:pt idx="547">
                  <c:v>7.62349933068752</c:v>
                </c:pt>
                <c:pt idx="548">
                  <c:v>5.38118319810271</c:v>
                </c:pt>
                <c:pt idx="549">
                  <c:v>5.68263277553563</c:v>
                </c:pt>
                <c:pt idx="550">
                  <c:v>8.45103381411329</c:v>
                </c:pt>
                <c:pt idx="551">
                  <c:v>8.58406310934437</c:v>
                </c:pt>
                <c:pt idx="552">
                  <c:v>6.21799315550936</c:v>
                </c:pt>
                <c:pt idx="553">
                  <c:v>5.3331903992006</c:v>
                </c:pt>
                <c:pt idx="554">
                  <c:v>5.94507606393788</c:v>
                </c:pt>
                <c:pt idx="555">
                  <c:v>8.57162097553891</c:v>
                </c:pt>
                <c:pt idx="556">
                  <c:v>8.49106801990885</c:v>
                </c:pt>
                <c:pt idx="557">
                  <c:v>5.80350943497182</c:v>
                </c:pt>
                <c:pt idx="558">
                  <c:v>5.36745906012452</c:v>
                </c:pt>
                <c:pt idx="559">
                  <c:v>6.74619714602719</c:v>
                </c:pt>
                <c:pt idx="560">
                  <c:v>8.65325164872621</c:v>
                </c:pt>
                <c:pt idx="561">
                  <c:v>8.35347625173272</c:v>
                </c:pt>
                <c:pt idx="562">
                  <c:v>5.59881768717563</c:v>
                </c:pt>
                <c:pt idx="563">
                  <c:v>5.43484750968534</c:v>
                </c:pt>
                <c:pt idx="564">
                  <c:v>7.95355347267892</c:v>
                </c:pt>
                <c:pt idx="565">
                  <c:v>8.68250688151786</c:v>
                </c:pt>
                <c:pt idx="566">
                  <c:v>8.12600415003174</c:v>
                </c:pt>
                <c:pt idx="567">
                  <c:v>5.46734787316429</c:v>
                </c:pt>
                <c:pt idx="568">
                  <c:v>5.53574099191173</c:v>
                </c:pt>
                <c:pt idx="569">
                  <c:v>8.2769553904228</c:v>
                </c:pt>
                <c:pt idx="570">
                  <c:v>8.64524013048299</c:v>
                </c:pt>
                <c:pt idx="571">
                  <c:v>7.58212310570908</c:v>
                </c:pt>
                <c:pt idx="572">
                  <c:v>5.37835775961193</c:v>
                </c:pt>
                <c:pt idx="573">
                  <c:v>5.68883633267764</c:v>
                </c:pt>
                <c:pt idx="574">
                  <c:v>8.45590138650472</c:v>
                </c:pt>
                <c:pt idx="575">
                  <c:v>8.58081797221169</c:v>
                </c:pt>
                <c:pt idx="576">
                  <c:v>6.19194170023843</c:v>
                </c:pt>
                <c:pt idx="577">
                  <c:v>5.33300473892959</c:v>
                </c:pt>
                <c:pt idx="578">
                  <c:v>5.95701155240998</c:v>
                </c:pt>
                <c:pt idx="579">
                  <c:v>8.57486100939104</c:v>
                </c:pt>
                <c:pt idx="580">
                  <c:v>8.48657789436815</c:v>
                </c:pt>
                <c:pt idx="581">
                  <c:v>5.79354974233737</c:v>
                </c:pt>
                <c:pt idx="582">
                  <c:v>5.3688637511497</c:v>
                </c:pt>
                <c:pt idx="583">
                  <c:v>6.80683663679473</c:v>
                </c:pt>
                <c:pt idx="584">
                  <c:v>8.65530321431235</c:v>
                </c:pt>
                <c:pt idx="585">
                  <c:v>8.34668521005573</c:v>
                </c:pt>
                <c:pt idx="586">
                  <c:v>5.59284961144952</c:v>
                </c:pt>
                <c:pt idx="587">
                  <c:v>5.43732093096995</c:v>
                </c:pt>
                <c:pt idx="588">
                  <c:v>7.96871474844468</c:v>
                </c:pt>
                <c:pt idx="589">
                  <c:v>8.68120228748618</c:v>
                </c:pt>
                <c:pt idx="590">
                  <c:v>8.11336716245313</c:v>
                </c:pt>
                <c:pt idx="591">
                  <c:v>5.46323371418279</c:v>
                </c:pt>
                <c:pt idx="592">
                  <c:v>5.53968700442331</c:v>
                </c:pt>
                <c:pt idx="593">
                  <c:v>8.28445615467407</c:v>
                </c:pt>
                <c:pt idx="594">
                  <c:v>8.64271729520525</c:v>
                </c:pt>
                <c:pt idx="595">
                  <c:v>7.5363638803842</c:v>
                </c:pt>
                <c:pt idx="596">
                  <c:v>5.3755838231711</c:v>
                </c:pt>
                <c:pt idx="597">
                  <c:v>5.69563460945824</c:v>
                </c:pt>
                <c:pt idx="598">
                  <c:v>8.46100107460868</c:v>
                </c:pt>
                <c:pt idx="599">
                  <c:v>8.57694699212487</c:v>
                </c:pt>
                <c:pt idx="600">
                  <c:v>6.16366815199605</c:v>
                </c:pt>
                <c:pt idx="601">
                  <c:v>5.39373207334298</c:v>
                </c:pt>
                <c:pt idx="602">
                  <c:v>8.4529244041539</c:v>
                </c:pt>
                <c:pt idx="603">
                  <c:v>8.95887110446613</c:v>
                </c:pt>
                <c:pt idx="604">
                  <c:v>8.90801417790386</c:v>
                </c:pt>
                <c:pt idx="605">
                  <c:v>8.7744154333133</c:v>
                </c:pt>
                <c:pt idx="606">
                  <c:v>8.54059047758984</c:v>
                </c:pt>
                <c:pt idx="607">
                  <c:v>8.03601499672853</c:v>
                </c:pt>
                <c:pt idx="608">
                  <c:v>6.22636985612853</c:v>
                </c:pt>
                <c:pt idx="609">
                  <c:v>7.98508557198165</c:v>
                </c:pt>
                <c:pt idx="610">
                  <c:v>8.77250465753722</c:v>
                </c:pt>
                <c:pt idx="611">
                  <c:v>8.71254897565984</c:v>
                </c:pt>
                <c:pt idx="612">
                  <c:v>8.48157262295321</c:v>
                </c:pt>
                <c:pt idx="613">
                  <c:v>7.98914526980367</c:v>
                </c:pt>
                <c:pt idx="614">
                  <c:v>6.40585273745625</c:v>
                </c:pt>
                <c:pt idx="615">
                  <c:v>8.05615685156699</c:v>
                </c:pt>
                <c:pt idx="616">
                  <c:v>8.72742249628279</c:v>
                </c:pt>
                <c:pt idx="617">
                  <c:v>8.65372743126996</c:v>
                </c:pt>
                <c:pt idx="618">
                  <c:v>8.39799944318343</c:v>
                </c:pt>
                <c:pt idx="619">
                  <c:v>7.81353366750941</c:v>
                </c:pt>
                <c:pt idx="620">
                  <c:v>6.43926405498889</c:v>
                </c:pt>
                <c:pt idx="621">
                  <c:v>8.29112306752777</c:v>
                </c:pt>
                <c:pt idx="622">
                  <c:v>8.70393144252435</c:v>
                </c:pt>
                <c:pt idx="623">
                  <c:v>8.58318971038405</c:v>
                </c:pt>
                <c:pt idx="624">
                  <c:v>8.27428378766438</c:v>
                </c:pt>
                <c:pt idx="625">
                  <c:v>7.43749370240754</c:v>
                </c:pt>
                <c:pt idx="626">
                  <c:v>6.66453228023477</c:v>
                </c:pt>
                <c:pt idx="627">
                  <c:v>8.50910480529492</c:v>
                </c:pt>
                <c:pt idx="628">
                  <c:v>8.67171082916242</c:v>
                </c:pt>
                <c:pt idx="629">
                  <c:v>8.4905233774671</c:v>
                </c:pt>
                <c:pt idx="630">
                  <c:v>8.08840727874684</c:v>
                </c:pt>
                <c:pt idx="631">
                  <c:v>6.78767828538267</c:v>
                </c:pt>
                <c:pt idx="632">
                  <c:v>7.72597576441207</c:v>
                </c:pt>
                <c:pt idx="633">
                  <c:v>8.64372519545988</c:v>
                </c:pt>
                <c:pt idx="634">
                  <c:v>8.6155286797197</c:v>
                </c:pt>
                <c:pt idx="635">
                  <c:v>8.36491522009087</c:v>
                </c:pt>
                <c:pt idx="636">
                  <c:v>7.78594823631049</c:v>
                </c:pt>
                <c:pt idx="637">
                  <c:v>6.57156806919155</c:v>
                </c:pt>
                <c:pt idx="638">
                  <c:v>8.30057886490596</c:v>
                </c:pt>
                <c:pt idx="639">
                  <c:v>8.66354379569444</c:v>
                </c:pt>
                <c:pt idx="640">
                  <c:v>8.52903089995608</c:v>
                </c:pt>
                <c:pt idx="641">
                  <c:v>8.18728301912052</c:v>
                </c:pt>
                <c:pt idx="642">
                  <c:v>7.18077787690386</c:v>
                </c:pt>
                <c:pt idx="643">
                  <c:v>7.21300919750082</c:v>
                </c:pt>
                <c:pt idx="644">
                  <c:v>8.57184950497191</c:v>
                </c:pt>
                <c:pt idx="645">
                  <c:v>8.62723420081627</c:v>
                </c:pt>
                <c:pt idx="646">
                  <c:v>8.40780294034909</c:v>
                </c:pt>
                <c:pt idx="647">
                  <c:v>7.91362790278263</c:v>
                </c:pt>
                <c:pt idx="648">
                  <c:v>6.62738674023311</c:v>
                </c:pt>
                <c:pt idx="649">
                  <c:v>8.14130546752886</c:v>
                </c:pt>
                <c:pt idx="650">
                  <c:v>9.15771255398233</c:v>
                </c:pt>
                <c:pt idx="651">
                  <c:v>9.77815214652129</c:v>
                </c:pt>
                <c:pt idx="652">
                  <c:v>9.98499688642809</c:v>
                </c:pt>
                <c:pt idx="653">
                  <c:v>10.0911712357494</c:v>
                </c:pt>
                <c:pt idx="654">
                  <c:v>10.1524042406044</c:v>
                </c:pt>
                <c:pt idx="655">
                  <c:v>10.1869042545819</c:v>
                </c:pt>
                <c:pt idx="656">
                  <c:v>10.202540832293</c:v>
                </c:pt>
                <c:pt idx="657">
                  <c:v>10.2031567338502</c:v>
                </c:pt>
                <c:pt idx="658">
                  <c:v>10.1905389615415</c:v>
                </c:pt>
                <c:pt idx="659">
                  <c:v>10.1651338501404</c:v>
                </c:pt>
                <c:pt idx="660">
                  <c:v>10.1262313767594</c:v>
                </c:pt>
                <c:pt idx="661">
                  <c:v>10.0717772680824</c:v>
                </c:pt>
                <c:pt idx="662">
                  <c:v>9.9976849189249</c:v>
                </c:pt>
                <c:pt idx="663">
                  <c:v>9.89605073073149</c:v>
                </c:pt>
                <c:pt idx="664">
                  <c:v>9.75005158240305</c:v>
                </c:pt>
                <c:pt idx="665">
                  <c:v>9.51432452107601</c:v>
                </c:pt>
                <c:pt idx="666">
                  <c:v>8.95071993476934</c:v>
                </c:pt>
                <c:pt idx="667">
                  <c:v>4.87686429054462</c:v>
                </c:pt>
                <c:pt idx="668">
                  <c:v>4.61374936280179</c:v>
                </c:pt>
                <c:pt idx="669">
                  <c:v>4.58432216196103</c:v>
                </c:pt>
                <c:pt idx="670">
                  <c:v>4.6701502949978</c:v>
                </c:pt>
                <c:pt idx="671">
                  <c:v>5.00784180035702</c:v>
                </c:pt>
                <c:pt idx="672">
                  <c:v>8.81185603933382</c:v>
                </c:pt>
                <c:pt idx="673">
                  <c:v>9.30548210217352</c:v>
                </c:pt>
                <c:pt idx="674">
                  <c:v>9.3753163868446</c:v>
                </c:pt>
                <c:pt idx="675">
                  <c:v>9.39382209223759</c:v>
                </c:pt>
                <c:pt idx="676">
                  <c:v>9.35232053828041</c:v>
                </c:pt>
                <c:pt idx="677">
                  <c:v>9.24288990625009</c:v>
                </c:pt>
                <c:pt idx="678">
                  <c:v>9.02430660165153</c:v>
                </c:pt>
                <c:pt idx="679">
                  <c:v>8.45057047246725</c:v>
                </c:pt>
                <c:pt idx="680">
                  <c:v>5.40317611820368</c:v>
                </c:pt>
                <c:pt idx="681">
                  <c:v>5.38113504842514</c:v>
                </c:pt>
                <c:pt idx="682">
                  <c:v>8.24082559317143</c:v>
                </c:pt>
                <c:pt idx="683">
                  <c:v>8.82791430475902</c:v>
                </c:pt>
                <c:pt idx="684">
                  <c:v>8.67346131359925</c:v>
                </c:pt>
                <c:pt idx="685">
                  <c:v>8.25271334508865</c:v>
                </c:pt>
                <c:pt idx="686">
                  <c:v>6.17153429221612</c:v>
                </c:pt>
                <c:pt idx="687">
                  <c:v>6.37381005111784</c:v>
                </c:pt>
                <c:pt idx="688">
                  <c:v>8.73237755930996</c:v>
                </c:pt>
                <c:pt idx="689">
                  <c:v>8.79438229719782</c:v>
                </c:pt>
                <c:pt idx="690">
                  <c:v>8.61065938156584</c:v>
                </c:pt>
                <c:pt idx="691">
                  <c:v>8.2426651013239</c:v>
                </c:pt>
                <c:pt idx="692">
                  <c:v>6.74240230858493</c:v>
                </c:pt>
                <c:pt idx="693">
                  <c:v>6.53913495899396</c:v>
                </c:pt>
                <c:pt idx="694">
                  <c:v>8.65894616018678</c:v>
                </c:pt>
                <c:pt idx="695">
                  <c:v>8.74451916962392</c:v>
                </c:pt>
                <c:pt idx="696">
                  <c:v>8.56172798278757</c:v>
                </c:pt>
                <c:pt idx="697">
                  <c:v>8.18727318920343</c:v>
                </c:pt>
                <c:pt idx="698">
                  <c:v>6.80976267997146</c:v>
                </c:pt>
                <c:pt idx="699">
                  <c:v>7.08347441257747</c:v>
                </c:pt>
                <c:pt idx="700">
                  <c:v>8.65658554921465</c:v>
                </c:pt>
                <c:pt idx="701">
                  <c:v>8.6982117228019</c:v>
                </c:pt>
                <c:pt idx="702">
                  <c:v>8.49512490685985</c:v>
                </c:pt>
                <c:pt idx="703">
                  <c:v>8.06541397485041</c:v>
                </c:pt>
                <c:pt idx="704">
                  <c:v>6.60223476657107</c:v>
                </c:pt>
                <c:pt idx="705">
                  <c:v>7.8267066161681</c:v>
                </c:pt>
                <c:pt idx="706">
                  <c:v>8.68834223062491</c:v>
                </c:pt>
                <c:pt idx="707">
                  <c:v>8.64738485207482</c:v>
                </c:pt>
                <c:pt idx="708">
                  <c:v>8.40436040596712</c:v>
                </c:pt>
                <c:pt idx="709">
                  <c:v>7.85617961014025</c:v>
                </c:pt>
                <c:pt idx="710">
                  <c:v>6.48207009741667</c:v>
                </c:pt>
                <c:pt idx="711">
                  <c:v>8.23829917381037</c:v>
                </c:pt>
                <c:pt idx="712">
                  <c:v>8.69391199231818</c:v>
                </c:pt>
                <c:pt idx="713">
                  <c:v>8.58299428528107</c:v>
                </c:pt>
                <c:pt idx="714">
                  <c:v>8.28105559940236</c:v>
                </c:pt>
                <c:pt idx="715">
                  <c:v>7.4757778012352</c:v>
                </c:pt>
                <c:pt idx="716">
                  <c:v>6.63866316940535</c:v>
                </c:pt>
                <c:pt idx="717">
                  <c:v>8.49473092869935</c:v>
                </c:pt>
                <c:pt idx="718">
                  <c:v>8.6742951093841</c:v>
                </c:pt>
                <c:pt idx="719">
                  <c:v>8.49949803256641</c:v>
                </c:pt>
                <c:pt idx="720">
                  <c:v>8.10840593238775</c:v>
                </c:pt>
                <c:pt idx="721">
                  <c:v>6.82129837185417</c:v>
                </c:pt>
                <c:pt idx="722">
                  <c:v>7.63630915991106</c:v>
                </c:pt>
                <c:pt idx="723">
                  <c:v>8.64284625447405</c:v>
                </c:pt>
                <c:pt idx="724">
                  <c:v>8.62956130818152</c:v>
                </c:pt>
                <c:pt idx="725">
                  <c:v>8.39052552194041</c:v>
                </c:pt>
                <c:pt idx="726">
                  <c:v>7.84722485210364</c:v>
                </c:pt>
                <c:pt idx="727">
                  <c:v>6.54108853265286</c:v>
                </c:pt>
                <c:pt idx="728">
                  <c:v>8.23963721631326</c:v>
                </c:pt>
                <c:pt idx="729">
                  <c:v>8.67541475033159</c:v>
                </c:pt>
                <c:pt idx="730">
                  <c:v>8.55945333366902</c:v>
                </c:pt>
                <c:pt idx="731">
                  <c:v>8.24445707956519</c:v>
                </c:pt>
                <c:pt idx="732">
                  <c:v>7.37108900095556</c:v>
                </c:pt>
                <c:pt idx="733">
                  <c:v>6.81912740795802</c:v>
                </c:pt>
                <c:pt idx="734">
                  <c:v>8.527593027618</c:v>
                </c:pt>
                <c:pt idx="735">
                  <c:v>8.65580881832127</c:v>
                </c:pt>
                <c:pt idx="736">
                  <c:v>8.46457243123055</c:v>
                </c:pt>
                <c:pt idx="737">
                  <c:v>8.03779737851407</c:v>
                </c:pt>
                <c:pt idx="738">
                  <c:v>6.70131690685052</c:v>
                </c:pt>
                <c:pt idx="739">
                  <c:v>7.88691211794164</c:v>
                </c:pt>
                <c:pt idx="740">
                  <c:v>8.65426464910666</c:v>
                </c:pt>
                <c:pt idx="741">
                  <c:v>8.6022373146057</c:v>
                </c:pt>
                <c:pt idx="742">
                  <c:v>8.33841786644455</c:v>
                </c:pt>
                <c:pt idx="743">
                  <c:v>7.70781502891642</c:v>
                </c:pt>
                <c:pt idx="744">
                  <c:v>6.57311445387022</c:v>
                </c:pt>
                <c:pt idx="745">
                  <c:v>8.36630887568572</c:v>
                </c:pt>
                <c:pt idx="746">
                  <c:v>8.66752794585626</c:v>
                </c:pt>
                <c:pt idx="747">
                  <c:v>8.52084863032902</c:v>
                </c:pt>
                <c:pt idx="748">
                  <c:v>8.16622623966023</c:v>
                </c:pt>
                <c:pt idx="749">
                  <c:v>7.06594168114071</c:v>
                </c:pt>
                <c:pt idx="750">
                  <c:v>7.32340260201052</c:v>
                </c:pt>
                <c:pt idx="751">
                  <c:v>8.59843149696649</c:v>
                </c:pt>
                <c:pt idx="752">
                  <c:v>8.63361455725407</c:v>
                </c:pt>
                <c:pt idx="753">
                  <c:v>8.41143340779508</c:v>
                </c:pt>
                <c:pt idx="754">
                  <c:v>7.91226210883611</c:v>
                </c:pt>
                <c:pt idx="755">
                  <c:v>6.58616330427953</c:v>
                </c:pt>
                <c:pt idx="756">
                  <c:v>8.14836729794397</c:v>
                </c:pt>
                <c:pt idx="757">
                  <c:v>8.66570829089866</c:v>
                </c:pt>
                <c:pt idx="758">
                  <c:v>8.5664002481253</c:v>
                </c:pt>
                <c:pt idx="759">
                  <c:v>8.26461091579641</c:v>
                </c:pt>
                <c:pt idx="760">
                  <c:v>7.46490457647686</c:v>
                </c:pt>
                <c:pt idx="761">
                  <c:v>6.7464264602104</c:v>
                </c:pt>
                <c:pt idx="762">
                  <c:v>8.49401931260708</c:v>
                </c:pt>
                <c:pt idx="763">
                  <c:v>8.65471978769941</c:v>
                </c:pt>
                <c:pt idx="764">
                  <c:v>8.47168659290051</c:v>
                </c:pt>
                <c:pt idx="765">
                  <c:v>8.05832498634378</c:v>
                </c:pt>
                <c:pt idx="766">
                  <c:v>6.75233861004914</c:v>
                </c:pt>
                <c:pt idx="767">
                  <c:v>7.82211516393969</c:v>
                </c:pt>
                <c:pt idx="768">
                  <c:v>8.64542722869063</c:v>
                </c:pt>
                <c:pt idx="769">
                  <c:v>8.60383370749604</c:v>
                </c:pt>
                <c:pt idx="770">
                  <c:v>8.34505210083012</c:v>
                </c:pt>
                <c:pt idx="771">
                  <c:v>7.73232299734324</c:v>
                </c:pt>
                <c:pt idx="772">
                  <c:v>6.57524766416826</c:v>
                </c:pt>
                <c:pt idx="773">
                  <c:v>8.34658743034448</c:v>
                </c:pt>
                <c:pt idx="774">
                  <c:v>8.66553236332152</c:v>
                </c:pt>
                <c:pt idx="775">
                  <c:v>8.52278848201608</c:v>
                </c:pt>
                <c:pt idx="776">
                  <c:v>8.17228103049691</c:v>
                </c:pt>
                <c:pt idx="777">
                  <c:v>7.09787081280693</c:v>
                </c:pt>
                <c:pt idx="778">
                  <c:v>7.28646802913498</c:v>
                </c:pt>
                <c:pt idx="779">
                  <c:v>8.59175980853286</c:v>
                </c:pt>
                <c:pt idx="780">
                  <c:v>8.63337338713516</c:v>
                </c:pt>
                <c:pt idx="781">
                  <c:v>8.41304998196057</c:v>
                </c:pt>
                <c:pt idx="782">
                  <c:v>7.91799866342698</c:v>
                </c:pt>
                <c:pt idx="783">
                  <c:v>6.59323072139033</c:v>
                </c:pt>
                <c:pt idx="784">
                  <c:v>8.13871319255718</c:v>
                </c:pt>
                <c:pt idx="785">
                  <c:v>8.66411499694524</c:v>
                </c:pt>
                <c:pt idx="786">
                  <c:v>8.56643976385711</c:v>
                </c:pt>
                <c:pt idx="787">
                  <c:v>8.26562290171386</c:v>
                </c:pt>
                <c:pt idx="788">
                  <c:v>7.47108793243965</c:v>
                </c:pt>
                <c:pt idx="789">
                  <c:v>6.7451267262362</c:v>
                </c:pt>
                <c:pt idx="790">
                  <c:v>8.49138376320887</c:v>
                </c:pt>
                <c:pt idx="791">
                  <c:v>8.65408751073757</c:v>
                </c:pt>
                <c:pt idx="792">
                  <c:v>8.47145632676188</c:v>
                </c:pt>
                <c:pt idx="793">
                  <c:v>8.05845871179158</c:v>
                </c:pt>
                <c:pt idx="794">
                  <c:v>6.75494807118438</c:v>
                </c:pt>
                <c:pt idx="795">
                  <c:v>7.82132778182372</c:v>
                </c:pt>
                <c:pt idx="796">
                  <c:v>8.64472981983273</c:v>
                </c:pt>
                <c:pt idx="797">
                  <c:v>8.60325014698217</c:v>
                </c:pt>
                <c:pt idx="798">
                  <c:v>8.34430733667243</c:v>
                </c:pt>
                <c:pt idx="799">
                  <c:v>7.73086095441293</c:v>
                </c:pt>
                <c:pt idx="800">
                  <c:v>6.57713494239919</c:v>
                </c:pt>
                <c:pt idx="801">
                  <c:v>8.21271126323328</c:v>
                </c:pt>
                <c:pt idx="802">
                  <c:v>7.89623029087362</c:v>
                </c:pt>
                <c:pt idx="803">
                  <c:v>5.4848056285295</c:v>
                </c:pt>
                <c:pt idx="804">
                  <c:v>5.62307287015928</c:v>
                </c:pt>
                <c:pt idx="805">
                  <c:v>8.34630308904531</c:v>
                </c:pt>
                <c:pt idx="806">
                  <c:v>8.58539691996914</c:v>
                </c:pt>
                <c:pt idx="807">
                  <c:v>6.32198699492211</c:v>
                </c:pt>
                <c:pt idx="808">
                  <c:v>5.33008549014868</c:v>
                </c:pt>
                <c:pt idx="809">
                  <c:v>5.87059644838425</c:v>
                </c:pt>
                <c:pt idx="810">
                  <c:v>8.5466460950981</c:v>
                </c:pt>
                <c:pt idx="811">
                  <c:v>8.51179187829192</c:v>
                </c:pt>
                <c:pt idx="812">
                  <c:v>5.85553675558902</c:v>
                </c:pt>
                <c:pt idx="813">
                  <c:v>5.35849259933033</c:v>
                </c:pt>
                <c:pt idx="814">
                  <c:v>6.45324513581654</c:v>
                </c:pt>
                <c:pt idx="815">
                  <c:v>8.6404389350247</c:v>
                </c:pt>
                <c:pt idx="816">
                  <c:v>8.38913020978691</c:v>
                </c:pt>
                <c:pt idx="817">
                  <c:v>5.633314133533</c:v>
                </c:pt>
                <c:pt idx="818">
                  <c:v>5.41981121606187</c:v>
                </c:pt>
                <c:pt idx="819">
                  <c:v>7.84395310773058</c:v>
                </c:pt>
                <c:pt idx="820">
                  <c:v>8.68685844344962</c:v>
                </c:pt>
                <c:pt idx="821">
                  <c:v>8.19197171827745</c:v>
                </c:pt>
                <c:pt idx="822">
                  <c:v>5.49144819791878</c:v>
                </c:pt>
                <c:pt idx="823">
                  <c:v>5.5120664151967</c:v>
                </c:pt>
                <c:pt idx="824">
                  <c:v>8.2271667491423</c:v>
                </c:pt>
                <c:pt idx="825">
                  <c:v>8.65744749487141</c:v>
                </c:pt>
                <c:pt idx="826">
                  <c:v>7.78276806214207</c:v>
                </c:pt>
                <c:pt idx="827">
                  <c:v>5.39431586741199</c:v>
                </c:pt>
                <c:pt idx="828">
                  <c:v>5.65003656524562</c:v>
                </c:pt>
                <c:pt idx="829">
                  <c:v>8.42420290822476</c:v>
                </c:pt>
                <c:pt idx="830">
                  <c:v>8.59984666992615</c:v>
                </c:pt>
                <c:pt idx="831">
                  <c:v>6.38678448891276</c:v>
                </c:pt>
                <c:pt idx="832">
                  <c:v>5.33570256627216</c:v>
                </c:pt>
                <c:pt idx="833">
                  <c:v>5.88013965449736</c:v>
                </c:pt>
                <c:pt idx="834">
                  <c:v>8.55277616324687</c:v>
                </c:pt>
                <c:pt idx="835">
                  <c:v>8.51477586831201</c:v>
                </c:pt>
                <c:pt idx="836">
                  <c:v>5.86421501861445</c:v>
                </c:pt>
                <c:pt idx="837">
                  <c:v>5.35923150338662</c:v>
                </c:pt>
                <c:pt idx="838">
                  <c:v>6.45464984012921</c:v>
                </c:pt>
                <c:pt idx="839">
                  <c:v>8.64099495606708</c:v>
                </c:pt>
                <c:pt idx="840">
                  <c:v>8.3904762709254</c:v>
                </c:pt>
                <c:pt idx="841">
                  <c:v>5.6350991747067</c:v>
                </c:pt>
                <c:pt idx="842">
                  <c:v>5.41973902389079</c:v>
                </c:pt>
                <c:pt idx="843">
                  <c:v>7.84252295949988</c:v>
                </c:pt>
                <c:pt idx="844">
                  <c:v>8.68693892933566</c:v>
                </c:pt>
                <c:pt idx="845">
                  <c:v>8.19296682319521</c:v>
                </c:pt>
                <c:pt idx="846">
                  <c:v>5.49195649021486</c:v>
                </c:pt>
                <c:pt idx="847">
                  <c:v>5.51186985137979</c:v>
                </c:pt>
                <c:pt idx="848">
                  <c:v>8.22665981319634</c:v>
                </c:pt>
                <c:pt idx="849">
                  <c:v>8.65752466258601</c:v>
                </c:pt>
                <c:pt idx="850">
                  <c:v>7.78409508958011</c:v>
                </c:pt>
                <c:pt idx="851">
                  <c:v>5.39448521164909</c:v>
                </c:pt>
                <c:pt idx="852">
                  <c:v>5.64982855876053</c:v>
                </c:pt>
                <c:pt idx="853">
                  <c:v>8.42400278557735</c:v>
                </c:pt>
                <c:pt idx="854">
                  <c:v>8.59991398881966</c:v>
                </c:pt>
                <c:pt idx="855">
                  <c:v>6.38783200322448</c:v>
                </c:pt>
                <c:pt idx="856">
                  <c:v>5.33574135503222</c:v>
                </c:pt>
                <c:pt idx="857">
                  <c:v>5.87990927000798</c:v>
                </c:pt>
                <c:pt idx="858">
                  <c:v>8.55269436312852</c:v>
                </c:pt>
                <c:pt idx="859">
                  <c:v>8.51483236845362</c:v>
                </c:pt>
                <c:pt idx="860">
                  <c:v>5.86439784200086</c:v>
                </c:pt>
                <c:pt idx="861">
                  <c:v>5.35921946420884</c:v>
                </c:pt>
                <c:pt idx="862">
                  <c:v>6.45416111293583</c:v>
                </c:pt>
                <c:pt idx="863">
                  <c:v>8.64096318974712</c:v>
                </c:pt>
                <c:pt idx="864">
                  <c:v>8.39052515965959</c:v>
                </c:pt>
                <c:pt idx="865">
                  <c:v>5.63515815120308</c:v>
                </c:pt>
                <c:pt idx="866">
                  <c:v>5.41972367700381</c:v>
                </c:pt>
                <c:pt idx="867">
                  <c:v>7.84237261609817</c:v>
                </c:pt>
                <c:pt idx="868">
                  <c:v>8.68693672187832</c:v>
                </c:pt>
                <c:pt idx="869">
                  <c:v>8.19301481568421</c:v>
                </c:pt>
                <c:pt idx="870">
                  <c:v>5.49197883696547</c:v>
                </c:pt>
                <c:pt idx="871">
                  <c:v>5.51185589325647</c:v>
                </c:pt>
                <c:pt idx="872">
                  <c:v>8.22662435170503</c:v>
                </c:pt>
                <c:pt idx="873">
                  <c:v>8.65752815553135</c:v>
                </c:pt>
                <c:pt idx="874">
                  <c:v>7.78416594463166</c:v>
                </c:pt>
                <c:pt idx="875">
                  <c:v>5.39449378991157</c:v>
                </c:pt>
                <c:pt idx="876">
                  <c:v>5.64981589195259</c:v>
                </c:pt>
                <c:pt idx="877">
                  <c:v>8.42399043208537</c:v>
                </c:pt>
                <c:pt idx="878">
                  <c:v>8.59991766599789</c:v>
                </c:pt>
                <c:pt idx="879">
                  <c:v>6.38789037560837</c:v>
                </c:pt>
                <c:pt idx="880">
                  <c:v>5.33574341317966</c:v>
                </c:pt>
                <c:pt idx="881">
                  <c:v>5.87989581614784</c:v>
                </c:pt>
                <c:pt idx="882">
                  <c:v>8.552689539758</c:v>
                </c:pt>
                <c:pt idx="883">
                  <c:v>8.51483556184986</c:v>
                </c:pt>
                <c:pt idx="884">
                  <c:v>5.86440818771623</c:v>
                </c:pt>
                <c:pt idx="885">
                  <c:v>5.35921875511062</c:v>
                </c:pt>
                <c:pt idx="886">
                  <c:v>6.45413295480947</c:v>
                </c:pt>
                <c:pt idx="887">
                  <c:v>8.64096134902736</c:v>
                </c:pt>
                <c:pt idx="888">
                  <c:v>8.39052794621954</c:v>
                </c:pt>
                <c:pt idx="889">
                  <c:v>5.63516151008798</c:v>
                </c:pt>
                <c:pt idx="890">
                  <c:v>5.41972279497289</c:v>
                </c:pt>
                <c:pt idx="891">
                  <c:v>7.84236398845172</c:v>
                </c:pt>
                <c:pt idx="892">
                  <c:v>8.68693659289166</c:v>
                </c:pt>
                <c:pt idx="893">
                  <c:v>8.19301755763713</c:v>
                </c:pt>
                <c:pt idx="894">
                  <c:v>5.49198011295447</c:v>
                </c:pt>
                <c:pt idx="895">
                  <c:v>5.51185509383003</c:v>
                </c:pt>
                <c:pt idx="896">
                  <c:v>8.22662232073577</c:v>
                </c:pt>
                <c:pt idx="897">
                  <c:v>8.65752835495961</c:v>
                </c:pt>
                <c:pt idx="898">
                  <c:v>7.78416999546865</c:v>
                </c:pt>
                <c:pt idx="899">
                  <c:v>5.39449428021998</c:v>
                </c:pt>
                <c:pt idx="900">
                  <c:v>5.64981516713542</c:v>
                </c:pt>
                <c:pt idx="901">
                  <c:v>8.42398972511968</c:v>
                </c:pt>
                <c:pt idx="902">
                  <c:v>8.59991787625629</c:v>
                </c:pt>
                <c:pt idx="903">
                  <c:v>6.38789371407927</c:v>
                </c:pt>
                <c:pt idx="904">
                  <c:v>5.3357435308577</c:v>
                </c:pt>
                <c:pt idx="905">
                  <c:v>5.87989504651373</c:v>
                </c:pt>
                <c:pt idx="906">
                  <c:v>8.55268926381315</c:v>
                </c:pt>
                <c:pt idx="907">
                  <c:v>8.51483574448853</c:v>
                </c:pt>
                <c:pt idx="908">
                  <c:v>5.86440877943728</c:v>
                </c:pt>
                <c:pt idx="909">
                  <c:v>5.35921871454497</c:v>
                </c:pt>
                <c:pt idx="910">
                  <c:v>6.45413134419157</c:v>
                </c:pt>
                <c:pt idx="911">
                  <c:v>8.64096124373321</c:v>
                </c:pt>
                <c:pt idx="912">
                  <c:v>8.39052810559854</c:v>
                </c:pt>
                <c:pt idx="913">
                  <c:v>5.63516170220319</c:v>
                </c:pt>
                <c:pt idx="914">
                  <c:v>5.41972274452174</c:v>
                </c:pt>
                <c:pt idx="915">
                  <c:v>7.84236349495908</c:v>
                </c:pt>
                <c:pt idx="916">
                  <c:v>8.6869365855123</c:v>
                </c:pt>
                <c:pt idx="917">
                  <c:v>8.19301771446682</c:v>
                </c:pt>
                <c:pt idx="918">
                  <c:v>5.49198018593674</c:v>
                </c:pt>
                <c:pt idx="919">
                  <c:v>5.51185504810494</c:v>
                </c:pt>
                <c:pt idx="920">
                  <c:v>8.22662220456928</c:v>
                </c:pt>
                <c:pt idx="921">
                  <c:v>8.65752836636605</c:v>
                </c:pt>
                <c:pt idx="922">
                  <c:v>7.78417022716197</c:v>
                </c:pt>
                <c:pt idx="923">
                  <c:v>5.39449430826403</c:v>
                </c:pt>
                <c:pt idx="924">
                  <c:v>5.64981512567816</c:v>
                </c:pt>
                <c:pt idx="925">
                  <c:v>8.42398968468335</c:v>
                </c:pt>
                <c:pt idx="926">
                  <c:v>8.59991788828233</c:v>
                </c:pt>
                <c:pt idx="927">
                  <c:v>6.38789390502911</c:v>
                </c:pt>
                <c:pt idx="928">
                  <c:v>5.3357435375885</c:v>
                </c:pt>
                <c:pt idx="929">
                  <c:v>5.87989500249323</c:v>
                </c:pt>
                <c:pt idx="930">
                  <c:v>8.55268924802998</c:v>
                </c:pt>
                <c:pt idx="931">
                  <c:v>8.5148357549348</c:v>
                </c:pt>
                <c:pt idx="932">
                  <c:v>5.86440881328175</c:v>
                </c:pt>
                <c:pt idx="933">
                  <c:v>5.35921871222477</c:v>
                </c:pt>
                <c:pt idx="934">
                  <c:v>6.45413125207001</c:v>
                </c:pt>
                <c:pt idx="935">
                  <c:v>8.64096123771076</c:v>
                </c:pt>
                <c:pt idx="936">
                  <c:v>8.39052811471443</c:v>
                </c:pt>
                <c:pt idx="937">
                  <c:v>5.63516171319147</c:v>
                </c:pt>
                <c:pt idx="938">
                  <c:v>5.41972274163611</c:v>
                </c:pt>
                <c:pt idx="939">
                  <c:v>7.84236346673289</c:v>
                </c:pt>
                <c:pt idx="940">
                  <c:v>8.68693658509017</c:v>
                </c:pt>
                <c:pt idx="941">
                  <c:v>8.19301772343686</c:v>
                </c:pt>
                <c:pt idx="942">
                  <c:v>5.49198019011102</c:v>
                </c:pt>
                <c:pt idx="943">
                  <c:v>5.5118550454896</c:v>
                </c:pt>
                <c:pt idx="944">
                  <c:v>8.22662219792486</c:v>
                </c:pt>
                <c:pt idx="945">
                  <c:v>8.65752836701843</c:v>
                </c:pt>
                <c:pt idx="946">
                  <c:v>7.78417024041386</c:v>
                </c:pt>
                <c:pt idx="947">
                  <c:v>5.39449430986803</c:v>
                </c:pt>
                <c:pt idx="948">
                  <c:v>5.64981512330694</c:v>
                </c:pt>
                <c:pt idx="949">
                  <c:v>8.42398968237055</c:v>
                </c:pt>
                <c:pt idx="950">
                  <c:v>8.59991788897015</c:v>
                </c:pt>
                <c:pt idx="951">
                  <c:v>6.3878939159511</c:v>
                </c:pt>
                <c:pt idx="952">
                  <c:v>5.33574353797352</c:v>
                </c:pt>
                <c:pt idx="953">
                  <c:v>5.87989499997548</c:v>
                </c:pt>
                <c:pt idx="954">
                  <c:v>8.5526892471273</c:v>
                </c:pt>
                <c:pt idx="955">
                  <c:v>8.51483575553232</c:v>
                </c:pt>
                <c:pt idx="956">
                  <c:v>5.86440881521759</c:v>
                </c:pt>
                <c:pt idx="957">
                  <c:v>5.35921871209205</c:v>
                </c:pt>
                <c:pt idx="958">
                  <c:v>6.45413124680077</c:v>
                </c:pt>
                <c:pt idx="959">
                  <c:v>8.64096123736629</c:v>
                </c:pt>
                <c:pt idx="960">
                  <c:v>8.39052811523589</c:v>
                </c:pt>
                <c:pt idx="961">
                  <c:v>5.63516171382007</c:v>
                </c:pt>
                <c:pt idx="962">
                  <c:v>5.41972274147107</c:v>
                </c:pt>
                <c:pt idx="963">
                  <c:v>7.84236346511849</c:v>
                </c:pt>
                <c:pt idx="964">
                  <c:v>8.68693658506602</c:v>
                </c:pt>
                <c:pt idx="965">
                  <c:v>8.19301772394995</c:v>
                </c:pt>
                <c:pt idx="966">
                  <c:v>5.49198019034981</c:v>
                </c:pt>
                <c:pt idx="967">
                  <c:v>5.51185504534004</c:v>
                </c:pt>
                <c:pt idx="968">
                  <c:v>8.22662219754492</c:v>
                </c:pt>
                <c:pt idx="969">
                  <c:v>8.65752836705571</c:v>
                </c:pt>
                <c:pt idx="970">
                  <c:v>7.78417024117205</c:v>
                </c:pt>
                <c:pt idx="971">
                  <c:v>5.39449430995981</c:v>
                </c:pt>
                <c:pt idx="972">
                  <c:v>5.6498151231713</c:v>
                </c:pt>
                <c:pt idx="973">
                  <c:v>8.42398968223826</c:v>
                </c:pt>
                <c:pt idx="974">
                  <c:v>8.59991788900953</c:v>
                </c:pt>
                <c:pt idx="975">
                  <c:v>6.38789391657598</c:v>
                </c:pt>
                <c:pt idx="976">
                  <c:v>5.33574353799553</c:v>
                </c:pt>
                <c:pt idx="977">
                  <c:v>5.87989499983132</c:v>
                </c:pt>
                <c:pt idx="978">
                  <c:v>8.55268924707558</c:v>
                </c:pt>
                <c:pt idx="979">
                  <c:v>8.51483575556651</c:v>
                </c:pt>
                <c:pt idx="980">
                  <c:v>5.86440881532835</c:v>
                </c:pt>
                <c:pt idx="981">
                  <c:v>5.35921871208447</c:v>
                </c:pt>
                <c:pt idx="982">
                  <c:v>6.4541312464996</c:v>
                </c:pt>
                <c:pt idx="983">
                  <c:v>8.64096123734665</c:v>
                </c:pt>
                <c:pt idx="984">
                  <c:v>8.39052811526572</c:v>
                </c:pt>
                <c:pt idx="985">
                  <c:v>5.63516171385603</c:v>
                </c:pt>
                <c:pt idx="986">
                  <c:v>5.41972274146163</c:v>
                </c:pt>
                <c:pt idx="987">
                  <c:v>7.84236346502622</c:v>
                </c:pt>
                <c:pt idx="988">
                  <c:v>8.68693658506468</c:v>
                </c:pt>
                <c:pt idx="989">
                  <c:v>8.19301772397935</c:v>
                </c:pt>
                <c:pt idx="990">
                  <c:v>5.49198019036348</c:v>
                </c:pt>
                <c:pt idx="991">
                  <c:v>5.51185504533147</c:v>
                </c:pt>
                <c:pt idx="992">
                  <c:v>8.22662219752317</c:v>
                </c:pt>
                <c:pt idx="993">
                  <c:v>8.65752836705788</c:v>
                </c:pt>
                <c:pt idx="994">
                  <c:v>7.7841702412156</c:v>
                </c:pt>
                <c:pt idx="995">
                  <c:v>5.39449430996509</c:v>
                </c:pt>
                <c:pt idx="996">
                  <c:v>5.64981512316356</c:v>
                </c:pt>
                <c:pt idx="997">
                  <c:v>8.42398968223069</c:v>
                </c:pt>
                <c:pt idx="998">
                  <c:v>8.5999178890118</c:v>
                </c:pt>
                <c:pt idx="999">
                  <c:v>6.38789391661183</c:v>
                </c:pt>
                <c:pt idx="1000">
                  <c:v>5.3357435379968</c:v>
                </c:pt>
                <c:pt idx="1001">
                  <c:v>5.7209196339115</c:v>
                </c:pt>
                <c:pt idx="1002">
                  <c:v>6.60473088468941</c:v>
                </c:pt>
                <c:pt idx="1003">
                  <c:v>7.20107407612129</c:v>
                </c:pt>
                <c:pt idx="1004">
                  <c:v>5.48614330691589</c:v>
                </c:pt>
                <c:pt idx="1005">
                  <c:v>5.35095807263869</c:v>
                </c:pt>
                <c:pt idx="1006">
                  <c:v>5.5371611270689</c:v>
                </c:pt>
                <c:pt idx="1007">
                  <c:v>5.94724227023542</c:v>
                </c:pt>
                <c:pt idx="1008">
                  <c:v>7.13254419979029</c:v>
                </c:pt>
                <c:pt idx="1009">
                  <c:v>6.20580519176502</c:v>
                </c:pt>
                <c:pt idx="1010">
                  <c:v>5.40177351150855</c:v>
                </c:pt>
                <c:pt idx="1011">
                  <c:v>5.44333391149805</c:v>
                </c:pt>
                <c:pt idx="1012">
                  <c:v>5.71455510915933</c:v>
                </c:pt>
                <c:pt idx="1013">
                  <c:v>6.35864883654132</c:v>
                </c:pt>
                <c:pt idx="1014">
                  <c:v>7.18880777850027</c:v>
                </c:pt>
                <c:pt idx="1015">
                  <c:v>5.63268711694245</c:v>
                </c:pt>
                <c:pt idx="1016">
                  <c:v>5.40392562113473</c:v>
                </c:pt>
                <c:pt idx="1017">
                  <c:v>5.57728428405989</c:v>
                </c:pt>
                <c:pt idx="1018">
                  <c:v>5.99265123342438</c:v>
                </c:pt>
                <c:pt idx="1019">
                  <c:v>7.09693807567189</c:v>
                </c:pt>
                <c:pt idx="1020">
                  <c:v>6.10829984485523</c:v>
                </c:pt>
                <c:pt idx="1021">
                  <c:v>5.42845080879787</c:v>
                </c:pt>
                <c:pt idx="1022">
                  <c:v>5.48985307604799</c:v>
                </c:pt>
                <c:pt idx="1023">
                  <c:v>5.78600849977397</c:v>
                </c:pt>
                <c:pt idx="1024">
                  <c:v>6.51556344176067</c:v>
                </c:pt>
                <c:pt idx="1025">
                  <c:v>6.88172387998241</c:v>
                </c:pt>
                <c:pt idx="1026">
                  <c:v>5.5639211494399</c:v>
                </c:pt>
                <c:pt idx="1027">
                  <c:v>5.44141105068485</c:v>
                </c:pt>
                <c:pt idx="1028">
                  <c:v>5.65066558763697</c:v>
                </c:pt>
                <c:pt idx="1029">
                  <c:v>6.13950595798052</c:v>
                </c:pt>
                <c:pt idx="1030">
                  <c:v>7.15596936584399</c:v>
                </c:pt>
                <c:pt idx="1031">
                  <c:v>5.85510514890071</c:v>
                </c:pt>
                <c:pt idx="1032">
                  <c:v>5.43446183714717</c:v>
                </c:pt>
                <c:pt idx="1033">
                  <c:v>5.5567171145294</c:v>
                </c:pt>
                <c:pt idx="1034">
                  <c:v>5.91520476351939</c:v>
                </c:pt>
                <c:pt idx="1035">
                  <c:v>6.84357312915062</c:v>
                </c:pt>
                <c:pt idx="1036">
                  <c:v>6.33819623759815</c:v>
                </c:pt>
                <c:pt idx="1037">
                  <c:v>5.48428509299853</c:v>
                </c:pt>
                <c:pt idx="1038">
                  <c:v>5.49308488322769</c:v>
                </c:pt>
                <c:pt idx="1039">
                  <c:v>5.76308930830491</c:v>
                </c:pt>
                <c:pt idx="1040">
                  <c:v>6.40555175707077</c:v>
                </c:pt>
                <c:pt idx="1041">
                  <c:v>6.93431787489957</c:v>
                </c:pt>
                <c:pt idx="1042">
                  <c:v>5.62884874466053</c:v>
                </c:pt>
                <c:pt idx="1043">
                  <c:v>5.45837295969577</c:v>
                </c:pt>
                <c:pt idx="1044">
                  <c:v>5.65366745764301</c:v>
                </c:pt>
                <c:pt idx="1045">
                  <c:v>6.12154651441549</c:v>
                </c:pt>
                <c:pt idx="1046">
                  <c:v>7.08649429027831</c:v>
                </c:pt>
                <c:pt idx="1047">
                  <c:v>5.89064971119169</c:v>
                </c:pt>
                <c:pt idx="1048">
                  <c:v>5.45656837213534</c:v>
                </c:pt>
                <c:pt idx="1049">
                  <c:v>5.57337351872857</c:v>
                </c:pt>
                <c:pt idx="1050">
                  <c:v>5.93232475024166</c:v>
                </c:pt>
                <c:pt idx="1051">
                  <c:v>6.8316520288679</c:v>
                </c:pt>
                <c:pt idx="1052">
                  <c:v>6.28765336327512</c:v>
                </c:pt>
                <c:pt idx="1053">
                  <c:v>5.4981514808384</c:v>
                </c:pt>
                <c:pt idx="1054">
                  <c:v>5.51600747033864</c:v>
                </c:pt>
                <c:pt idx="1055">
                  <c:v>5.79569574035382</c:v>
                </c:pt>
                <c:pt idx="1056">
                  <c:v>6.46426203380075</c:v>
                </c:pt>
                <c:pt idx="1057">
                  <c:v>6.78468545088818</c:v>
                </c:pt>
                <c:pt idx="1058">
                  <c:v>5.60760632729641</c:v>
                </c:pt>
                <c:pt idx="1059">
                  <c:v>5.4807674606755</c:v>
                </c:pt>
                <c:pt idx="1060">
                  <c:v>5.69290701062357</c:v>
                </c:pt>
                <c:pt idx="1061">
                  <c:v>6.19666692737652</c:v>
                </c:pt>
                <c:pt idx="1062">
                  <c:v>7.0398828195978</c:v>
                </c:pt>
                <c:pt idx="1063">
                  <c:v>5.80429754354911</c:v>
                </c:pt>
                <c:pt idx="1064">
                  <c:v>5.47009055231712</c:v>
                </c:pt>
                <c:pt idx="1065">
                  <c:v>5.61416882767344</c:v>
                </c:pt>
                <c:pt idx="1066">
                  <c:v>6.00941669046703</c:v>
                </c:pt>
                <c:pt idx="1067">
                  <c:v>6.93613757335105</c:v>
                </c:pt>
                <c:pt idx="1068">
                  <c:v>6.09675260568938</c:v>
                </c:pt>
                <c:pt idx="1069">
                  <c:v>5.48977289673389</c:v>
                </c:pt>
                <c:pt idx="1070">
                  <c:v>5.55472081948918</c:v>
                </c:pt>
                <c:pt idx="1071">
                  <c:v>5.87065256052129</c:v>
                </c:pt>
                <c:pt idx="1072">
                  <c:v>6.63626623086079</c:v>
                </c:pt>
                <c:pt idx="1073">
                  <c:v>6.48617847812079</c:v>
                </c:pt>
                <c:pt idx="1074">
                  <c:v>5.55250938982551</c:v>
                </c:pt>
                <c:pt idx="1075">
                  <c:v>5.51301400520671</c:v>
                </c:pt>
                <c:pt idx="1076">
                  <c:v>5.76422238533668</c:v>
                </c:pt>
                <c:pt idx="1077">
                  <c:v>6.35581309914235</c:v>
                </c:pt>
                <c:pt idx="1078">
                  <c:v>6.86902256945178</c:v>
                </c:pt>
                <c:pt idx="1079">
                  <c:v>5.67607486302942</c:v>
                </c:pt>
                <c:pt idx="1080">
                  <c:v>5.48958062247286</c:v>
                </c:pt>
                <c:pt idx="1081">
                  <c:v>5.68082184376562</c:v>
                </c:pt>
                <c:pt idx="1082">
                  <c:v>6.1491677426938</c:v>
                </c:pt>
                <c:pt idx="1083">
                  <c:v>6.99624297529557</c:v>
                </c:pt>
                <c:pt idx="1084">
                  <c:v>5.86806601286133</c:v>
                </c:pt>
                <c:pt idx="1085">
                  <c:v>5.48685097522342</c:v>
                </c:pt>
                <c:pt idx="1086">
                  <c:v>5.61520987530085</c:v>
                </c:pt>
                <c:pt idx="1087">
                  <c:v>5.995216539559</c:v>
                </c:pt>
                <c:pt idx="1088">
                  <c:v>6.87173630745461</c:v>
                </c:pt>
                <c:pt idx="1089">
                  <c:v>6.13254500555686</c:v>
                </c:pt>
                <c:pt idx="1090">
                  <c:v>5.50949038202906</c:v>
                </c:pt>
                <c:pt idx="1091">
                  <c:v>5.56457210000638</c:v>
                </c:pt>
                <c:pt idx="1092">
                  <c:v>5.87615215366541</c:v>
                </c:pt>
                <c:pt idx="1093">
                  <c:v>6.61833863396867</c:v>
                </c:pt>
                <c:pt idx="1094">
                  <c:v>6.46228470264438</c:v>
                </c:pt>
                <c:pt idx="1095">
                  <c:v>5.56638444400674</c:v>
                </c:pt>
                <c:pt idx="1096">
                  <c:v>5.52807562552692</c:v>
                </c:pt>
                <c:pt idx="1097">
                  <c:v>5.78182787074447</c:v>
                </c:pt>
                <c:pt idx="1098">
                  <c:v>6.37829613051764</c:v>
                </c:pt>
                <c:pt idx="1099">
                  <c:v>6.78848647992294</c:v>
                </c:pt>
                <c:pt idx="1100">
                  <c:v>5.66965399629347</c:v>
                </c:pt>
                <c:pt idx="1101">
                  <c:v>5.50640597245903</c:v>
                </c:pt>
                <c:pt idx="1102">
                  <c:v>5.70627577542863</c:v>
                </c:pt>
                <c:pt idx="1103">
                  <c:v>6.19192344327142</c:v>
                </c:pt>
                <c:pt idx="1104">
                  <c:v>6.9436024440676</c:v>
                </c:pt>
                <c:pt idx="1105">
                  <c:v>5.82404052817327</c:v>
                </c:pt>
                <c:pt idx="1106">
                  <c:v>5.50106283711708</c:v>
                </c:pt>
                <c:pt idx="1107">
                  <c:v>5.64578035302506</c:v>
                </c:pt>
                <c:pt idx="1108">
                  <c:v>6.04869918437978</c:v>
                </c:pt>
                <c:pt idx="1109">
                  <c:v>6.89575188526167</c:v>
                </c:pt>
                <c:pt idx="1110">
                  <c:v>6.02910023263156</c:v>
                </c:pt>
                <c:pt idx="1111">
                  <c:v>5.51444605307293</c:v>
                </c:pt>
                <c:pt idx="1112">
                  <c:v>5.59807193573295</c:v>
                </c:pt>
                <c:pt idx="1113">
                  <c:v>5.93620968194263</c:v>
                </c:pt>
                <c:pt idx="1114">
                  <c:v>6.71730489979625</c:v>
                </c:pt>
                <c:pt idx="1115">
                  <c:v>6.27898990410556</c:v>
                </c:pt>
                <c:pt idx="1116">
                  <c:v>5.55068092954853</c:v>
                </c:pt>
                <c:pt idx="1117">
                  <c:v>5.56212390777029</c:v>
                </c:pt>
                <c:pt idx="1118">
                  <c:v>5.84628555496445</c:v>
                </c:pt>
                <c:pt idx="1119">
                  <c:v>6.5080088866438</c:v>
                </c:pt>
                <c:pt idx="1120">
                  <c:v>6.55028179043714</c:v>
                </c:pt>
                <c:pt idx="1121">
                  <c:v>5.61548017790659</c:v>
                </c:pt>
                <c:pt idx="1122">
                  <c:v>5.53779830320637</c:v>
                </c:pt>
                <c:pt idx="1123">
                  <c:v>5.77387766199763</c:v>
                </c:pt>
                <c:pt idx="1124">
                  <c:v>6.32846112020956</c:v>
                </c:pt>
                <c:pt idx="1125">
                  <c:v>6.77357472264213</c:v>
                </c:pt>
                <c:pt idx="1126">
                  <c:v>5.71294431049446</c:v>
                </c:pt>
                <c:pt idx="1127">
                  <c:v>5.52558474673346</c:v>
                </c:pt>
                <c:pt idx="1128">
                  <c:v>5.7157981048931</c:v>
                </c:pt>
                <c:pt idx="1129">
                  <c:v>6.18639815204877</c:v>
                </c:pt>
                <c:pt idx="1130">
                  <c:v>6.86786530125214</c:v>
                </c:pt>
                <c:pt idx="1131">
                  <c:v>5.84077605478278</c:v>
                </c:pt>
                <c:pt idx="1132">
                  <c:v>5.52619368049654</c:v>
                </c:pt>
                <c:pt idx="1133">
                  <c:v>5.67013532709859</c:v>
                </c:pt>
                <c:pt idx="1134">
                  <c:v>6.07528166748974</c:v>
                </c:pt>
                <c:pt idx="1135">
                  <c:v>6.83616176155982</c:v>
                </c:pt>
                <c:pt idx="1136">
                  <c:v>5.99187525052778</c:v>
                </c:pt>
                <c:pt idx="1137">
                  <c:v>5.54016072166736</c:v>
                </c:pt>
                <c:pt idx="1138">
                  <c:v>5.63565494983856</c:v>
                </c:pt>
                <c:pt idx="1139">
                  <c:v>5.9885031871253</c:v>
                </c:pt>
                <c:pt idx="1140">
                  <c:v>6.72708874890873</c:v>
                </c:pt>
                <c:pt idx="1141">
                  <c:v>6.15400850349971</c:v>
                </c:pt>
                <c:pt idx="1142">
                  <c:v>5.56757783713117</c:v>
                </c:pt>
                <c:pt idx="1143">
                  <c:v>5.61154394585884</c:v>
                </c:pt>
                <c:pt idx="1144">
                  <c:v>5.92131036592039</c:v>
                </c:pt>
                <c:pt idx="1145">
                  <c:v>6.59430951031756</c:v>
                </c:pt>
                <c:pt idx="1146">
                  <c:v>6.30967915739852</c:v>
                </c:pt>
                <c:pt idx="1147">
                  <c:v>5.60753401406472</c:v>
                </c:pt>
                <c:pt idx="1148">
                  <c:v>5.59719962531144</c:v>
                </c:pt>
                <c:pt idx="1149">
                  <c:v>5.87048515166315</c:v>
                </c:pt>
                <c:pt idx="1150">
                  <c:v>6.47336906133112</c:v>
                </c:pt>
                <c:pt idx="1151">
                  <c:v>6.43851217175625</c:v>
                </c:pt>
                <c:pt idx="1152">
                  <c:v>5.65734791970028</c:v>
                </c:pt>
                <c:pt idx="1153">
                  <c:v>5.59200650903636</c:v>
                </c:pt>
                <c:pt idx="1154">
                  <c:v>5.83383553117692</c:v>
                </c:pt>
                <c:pt idx="1155">
                  <c:v>6.37639280922464</c:v>
                </c:pt>
                <c:pt idx="1156">
                  <c:v>6.52362302569958</c:v>
                </c:pt>
                <c:pt idx="1157">
                  <c:v>5.71211719147375</c:v>
                </c:pt>
                <c:pt idx="1158">
                  <c:v>5.59512541684334</c:v>
                </c:pt>
                <c:pt idx="1159">
                  <c:v>5.80979666716648</c:v>
                </c:pt>
                <c:pt idx="1160">
                  <c:v>6.3038561666421</c:v>
                </c:pt>
                <c:pt idx="1161">
                  <c:v>6.56071505761446</c:v>
                </c:pt>
                <c:pt idx="1162">
                  <c:v>5.76553625440892</c:v>
                </c:pt>
                <c:pt idx="1163">
                  <c:v>5.60539309289836</c:v>
                </c:pt>
                <c:pt idx="1164">
                  <c:v>5.7971415751089</c:v>
                </c:pt>
                <c:pt idx="1165">
                  <c:v>6.25294706382064</c:v>
                </c:pt>
                <c:pt idx="1166">
                  <c:v>6.55827075025182</c:v>
                </c:pt>
                <c:pt idx="1167">
                  <c:v>5.81162658288644</c:v>
                </c:pt>
                <c:pt idx="1168">
                  <c:v>5.62137429054403</c:v>
                </c:pt>
                <c:pt idx="1169">
                  <c:v>5.79477002140431</c:v>
                </c:pt>
                <c:pt idx="1170">
                  <c:v>6.22033258228676</c:v>
                </c:pt>
                <c:pt idx="1171">
                  <c:v>6.5292974325823</c:v>
                </c:pt>
                <c:pt idx="1172">
                  <c:v>5.84629921787262</c:v>
                </c:pt>
                <c:pt idx="1173">
                  <c:v>5.64154402834448</c:v>
                </c:pt>
                <c:pt idx="1174">
                  <c:v>5.80156848308605</c:v>
                </c:pt>
                <c:pt idx="1175">
                  <c:v>6.20268052498946</c:v>
                </c:pt>
                <c:pt idx="1176">
                  <c:v>6.48469048750247</c:v>
                </c:pt>
                <c:pt idx="1177">
                  <c:v>5.86816600472888</c:v>
                </c:pt>
                <c:pt idx="1178">
                  <c:v>5.66452814621191</c:v>
                </c:pt>
                <c:pt idx="1179">
                  <c:v>5.81632751107757</c:v>
                </c:pt>
                <c:pt idx="1180">
                  <c:v>6.1965679715345</c:v>
                </c:pt>
                <c:pt idx="1181">
                  <c:v>6.43138415323035</c:v>
                </c:pt>
                <c:pt idx="1182">
                  <c:v>5.87843268674176</c:v>
                </c:pt>
                <c:pt idx="1183">
                  <c:v>5.68930305608153</c:v>
                </c:pt>
                <c:pt idx="1184">
                  <c:v>5.83771109263424</c:v>
                </c:pt>
                <c:pt idx="1185">
                  <c:v>6.1983393909819</c:v>
                </c:pt>
                <c:pt idx="1186">
                  <c:v>6.37333470377889</c:v>
                </c:pt>
                <c:pt idx="1187">
                  <c:v>5.88005372567782</c:v>
                </c:pt>
                <c:pt idx="1188">
                  <c:v>5.71525675737779</c:v>
                </c:pt>
                <c:pt idx="1189">
                  <c:v>5.86425401412489</c:v>
                </c:pt>
                <c:pt idx="1190">
                  <c:v>6.20410133726313</c:v>
                </c:pt>
                <c:pt idx="1191">
                  <c:v>6.31312969964074</c:v>
                </c:pt>
                <c:pt idx="1192">
                  <c:v>5.87662916228172</c:v>
                </c:pt>
                <c:pt idx="1193">
                  <c:v>5.74210184781838</c:v>
                </c:pt>
                <c:pt idx="1194">
                  <c:v>5.89437327067352</c:v>
                </c:pt>
                <c:pt idx="1195">
                  <c:v>6.20994601920823</c:v>
                </c:pt>
                <c:pt idx="1196">
                  <c:v>6.25305982156267</c:v>
                </c:pt>
                <c:pt idx="1197">
                  <c:v>5.87148375627634</c:v>
                </c:pt>
                <c:pt idx="1198">
                  <c:v>5.76970497467503</c:v>
                </c:pt>
                <c:pt idx="1199">
                  <c:v>5.92638589281728</c:v>
                </c:pt>
                <c:pt idx="1200">
                  <c:v>4.97872436805541</c:v>
                </c:pt>
                <c:pt idx="1201">
                  <c:v>4.24220976452681</c:v>
                </c:pt>
                <c:pt idx="1202">
                  <c:v>4.02634680753879</c:v>
                </c:pt>
                <c:pt idx="1203">
                  <c:v>3.91770968483305</c:v>
                </c:pt>
                <c:pt idx="1204">
                  <c:v>3.85566299309107</c:v>
                </c:pt>
                <c:pt idx="1205">
                  <c:v>3.8212136935539</c:v>
                </c:pt>
                <c:pt idx="1206">
                  <c:v>3.80626550159893</c:v>
                </c:pt>
                <c:pt idx="1207">
                  <c:v>3.80690587044434</c:v>
                </c:pt>
                <c:pt idx="1208">
                  <c:v>3.82135284707575</c:v>
                </c:pt>
                <c:pt idx="1209">
                  <c:v>3.8492256113197</c:v>
                </c:pt>
                <c:pt idx="1210">
                  <c:v>3.89137764300181</c:v>
                </c:pt>
                <c:pt idx="1211">
                  <c:v>3.95014118061956</c:v>
                </c:pt>
                <c:pt idx="1212">
                  <c:v>4.03016013284204</c:v>
                </c:pt>
                <c:pt idx="1213">
                  <c:v>4.14058725485299</c:v>
                </c:pt>
                <c:pt idx="1214">
                  <c:v>4.30167763515168</c:v>
                </c:pt>
                <c:pt idx="1215">
                  <c:v>4.57285704395995</c:v>
                </c:pt>
                <c:pt idx="1216">
                  <c:v>5.42062145316611</c:v>
                </c:pt>
                <c:pt idx="1217">
                  <c:v>9.22165254181988</c:v>
                </c:pt>
                <c:pt idx="1218">
                  <c:v>9.3728451826944</c:v>
                </c:pt>
                <c:pt idx="1219">
                  <c:v>9.38060086404835</c:v>
                </c:pt>
                <c:pt idx="1220">
                  <c:v>9.2666033730512</c:v>
                </c:pt>
                <c:pt idx="1221">
                  <c:v>8.8091668500945</c:v>
                </c:pt>
                <c:pt idx="1222">
                  <c:v>5.0123193097178</c:v>
                </c:pt>
                <c:pt idx="1223">
                  <c:v>4.68201168210592</c:v>
                </c:pt>
                <c:pt idx="1224">
                  <c:v>4.61843888298484</c:v>
                </c:pt>
                <c:pt idx="1225">
                  <c:v>4.61422701274088</c:v>
                </c:pt>
                <c:pt idx="1226">
                  <c:v>4.67328613774414</c:v>
                </c:pt>
                <c:pt idx="1227">
                  <c:v>4.80662757191023</c:v>
                </c:pt>
                <c:pt idx="1228">
                  <c:v>5.07605645714869</c:v>
                </c:pt>
                <c:pt idx="1229">
                  <c:v>6.1017064941454</c:v>
                </c:pt>
                <c:pt idx="1230">
                  <c:v>8.68553578519149</c:v>
                </c:pt>
                <c:pt idx="1231">
                  <c:v>8.21447449771445</c:v>
                </c:pt>
                <c:pt idx="1232">
                  <c:v>5.28946589880963</c:v>
                </c:pt>
                <c:pt idx="1233">
                  <c:v>5.17167151043295</c:v>
                </c:pt>
                <c:pt idx="1234">
                  <c:v>5.38706259906614</c:v>
                </c:pt>
                <c:pt idx="1235">
                  <c:v>5.88682815030463</c:v>
                </c:pt>
                <c:pt idx="1236">
                  <c:v>7.86576118946179</c:v>
                </c:pt>
                <c:pt idx="1237">
                  <c:v>6.23556640320575</c:v>
                </c:pt>
                <c:pt idx="1238">
                  <c:v>5.21735852303069</c:v>
                </c:pt>
                <c:pt idx="1239">
                  <c:v>5.26250230818057</c:v>
                </c:pt>
                <c:pt idx="1240">
                  <c:v>5.48853843701398</c:v>
                </c:pt>
                <c:pt idx="1241">
                  <c:v>5.98149193802507</c:v>
                </c:pt>
                <c:pt idx="1242">
                  <c:v>7.6065700872779</c:v>
                </c:pt>
                <c:pt idx="1243">
                  <c:v>6.01260186531513</c:v>
                </c:pt>
                <c:pt idx="1244">
                  <c:v>5.27741120373835</c:v>
                </c:pt>
                <c:pt idx="1245">
                  <c:v>5.34691293217879</c:v>
                </c:pt>
                <c:pt idx="1246">
                  <c:v>5.60278953127318</c:v>
                </c:pt>
                <c:pt idx="1247">
                  <c:v>6.18898818727075</c:v>
                </c:pt>
                <c:pt idx="1248">
                  <c:v>7.51439598609157</c:v>
                </c:pt>
                <c:pt idx="1249">
                  <c:v>5.73235607549906</c:v>
                </c:pt>
                <c:pt idx="1250">
                  <c:v>5.32180743586454</c:v>
                </c:pt>
                <c:pt idx="1251">
                  <c:v>5.44782965530251</c:v>
                </c:pt>
                <c:pt idx="1252">
                  <c:v>5.77184083896853</c:v>
                </c:pt>
                <c:pt idx="1253">
                  <c:v>6.6457484227175</c:v>
                </c:pt>
                <c:pt idx="1254">
                  <c:v>7.05150790503428</c:v>
                </c:pt>
                <c:pt idx="1255">
                  <c:v>5.48978249420358</c:v>
                </c:pt>
                <c:pt idx="1256">
                  <c:v>5.3813397414342</c:v>
                </c:pt>
                <c:pt idx="1257">
                  <c:v>5.58710624726712</c:v>
                </c:pt>
                <c:pt idx="1258">
                  <c:v>6.05003922898088</c:v>
                </c:pt>
                <c:pt idx="1259">
                  <c:v>7.24849919521227</c:v>
                </c:pt>
                <c:pt idx="1260">
                  <c:v>5.96664240097926</c:v>
                </c:pt>
                <c:pt idx="1261">
                  <c:v>5.39498198180547</c:v>
                </c:pt>
                <c:pt idx="1262">
                  <c:v>5.48588107070527</c:v>
                </c:pt>
                <c:pt idx="1263">
                  <c:v>5.79918259586456</c:v>
                </c:pt>
                <c:pt idx="1264">
                  <c:v>6.59231247050938</c:v>
                </c:pt>
                <c:pt idx="1265">
                  <c:v>6.82367847938505</c:v>
                </c:pt>
                <c:pt idx="1266">
                  <c:v>5.52902766763105</c:v>
                </c:pt>
                <c:pt idx="1267">
                  <c:v>5.43543349631737</c:v>
                </c:pt>
                <c:pt idx="1268">
                  <c:v>5.65485378507228</c:v>
                </c:pt>
                <c:pt idx="1269">
                  <c:v>6.16047688319725</c:v>
                </c:pt>
                <c:pt idx="1270">
                  <c:v>7.16827194352952</c:v>
                </c:pt>
                <c:pt idx="1271">
                  <c:v>5.82433990835444</c:v>
                </c:pt>
                <c:pt idx="1272">
                  <c:v>5.43201723840387</c:v>
                </c:pt>
                <c:pt idx="1273">
                  <c:v>5.56348140900116</c:v>
                </c:pt>
                <c:pt idx="1274">
                  <c:v>5.93218534622998</c:v>
                </c:pt>
                <c:pt idx="1275">
                  <c:v>6.87561865537828</c:v>
                </c:pt>
                <c:pt idx="1276">
                  <c:v>6.27844881950608</c:v>
                </c:pt>
                <c:pt idx="1277">
                  <c:v>5.48251430913271</c:v>
                </c:pt>
                <c:pt idx="1278">
                  <c:v>5.5060970979438</c:v>
                </c:pt>
                <c:pt idx="1279">
                  <c:v>5.78758777739995</c:v>
                </c:pt>
                <c:pt idx="1280">
                  <c:v>6.45803911156964</c:v>
                </c:pt>
                <c:pt idx="1281">
                  <c:v>6.81330669867974</c:v>
                </c:pt>
                <c:pt idx="1282">
                  <c:v>5.60748979577205</c:v>
                </c:pt>
                <c:pt idx="1283">
                  <c:v>5.47630356867934</c:v>
                </c:pt>
                <c:pt idx="1284">
                  <c:v>5.68802568345103</c:v>
                </c:pt>
                <c:pt idx="1285">
                  <c:v>6.18864091480432</c:v>
                </c:pt>
                <c:pt idx="1286">
                  <c:v>7.03512843531821</c:v>
                </c:pt>
                <c:pt idx="1287">
                  <c:v>5.81248768110309</c:v>
                </c:pt>
                <c:pt idx="1288">
                  <c:v>5.47336289027444</c:v>
                </c:pt>
                <c:pt idx="1289">
                  <c:v>5.61734302005994</c:v>
                </c:pt>
                <c:pt idx="1290">
                  <c:v>6.01335841378102</c:v>
                </c:pt>
                <c:pt idx="1291">
                  <c:v>6.91920620413874</c:v>
                </c:pt>
                <c:pt idx="1292">
                  <c:v>6.08727995551293</c:v>
                </c:pt>
                <c:pt idx="1293">
                  <c:v>5.49860371200478</c:v>
                </c:pt>
                <c:pt idx="1294">
                  <c:v>5.56762949617696</c:v>
                </c:pt>
                <c:pt idx="1295">
                  <c:v>5.89002024448807</c:v>
                </c:pt>
                <c:pt idx="1296">
                  <c:v>6.65613418470934</c:v>
                </c:pt>
                <c:pt idx="1297">
                  <c:v>6.40978244835133</c:v>
                </c:pt>
                <c:pt idx="1298">
                  <c:v>5.55640398112848</c:v>
                </c:pt>
                <c:pt idx="1299">
                  <c:v>5.53515291944548</c:v>
                </c:pt>
                <c:pt idx="1300">
                  <c:v>5.79941403131105</c:v>
                </c:pt>
                <c:pt idx="1301">
                  <c:v>6.41669139369215</c:v>
                </c:pt>
                <c:pt idx="1302">
                  <c:v>6.71247027920871</c:v>
                </c:pt>
                <c:pt idx="1303">
                  <c:v>5.65135037548269</c:v>
                </c:pt>
                <c:pt idx="1304">
                  <c:v>5.51840701674101</c:v>
                </c:pt>
                <c:pt idx="1305">
                  <c:v>5.73169456631102</c:v>
                </c:pt>
                <c:pt idx="1306">
                  <c:v>6.2407971923436</c:v>
                </c:pt>
                <c:pt idx="1307">
                  <c:v>6.87397916649862</c:v>
                </c:pt>
                <c:pt idx="1308">
                  <c:v>5.7798222494466</c:v>
                </c:pt>
                <c:pt idx="1309">
                  <c:v>5.51675182744116</c:v>
                </c:pt>
                <c:pt idx="1310">
                  <c:v>5.68147639185216</c:v>
                </c:pt>
                <c:pt idx="1311">
                  <c:v>6.11301846815849</c:v>
                </c:pt>
                <c:pt idx="1312">
                  <c:v>6.87345159032332</c:v>
                </c:pt>
                <c:pt idx="1313">
                  <c:v>5.93078627186539</c:v>
                </c:pt>
                <c:pt idx="1314">
                  <c:v>5.52974367824074</c:v>
                </c:pt>
                <c:pt idx="1315">
                  <c:v>5.64584166769934</c:v>
                </c:pt>
                <c:pt idx="1316">
                  <c:v>6.01940378209279</c:v>
                </c:pt>
                <c:pt idx="1317">
                  <c:v>6.77475111428924</c:v>
                </c:pt>
                <c:pt idx="1318">
                  <c:v>6.08831857986559</c:v>
                </c:pt>
                <c:pt idx="1319">
                  <c:v>5.55660361806231</c:v>
                </c:pt>
                <c:pt idx="1320">
                  <c:v>5.62325822585097</c:v>
                </c:pt>
                <c:pt idx="1321">
                  <c:v>5.95172137063935</c:v>
                </c:pt>
                <c:pt idx="1322">
                  <c:v>6.64515780235895</c:v>
                </c:pt>
                <c:pt idx="1323">
                  <c:v>6.23131592807557</c:v>
                </c:pt>
                <c:pt idx="1324">
                  <c:v>5.59485306696146</c:v>
                </c:pt>
                <c:pt idx="1325">
                  <c:v>5.61249307484669</c:v>
                </c:pt>
                <c:pt idx="1326">
                  <c:v>5.90492779768384</c:v>
                </c:pt>
                <c:pt idx="1327">
                  <c:v>6.52853352113038</c:v>
                </c:pt>
                <c:pt idx="1328">
                  <c:v>6.33967107716734</c:v>
                </c:pt>
                <c:pt idx="1329">
                  <c:v>5.64004211170184</c:v>
                </c:pt>
                <c:pt idx="1330">
                  <c:v>5.6123093856193</c:v>
                </c:pt>
                <c:pt idx="1331">
                  <c:v>5.8757127693195</c:v>
                </c:pt>
                <c:pt idx="1332">
                  <c:v>6.43927412890501</c:v>
                </c:pt>
                <c:pt idx="1333">
                  <c:v>6.40164512010396</c:v>
                </c:pt>
                <c:pt idx="1334">
                  <c:v>5.6862222303781</c:v>
                </c:pt>
                <c:pt idx="1335">
                  <c:v>5.62126047426424</c:v>
                </c:pt>
                <c:pt idx="1336">
                  <c:v>5.86167538900792</c:v>
                </c:pt>
                <c:pt idx="1337">
                  <c:v>6.37692802791124</c:v>
                </c:pt>
                <c:pt idx="1338">
                  <c:v>6.41824719549367</c:v>
                </c:pt>
                <c:pt idx="1339">
                  <c:v>5.72756390511046</c:v>
                </c:pt>
                <c:pt idx="1340">
                  <c:v>5.63767621361397</c:v>
                </c:pt>
                <c:pt idx="1341">
                  <c:v>5.86080326529713</c:v>
                </c:pt>
                <c:pt idx="1342">
                  <c:v>6.33673624991985</c:v>
                </c:pt>
                <c:pt idx="1343">
                  <c:v>6.39958269559591</c:v>
                </c:pt>
                <c:pt idx="1344">
                  <c:v>5.76022552382812</c:v>
                </c:pt>
                <c:pt idx="1345">
                  <c:v>5.65983853955653</c:v>
                </c:pt>
                <c:pt idx="1346">
                  <c:v>5.87115570037906</c:v>
                </c:pt>
                <c:pt idx="1347">
                  <c:v>6.31297369406274</c:v>
                </c:pt>
                <c:pt idx="1348">
                  <c:v>6.35771910988817</c:v>
                </c:pt>
                <c:pt idx="1349">
                  <c:v>5.78323034034246</c:v>
                </c:pt>
                <c:pt idx="1350">
                  <c:v>5.68621103025645</c:v>
                </c:pt>
                <c:pt idx="1351">
                  <c:v>5.89068414846562</c:v>
                </c:pt>
                <c:pt idx="1352">
                  <c:v>6.29963322557348</c:v>
                </c:pt>
                <c:pt idx="1353">
                  <c:v>6.30270181459776</c:v>
                </c:pt>
                <c:pt idx="1354">
                  <c:v>5.79808974910443</c:v>
                </c:pt>
                <c:pt idx="1355">
                  <c:v>5.71558877651327</c:v>
                </c:pt>
                <c:pt idx="1356">
                  <c:v>5.91715516101689</c:v>
                </c:pt>
                <c:pt idx="1357">
                  <c:v>6.29070770830103</c:v>
                </c:pt>
                <c:pt idx="1358">
                  <c:v>6.24200977945858</c:v>
                </c:pt>
                <c:pt idx="1359">
                  <c:v>5.8076617631118</c:v>
                </c:pt>
                <c:pt idx="1360">
                  <c:v>5.7470924276759</c:v>
                </c:pt>
                <c:pt idx="1361">
                  <c:v>5.94813716785938</c:v>
                </c:pt>
                <c:pt idx="1362">
                  <c:v>6.28074718860971</c:v>
                </c:pt>
                <c:pt idx="1363">
                  <c:v>6.18118896881355</c:v>
                </c:pt>
                <c:pt idx="1364">
                  <c:v>5.8149629862893</c:v>
                </c:pt>
                <c:pt idx="1365">
                  <c:v>5.78004205155423</c:v>
                </c:pt>
                <c:pt idx="1366">
                  <c:v>5.98103911045714</c:v>
                </c:pt>
                <c:pt idx="1367">
                  <c:v>6.26570462398219</c:v>
                </c:pt>
                <c:pt idx="1368">
                  <c:v>6.12432893536989</c:v>
                </c:pt>
                <c:pt idx="1369">
                  <c:v>5.82239336084917</c:v>
                </c:pt>
                <c:pt idx="1370">
                  <c:v>5.81380033537872</c:v>
                </c:pt>
                <c:pt idx="1371">
                  <c:v>6.01321102567452</c:v>
                </c:pt>
                <c:pt idx="1372">
                  <c:v>6.24367182508266</c:v>
                </c:pt>
                <c:pt idx="1373">
                  <c:v>6.07421520116183</c:v>
                </c:pt>
                <c:pt idx="1374">
                  <c:v>5.83145649100514</c:v>
                </c:pt>
                <c:pt idx="1375">
                  <c:v>5.84766387625711</c:v>
                </c:pt>
                <c:pt idx="1376">
                  <c:v>6.0421327921109</c:v>
                </c:pt>
                <c:pt idx="1377">
                  <c:v>6.215025407235</c:v>
                </c:pt>
                <c:pt idx="1378">
                  <c:v>6.03239718538569</c:v>
                </c:pt>
                <c:pt idx="1379">
                  <c:v>5.84281585359593</c:v>
                </c:pt>
                <c:pt idx="1380">
                  <c:v>5.88082465669897</c:v>
                </c:pt>
                <c:pt idx="1381">
                  <c:v>6.06568124837006</c:v>
                </c:pt>
                <c:pt idx="1382">
                  <c:v>6.18183663744016</c:v>
                </c:pt>
                <c:pt idx="1383">
                  <c:v>5.99935018501589</c:v>
                </c:pt>
                <c:pt idx="1384">
                  <c:v>5.85650121262678</c:v>
                </c:pt>
                <c:pt idx="1385">
                  <c:v>5.91239573914281</c:v>
                </c:pt>
                <c:pt idx="1386">
                  <c:v>6.08241738657303</c:v>
                </c:pt>
                <c:pt idx="1387">
                  <c:v>6.14689146325994</c:v>
                </c:pt>
                <c:pt idx="1388">
                  <c:v>5.97474205279986</c:v>
                </c:pt>
                <c:pt idx="1389">
                  <c:v>5.87213336713315</c:v>
                </c:pt>
                <c:pt idx="1390">
                  <c:v>5.94147954110957</c:v>
                </c:pt>
                <c:pt idx="1391">
                  <c:v>6.0917871018232</c:v>
                </c:pt>
                <c:pt idx="1392">
                  <c:v>6.1128185280634</c:v>
                </c:pt>
                <c:pt idx="1393">
                  <c:v>5.95773114182999</c:v>
                </c:pt>
                <c:pt idx="1394">
                  <c:v>5.88910866786292</c:v>
                </c:pt>
                <c:pt idx="1395">
                  <c:v>5.96725841295445</c:v>
                </c:pt>
                <c:pt idx="1396">
                  <c:v>6.0941413449816</c:v>
                </c:pt>
                <c:pt idx="1397">
                  <c:v>6.08159786445543</c:v>
                </c:pt>
                <c:pt idx="1398">
                  <c:v>5.94722257993198</c:v>
                </c:pt>
                <c:pt idx="1399">
                  <c:v>5.90673107147456</c:v>
                </c:pt>
                <c:pt idx="1400">
                  <c:v>5.9890878030356</c:v>
                </c:pt>
                <c:pt idx="1401">
                  <c:v>6.09055738056429</c:v>
                </c:pt>
                <c:pt idx="1402">
                  <c:v>6.05443592623584</c:v>
                </c:pt>
                <c:pt idx="1403">
                  <c:v>5.94205033899845</c:v>
                </c:pt>
                <c:pt idx="1404">
                  <c:v>5.92430096305348</c:v>
                </c:pt>
                <c:pt idx="1405">
                  <c:v>6.00657319043507</c:v>
                </c:pt>
                <c:pt idx="1406">
                  <c:v>6.08253416141927</c:v>
                </c:pt>
                <c:pt idx="1407">
                  <c:v>6.03186095913723</c:v>
                </c:pt>
                <c:pt idx="1408">
                  <c:v>5.94108736102446</c:v>
                </c:pt>
                <c:pt idx="1409">
                  <c:v>5.9411739445419</c:v>
                </c:pt>
                <c:pt idx="1410">
                  <c:v>6.01961283117951</c:v>
                </c:pt>
                <c:pt idx="1411">
                  <c:v>6.07167366202303</c:v>
                </c:pt>
                <c:pt idx="1412">
                  <c:v>6.01390035503995</c:v>
                </c:pt>
                <c:pt idx="1413">
                  <c:v>5.94330280752632</c:v>
                </c:pt>
                <c:pt idx="1414">
                  <c:v>5.95680056213224</c:v>
                </c:pt>
                <c:pt idx="1415">
                  <c:v>6.02839620978518</c:v>
                </c:pt>
                <c:pt idx="1416">
                  <c:v>6.05943617255166</c:v>
                </c:pt>
                <c:pt idx="1417">
                  <c:v>6.00025749426571</c:v>
                </c:pt>
                <c:pt idx="1418">
                  <c:v>5.94778640681319</c:v>
                </c:pt>
                <c:pt idx="1419">
                  <c:v>5.97075280689566</c:v>
                </c:pt>
                <c:pt idx="1420">
                  <c:v>6.03335951830067</c:v>
                </c:pt>
                <c:pt idx="1421">
                  <c:v>6.04700239938934</c:v>
                </c:pt>
                <c:pt idx="1422">
                  <c:v>5.99045362085409</c:v>
                </c:pt>
                <c:pt idx="1423">
                  <c:v>5.95375493858393</c:v>
                </c:pt>
                <c:pt idx="1424">
                  <c:v>5.9827393622809</c:v>
                </c:pt>
                <c:pt idx="1425">
                  <c:v>6.03511088696617</c:v>
                </c:pt>
                <c:pt idx="1426">
                  <c:v>6.03523012064607</c:v>
                </c:pt>
                <c:pt idx="1427">
                  <c:v>5.98392849824335</c:v>
                </c:pt>
                <c:pt idx="1428">
                  <c:v>5.96055031381123</c:v>
                </c:pt>
                <c:pt idx="1429">
                  <c:v>5.99260965549088</c:v>
                </c:pt>
                <c:pt idx="1430">
                  <c:v>6.0343442100239</c:v>
                </c:pt>
                <c:pt idx="1431">
                  <c:v>6.02467365133309</c:v>
                </c:pt>
                <c:pt idx="1432">
                  <c:v>5.98010595654743</c:v>
                </c:pt>
                <c:pt idx="1433">
                  <c:v>5.96763424287725</c:v>
                </c:pt>
                <c:pt idx="1434">
                  <c:v>6.00034661898581</c:v>
                </c:pt>
                <c:pt idx="1435">
                  <c:v>6.03175947098004</c:v>
                </c:pt>
                <c:pt idx="1436">
                  <c:v>6.01563468542904</c:v>
                </c:pt>
                <c:pt idx="1437">
                  <c:v>5.97843360334876</c:v>
                </c:pt>
                <c:pt idx="1438">
                  <c:v>5.9745815617218</c:v>
                </c:pt>
                <c:pt idx="1439">
                  <c:v>6.00604923554527</c:v>
                </c:pt>
                <c:pt idx="1440">
                  <c:v>6.0280014241496</c:v>
                </c:pt>
                <c:pt idx="1441">
                  <c:v>6.00822212670714</c:v>
                </c:pt>
                <c:pt idx="1442">
                  <c:v>5.9784051877443</c:v>
                </c:pt>
                <c:pt idx="1443">
                  <c:v>5.98107267204536</c:v>
                </c:pt>
                <c:pt idx="1444">
                  <c:v>6.00990743616538</c:v>
                </c:pt>
                <c:pt idx="1445">
                  <c:v>6.02362099929932</c:v>
                </c:pt>
                <c:pt idx="1446">
                  <c:v>6.00240823881156</c:v>
                </c:pt>
                <c:pt idx="1447">
                  <c:v>5.97957199717063</c:v>
                </c:pt>
                <c:pt idx="1448">
                  <c:v>5.98688483579216</c:v>
                </c:pt>
                <c:pt idx="1449">
                  <c:v>6.01217299663189</c:v>
                </c:pt>
                <c:pt idx="1450">
                  <c:v>6.01905785023417</c:v>
                </c:pt>
                <c:pt idx="1451">
                  <c:v>5.9980756281255</c:v>
                </c:pt>
                <c:pt idx="1452">
                  <c:v>5.98154756596342</c:v>
                </c:pt>
                <c:pt idx="1453">
                  <c:v>5.99188196536009</c:v>
                </c:pt>
                <c:pt idx="1454">
                  <c:v>6.01313031457908</c:v>
                </c:pt>
                <c:pt idx="1455">
                  <c:v>6.01463923058297</c:v>
                </c:pt>
                <c:pt idx="1456">
                  <c:v>5.9950538578004</c:v>
                </c:pt>
                <c:pt idx="1457">
                  <c:v>5.98400833336442</c:v>
                </c:pt>
                <c:pt idx="1458">
                  <c:v>5.9960028030416</c:v>
                </c:pt>
                <c:pt idx="1459">
                  <c:v>6.013070344607</c:v>
                </c:pt>
                <c:pt idx="1460">
                  <c:v>6.0105895525578</c:v>
                </c:pt>
                <c:pt idx="1461">
                  <c:v>5.99314659328295</c:v>
                </c:pt>
                <c:pt idx="1462">
                  <c:v>5.98669176746562</c:v>
                </c:pt>
                <c:pt idx="1463">
                  <c:v>5.99924776417498</c:v>
                </c:pt>
                <c:pt idx="1464">
                  <c:v>6.01226983440484</c:v>
                </c:pt>
                <c:pt idx="1465">
                  <c:v>6.00704565053628</c:v>
                </c:pt>
                <c:pt idx="1466">
                  <c:v>5.99215094129549</c:v>
                </c:pt>
                <c:pt idx="1467">
                  <c:v>5.98939278664785</c:v>
                </c:pt>
                <c:pt idx="1468">
                  <c:v>6.00166505884186</c:v>
                </c:pt>
                <c:pt idx="1469">
                  <c:v>6.01097674639558</c:v>
                </c:pt>
                <c:pt idx="1470">
                  <c:v>6.00407404792702</c:v>
                </c:pt>
                <c:pt idx="1471">
                  <c:v>5.99187070628456</c:v>
                </c:pt>
                <c:pt idx="1472">
                  <c:v>5.99195894407078</c:v>
                </c:pt>
                <c:pt idx="1473">
                  <c:v>6.00333690252011</c:v>
                </c:pt>
                <c:pt idx="1474">
                  <c:v>6.00940169044209</c:v>
                </c:pt>
                <c:pt idx="1475">
                  <c:v>6.00168783234329</c:v>
                </c:pt>
                <c:pt idx="1476">
                  <c:v>5.99212505268852</c:v>
                </c:pt>
                <c:pt idx="1477">
                  <c:v>5.9942846839856</c:v>
                </c:pt>
                <c:pt idx="1478">
                  <c:v>6.00436664239022</c:v>
                </c:pt>
                <c:pt idx="1479">
                  <c:v>6.00771449391343</c:v>
                </c:pt>
                <c:pt idx="1480">
                  <c:v>5.99986180532466</c:v>
                </c:pt>
                <c:pt idx="1481">
                  <c:v>5.9927537473394</c:v>
                </c:pt>
                <c:pt idx="1482">
                  <c:v>5.99630494109497</c:v>
                </c:pt>
                <c:pt idx="1483">
                  <c:v>6.00486748706296</c:v>
                </c:pt>
                <c:pt idx="1484">
                  <c:v>6.00604470644725</c:v>
                </c:pt>
                <c:pt idx="1485">
                  <c:v>5.99854531947926</c:v>
                </c:pt>
                <c:pt idx="1486">
                  <c:v>5.99361986692761</c:v>
                </c:pt>
                <c:pt idx="1487">
                  <c:v>5.99798836799908</c:v>
                </c:pt>
                <c:pt idx="1488">
                  <c:v>6.00495329241965</c:v>
                </c:pt>
                <c:pt idx="1489">
                  <c:v>6.00448479815204</c:v>
                </c:pt>
                <c:pt idx="1490">
                  <c:v>5.9976726832951</c:v>
                </c:pt>
                <c:pt idx="1491">
                  <c:v>5.99461062763681</c:v>
                </c:pt>
                <c:pt idx="1492">
                  <c:v>5.99933049480993</c:v>
                </c:pt>
                <c:pt idx="1493">
                  <c:v>6.00473159252565</c:v>
                </c:pt>
                <c:pt idx="1494">
                  <c:v>6.00309495258711</c:v>
                </c:pt>
                <c:pt idx="1495">
                  <c:v>5.99717127302845</c:v>
                </c:pt>
                <c:pt idx="1496">
                  <c:v>5.99563683102298</c:v>
                </c:pt>
                <c:pt idx="1497">
                  <c:v>6.00034712329377</c:v>
                </c:pt>
                <c:pt idx="1498">
                  <c:v>6.00429882756499</c:v>
                </c:pt>
                <c:pt idx="1499">
                  <c:v>6.0019085817537</c:v>
                </c:pt>
                <c:pt idx="1500">
                  <c:v>5.99696761254157</c:v>
                </c:pt>
                <c:pt idx="1501">
                  <c:v>5.99663131039485</c:v>
                </c:pt>
                <c:pt idx="1502">
                  <c:v>6.00106822634552</c:v>
                </c:pt>
                <c:pt idx="1503">
                  <c:v>6.00373754360817</c:v>
                </c:pt>
                <c:pt idx="1504">
                  <c:v>6.00093793017574</c:v>
                </c:pt>
                <c:pt idx="1505">
                  <c:v>5.99699172145311</c:v>
                </c:pt>
                <c:pt idx="1506">
                  <c:v>5.99754668939435</c:v>
                </c:pt>
                <c:pt idx="1507">
                  <c:v>6.0015325655006</c:v>
                </c:pt>
                <c:pt idx="1508">
                  <c:v>6.00311523250397</c:v>
                </c:pt>
                <c:pt idx="1509">
                  <c:v>6.00017934925428</c:v>
                </c:pt>
                <c:pt idx="1510">
                  <c:v>5.99718002799623</c:v>
                </c:pt>
                <c:pt idx="1511">
                  <c:v>5.99835271421878</c:v>
                </c:pt>
                <c:pt idx="1512">
                  <c:v>6.00178316488909</c:v>
                </c:pt>
                <c:pt idx="1513">
                  <c:v>6.00248443831842</c:v>
                </c:pt>
                <c:pt idx="1514">
                  <c:v>5.99961799471968</c:v>
                </c:pt>
                <c:pt idx="1515">
                  <c:v>5.99747711940206</c:v>
                </c:pt>
                <c:pt idx="1516">
                  <c:v>5.99903338142172</c:v>
                </c:pt>
                <c:pt idx="1517">
                  <c:v>6.00186370195988</c:v>
                </c:pt>
                <c:pt idx="1518">
                  <c:v>6.00188376450944</c:v>
                </c:pt>
                <c:pt idx="1519">
                  <c:v>5.99923182709228</c:v>
                </c:pt>
                <c:pt idx="1520">
                  <c:v>5.9978365726447</c:v>
                </c:pt>
                <c:pt idx="1521">
                  <c:v>5.99958404710802</c:v>
                </c:pt>
                <c:pt idx="1522">
                  <c:v>6.0018158043509</c:v>
                </c:pt>
                <c:pt idx="1523">
                  <c:v>6.00133945590623</c:v>
                </c:pt>
                <c:pt idx="1524">
                  <c:v>5.99899488303584</c:v>
                </c:pt>
                <c:pt idx="1525">
                  <c:v>5.99822107822136</c:v>
                </c:pt>
                <c:pt idx="1526">
                  <c:v>6.0000086670364</c:v>
                </c:pt>
                <c:pt idx="1527">
                  <c:v>6.00167718578498</c:v>
                </c:pt>
                <c:pt idx="1528">
                  <c:v>6.0008672858423</c:v>
                </c:pt>
                <c:pt idx="1529">
                  <c:v>5.99887984256149</c:v>
                </c:pt>
                <c:pt idx="1530">
                  <c:v>5.99860204151928</c:v>
                </c:pt>
                <c:pt idx="1531">
                  <c:v>6.00031728004091</c:v>
                </c:pt>
                <c:pt idx="1532">
                  <c:v>6.00148051512853</c:v>
                </c:pt>
                <c:pt idx="1533">
                  <c:v>6.0004745395442</c:v>
                </c:pt>
                <c:pt idx="1534">
                  <c:v>5.99885995136143</c:v>
                </c:pt>
                <c:pt idx="1535">
                  <c:v>5.9989588204279</c:v>
                </c:pt>
                <c:pt idx="1536">
                  <c:v>6.00052381048876</c:v>
                </c:pt>
                <c:pt idx="1537">
                  <c:v>6.00125289164946</c:v>
                </c:pt>
                <c:pt idx="1538">
                  <c:v>6.00016194234463</c:v>
                </c:pt>
                <c:pt idx="1539">
                  <c:v>5.9989103760108</c:v>
                </c:pt>
                <c:pt idx="1540">
                  <c:v>5.99927773370522</c:v>
                </c:pt>
                <c:pt idx="1541">
                  <c:v>6.00064423117938</c:v>
                </c:pt>
                <c:pt idx="1542">
                  <c:v>6.00101579356982</c:v>
                </c:pt>
                <c:pt idx="1543">
                  <c:v>5.99992543121404</c:v>
                </c:pt>
                <c:pt idx="1544">
                  <c:v>5.99900907755426</c:v>
                </c:pt>
                <c:pt idx="1545">
                  <c:v>5.99955095166279</c:v>
                </c:pt>
                <c:pt idx="1546">
                  <c:v>6.00069509809747</c:v>
                </c:pt>
                <c:pt idx="1547">
                  <c:v>6.00078537261755</c:v>
                </c:pt>
                <c:pt idx="1548">
                  <c:v>5.99975770886892</c:v>
                </c:pt>
                <c:pt idx="1549">
                  <c:v>5.99913728980354</c:v>
                </c:pt>
                <c:pt idx="1550">
                  <c:v>5.99977535880787</c:v>
                </c:pt>
                <c:pt idx="1551">
                  <c:v>6.0006924441629</c:v>
                </c:pt>
                <c:pt idx="1552">
                  <c:v>6.00057298057768</c:v>
                </c:pt>
                <c:pt idx="1553">
                  <c:v>5.99964955131057</c:v>
                </c:pt>
                <c:pt idx="1554">
                  <c:v>5.99927968498085</c:v>
                </c:pt>
                <c:pt idx="1555">
                  <c:v>5.99995145728012</c:v>
                </c:pt>
                <c:pt idx="1556">
                  <c:v>6.0006510012164</c:v>
                </c:pt>
                <c:pt idx="1557">
                  <c:v>6.00038583137791</c:v>
                </c:pt>
                <c:pt idx="1558">
                  <c:v>5.99959086299337</c:v>
                </c:pt>
                <c:pt idx="1559">
                  <c:v>5.99942430280521</c:v>
                </c:pt>
                <c:pt idx="1560">
                  <c:v>6.00008236062039</c:v>
                </c:pt>
                <c:pt idx="1561">
                  <c:v>6.00058370786803</c:v>
                </c:pt>
                <c:pt idx="1562">
                  <c:v>6.00022772127509</c:v>
                </c:pt>
                <c:pt idx="1563">
                  <c:v>5.99957149019263</c:v>
                </c:pt>
                <c:pt idx="1564">
                  <c:v>5.99956231082489</c:v>
                </c:pt>
                <c:pt idx="1565">
                  <c:v>6.00017291007134</c:v>
                </c:pt>
                <c:pt idx="1566">
                  <c:v>6.00050145487263</c:v>
                </c:pt>
                <c:pt idx="1567">
                  <c:v>6.00009974828546</c:v>
                </c:pt>
                <c:pt idx="1568">
                  <c:v>5.99958181388516</c:v>
                </c:pt>
                <c:pt idx="1569">
                  <c:v>5.999687654527</c:v>
                </c:pt>
                <c:pt idx="1570">
                  <c:v>6.00022893065313</c:v>
                </c:pt>
                <c:pt idx="1571">
                  <c:v>6.00041301838786</c:v>
                </c:pt>
                <c:pt idx="1572">
                  <c:v>6.00000098887883</c:v>
                </c:pt>
                <c:pt idx="1573">
                  <c:v>5.99961314978454</c:v>
                </c:pt>
                <c:pt idx="1574">
                  <c:v>5.99979664608259</c:v>
                </c:pt>
                <c:pt idx="1575">
                  <c:v>6.00025663197008</c:v>
                </c:pt>
                <c:pt idx="1576">
                  <c:v>6.00032513368065</c:v>
                </c:pt>
                <c:pt idx="1577">
                  <c:v>5.9999291044824</c:v>
                </c:pt>
                <c:pt idx="1578">
                  <c:v>5.99965798614627</c:v>
                </c:pt>
                <c:pt idx="1579">
                  <c:v>5.99988753098188</c:v>
                </c:pt>
                <c:pt idx="1580">
                  <c:v>6.00026214917696</c:v>
                </c:pt>
                <c:pt idx="1581">
                  <c:v>6.00024266644988</c:v>
                </c:pt>
                <c:pt idx="1582">
                  <c:v>5.99988086226477</c:v>
                </c:pt>
                <c:pt idx="1583">
                  <c:v>5.99971009044182</c:v>
                </c:pt>
                <c:pt idx="1584">
                  <c:v>5.99996006266871</c:v>
                </c:pt>
                <c:pt idx="1585">
                  <c:v>6.00025121269334</c:v>
                </c:pt>
                <c:pt idx="1586">
                  <c:v>6.00016884494404</c:v>
                </c:pt>
                <c:pt idx="1587">
                  <c:v>5.99985256403936</c:v>
                </c:pt>
                <c:pt idx="1588">
                  <c:v>5.9997645146888</c:v>
                </c:pt>
                <c:pt idx="1589">
                  <c:v>6.00001510689373</c:v>
                </c:pt>
                <c:pt idx="1590">
                  <c:v>6.00022893085137</c:v>
                </c:pt>
                <c:pt idx="1591">
                  <c:v>6.00010552265824</c:v>
                </c:pt>
                <c:pt idx="1592">
                  <c:v>5.99984038414372</c:v>
                </c:pt>
                <c:pt idx="1593">
                  <c:v>5.99981752669842</c:v>
                </c:pt>
                <c:pt idx="1594">
                  <c:v>6.00005429010605</c:v>
                </c:pt>
                <c:pt idx="1595">
                  <c:v>6.00019966735537</c:v>
                </c:pt>
                <c:pt idx="1596">
                  <c:v>6.00005344798326</c:v>
                </c:pt>
                <c:pt idx="1597">
                  <c:v>5.99984062210652</c:v>
                </c:pt>
                <c:pt idx="1598">
                  <c:v>5.99986649120351</c:v>
                </c:pt>
                <c:pt idx="1599">
                  <c:v>6.00007969992821</c:v>
                </c:pt>
                <c:pt idx="1600">
                  <c:v>6.00016699481926</c:v>
                </c:pt>
                <c:pt idx="1601">
                  <c:v>6.00001252333792</c:v>
                </c:pt>
                <c:pt idx="1602">
                  <c:v>5.99984987913906</c:v>
                </c:pt>
                <c:pt idx="1603">
                  <c:v>5.99990972114171</c:v>
                </c:pt>
                <c:pt idx="1604">
                  <c:v>6.00009364067255</c:v>
                </c:pt>
                <c:pt idx="1605">
                  <c:v>6.00013370631496</c:v>
                </c:pt>
                <c:pt idx="1606">
                  <c:v>5.99998204177524</c:v>
                </c:pt>
                <c:pt idx="1607">
                  <c:v>5.99986516929853</c:v>
                </c:pt>
                <c:pt idx="1608">
                  <c:v>5.99994631556229</c:v>
                </c:pt>
                <c:pt idx="1609">
                  <c:v>6.00009844293369</c:v>
                </c:pt>
                <c:pt idx="1610">
                  <c:v>6.00010186842473</c:v>
                </c:pt>
                <c:pt idx="1611">
                  <c:v>5.99996089368368</c:v>
                </c:pt>
                <c:pt idx="1612">
                  <c:v>5.99988397687424</c:v>
                </c:pt>
                <c:pt idx="1613">
                  <c:v>5.99997599694012</c:v>
                </c:pt>
                <c:pt idx="1614">
                  <c:v>6.00009632346755</c:v>
                </c:pt>
                <c:pt idx="1615">
                  <c:v>6.00007290139947</c:v>
                </c:pt>
                <c:pt idx="1616">
                  <c:v>5.99994773996268</c:v>
                </c:pt>
                <c:pt idx="1617">
                  <c:v>5.99990427141431</c:v>
                </c:pt>
                <c:pt idx="1618">
                  <c:v>5.99999895727033</c:v>
                </c:pt>
                <c:pt idx="1619">
                  <c:v>6.00008928971022</c:v>
                </c:pt>
                <c:pt idx="1620">
                  <c:v>6.0000476744036</c:v>
                </c:pt>
                <c:pt idx="1621">
                  <c:v>5.99994115097333</c:v>
                </c:pt>
                <c:pt idx="1622">
                  <c:v>5.99992449108335</c:v>
                </c:pt>
                <c:pt idx="1623">
                  <c:v>6.00001571929628</c:v>
                </c:pt>
                <c:pt idx="1624">
                  <c:v>6.00007908225968</c:v>
                </c:pt>
                <c:pt idx="1625">
                  <c:v>6.00002660625587</c:v>
                </c:pt>
                <c:pt idx="1626">
                  <c:v>5.99993971270976</c:v>
                </c:pt>
                <c:pt idx="1627">
                  <c:v>5.99994350391259</c:v>
                </c:pt>
                <c:pt idx="1628">
                  <c:v>6.00002701664999</c:v>
                </c:pt>
                <c:pt idx="1629">
                  <c:v>6.00006714827437</c:v>
                </c:pt>
                <c:pt idx="1630">
                  <c:v>6.0000097643895</c:v>
                </c:pt>
                <c:pt idx="1631">
                  <c:v>5.99994210310534</c:v>
                </c:pt>
                <c:pt idx="1632">
                  <c:v>5.99996055515493</c:v>
                </c:pt>
                <c:pt idx="1633">
                  <c:v>6.00003369459289</c:v>
                </c:pt>
                <c:pt idx="1634">
                  <c:v>6.00005463888675</c:v>
                </c:pt>
                <c:pt idx="1635">
                  <c:v>5.99999695685764</c:v>
                </c:pt>
                <c:pt idx="1636">
                  <c:v>5.99994714228942</c:v>
                </c:pt>
                <c:pt idx="1637">
                  <c:v>5.99997520751208</c:v>
                </c:pt>
                <c:pt idx="1638">
                  <c:v>6.00003663141386</c:v>
                </c:pt>
                <c:pt idx="1639">
                  <c:v>6.00004242423003</c:v>
                </c:pt>
                <c:pt idx="1640">
                  <c:v>5.9999878140266</c:v>
                </c:pt>
                <c:pt idx="1641">
                  <c:v>5.99995382104429</c:v>
                </c:pt>
                <c:pt idx="1642">
                  <c:v>5.99998727956697</c:v>
                </c:pt>
                <c:pt idx="1643">
                  <c:v>6.00003667934758</c:v>
                </c:pt>
                <c:pt idx="1644">
                  <c:v>6.00003112041231</c:v>
                </c:pt>
                <c:pt idx="1645">
                  <c:v>5.99998185811063</c:v>
                </c:pt>
                <c:pt idx="1646">
                  <c:v>5.99996131178828</c:v>
                </c:pt>
                <c:pt idx="1647">
                  <c:v>5.99999678640982</c:v>
                </c:pt>
                <c:pt idx="1648">
                  <c:v>6.00003462307403</c:v>
                </c:pt>
                <c:pt idx="1649">
                  <c:v>6.00002112363583</c:v>
                </c:pt>
                <c:pt idx="1650">
                  <c:v>5.9999785599018</c:v>
                </c:pt>
                <c:pt idx="1651">
                  <c:v>5.99996896622291</c:v>
                </c:pt>
                <c:pt idx="1652">
                  <c:v>6.00000388523912</c:v>
                </c:pt>
                <c:pt idx="1653">
                  <c:v>6.00003115337912</c:v>
                </c:pt>
                <c:pt idx="1654">
                  <c:v>6.00001264756038</c:v>
                </c:pt>
                <c:pt idx="1655">
                  <c:v>5.99997738295737</c:v>
                </c:pt>
                <c:pt idx="1656">
                  <c:v>5.99997630341275</c:v>
                </c:pt>
                <c:pt idx="1657">
                  <c:v>6.00000882768106</c:v>
                </c:pt>
                <c:pt idx="1658">
                  <c:v>6.00002685335062</c:v>
                </c:pt>
                <c:pt idx="1659">
                  <c:v>6.00000576089123</c:v>
                </c:pt>
                <c:pt idx="1660">
                  <c:v>5.99997781614922</c:v>
                </c:pt>
                <c:pt idx="1661">
                  <c:v>5.99998299158146</c:v>
                </c:pt>
                <c:pt idx="1662">
                  <c:v>6.00001191971546</c:v>
                </c:pt>
                <c:pt idx="1663">
                  <c:v>6.00002219448127</c:v>
                </c:pt>
                <c:pt idx="1664">
                  <c:v>6.00000042298395</c:v>
                </c:pt>
                <c:pt idx="1665">
                  <c:v>5.99997939589479</c:v>
                </c:pt>
                <c:pt idx="1666">
                  <c:v>5.99998882637003</c:v>
                </c:pt>
                <c:pt idx="1667">
                  <c:v>6.00001348941944</c:v>
                </c:pt>
                <c:pt idx="1668">
                  <c:v>6.00001754020079</c:v>
                </c:pt>
                <c:pt idx="1669">
                  <c:v>5.99999651597588</c:v>
                </c:pt>
                <c:pt idx="1670">
                  <c:v>5.9999817196189</c:v>
                </c:pt>
                <c:pt idx="1671">
                  <c:v>5.99999370776084</c:v>
                </c:pt>
                <c:pt idx="1672">
                  <c:v>6.000013862241</c:v>
                </c:pt>
                <c:pt idx="1673">
                  <c:v>6.00001315460941</c:v>
                </c:pt>
                <c:pt idx="1674">
                  <c:v>5.99999387255787</c:v>
                </c:pt>
                <c:pt idx="1675">
                  <c:v>5.99998445206892</c:v>
                </c:pt>
                <c:pt idx="1676">
                  <c:v>5.99999761734297</c:v>
                </c:pt>
                <c:pt idx="1677">
                  <c:v>6.00001334316008</c:v>
                </c:pt>
                <c:pt idx="1678">
                  <c:v>6.00000921449604</c:v>
                </c:pt>
                <c:pt idx="1679">
                  <c:v>5.99999229899298</c:v>
                </c:pt>
                <c:pt idx="1680">
                  <c:v>5.99998732607318</c:v>
                </c:pt>
                <c:pt idx="1681">
                  <c:v>6.00000059712168</c:v>
                </c:pt>
                <c:pt idx="1682">
                  <c:v>6.00001220487835</c:v>
                </c:pt>
                <c:pt idx="1683">
                  <c:v>6.00000582306008</c:v>
                </c:pt>
                <c:pt idx="1684">
                  <c:v>5.99999159336539</c:v>
                </c:pt>
                <c:pt idx="1685">
                  <c:v>5.99999013921275</c:v>
                </c:pt>
                <c:pt idx="1686">
                  <c:v>6.00000273065874</c:v>
                </c:pt>
                <c:pt idx="1687">
                  <c:v>6.0000106810688</c:v>
                </c:pt>
                <c:pt idx="1688">
                  <c:v>6.00000302408805</c:v>
                </c:pt>
                <c:pt idx="1689">
                  <c:v>5.99999155932016</c:v>
                </c:pt>
                <c:pt idx="1690">
                  <c:v>5.99999274771034</c:v>
                </c:pt>
                <c:pt idx="1691">
                  <c:v>6.00000412698273</c:v>
                </c:pt>
                <c:pt idx="1692">
                  <c:v>6.00000896369027</c:v>
                </c:pt>
                <c:pt idx="1693">
                  <c:v>6.0000008156535</c:v>
                </c:pt>
                <c:pt idx="1694">
                  <c:v>5.99999201574053</c:v>
                </c:pt>
                <c:pt idx="1695">
                  <c:v>5.99999505864263</c:v>
                </c:pt>
                <c:pt idx="1696">
                  <c:v>6.00000490743275</c:v>
                </c:pt>
                <c:pt idx="1697">
                  <c:v>6.00000720341362</c:v>
                </c:pt>
                <c:pt idx="1698">
                  <c:v>5.99999916268865</c:v>
                </c:pt>
                <c:pt idx="1699">
                  <c:v>5.99999280291862</c:v>
                </c:pt>
              </c:numCache>
            </c:numRef>
          </c:yVal>
          <c:smooth val="0"/>
        </c:ser>
        <c:axId val="50935595"/>
        <c:axId val="38771010"/>
      </c:scatterChart>
      <c:valAx>
        <c:axId val="50935595"/>
        <c:scaling>
          <c:orientation val="minMax"/>
          <c:max val="170000"/>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Time (s)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771010"/>
        <c:crosses val="min"/>
        <c:crossBetween val="midCat"/>
      </c:valAx>
      <c:valAx>
        <c:axId val="38771010"/>
        <c:scaling>
          <c:orientation val="minMax"/>
          <c:max val="10.8"/>
          <c:min val="3.1"/>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pH</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93559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Closed-loop pH response — scheduled controllers only (readable scale)</a:t>
            </a:r>
          </a:p>
        </c:rich>
      </c:tx>
      <c:overlay val="0"/>
      <c:spPr>
        <a:noFill/>
        <a:ln w="0">
          <a:noFill/>
        </a:ln>
      </c:spPr>
    </c:title>
    <c:autoTitleDeleted val="0"/>
    <c:plotArea>
      <c:scatterChart>
        <c:scatterStyle val="line"/>
        <c:varyColors val="0"/>
        <c:ser>
          <c:idx val="0"/>
          <c:order val="0"/>
          <c:tx>
            <c:strRef>
              <c:f>"Setpoint"</c:f>
              <c:strCache>
                <c:ptCount val="1"/>
                <c:pt idx="0">
                  <c:v>Setpoint</c:v>
                </c:pt>
              </c:strCache>
            </c:strRef>
          </c:tx>
          <c:spPr>
            <a:solidFill>
              <a:srgbClr val="000000"/>
            </a:solidFill>
            <a:ln w="14040">
              <a:solidFill>
                <a:srgbClr val="00000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12_Traces!$B$5:$B$1704</c:f>
              <c:numCache>
                <c:formatCode>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7</c:v>
                </c:pt>
                <c:pt idx="201">
                  <c:v>7</c:v>
                </c:pt>
                <c:pt idx="202">
                  <c:v>7</c:v>
                </c:pt>
                <c:pt idx="203">
                  <c:v>7</c:v>
                </c:pt>
                <c:pt idx="204">
                  <c:v>7</c:v>
                </c:pt>
                <c:pt idx="205">
                  <c:v>7</c:v>
                </c:pt>
                <c:pt idx="206">
                  <c:v>7</c:v>
                </c:pt>
                <c:pt idx="207">
                  <c:v>7</c:v>
                </c:pt>
                <c:pt idx="208">
                  <c:v>7</c:v>
                </c:pt>
                <c:pt idx="209">
                  <c:v>7</c:v>
                </c:pt>
                <c:pt idx="210">
                  <c:v>7</c:v>
                </c:pt>
                <c:pt idx="211">
                  <c:v>7</c:v>
                </c:pt>
                <c:pt idx="212">
                  <c:v>7</c:v>
                </c:pt>
                <c:pt idx="213">
                  <c:v>7</c:v>
                </c:pt>
                <c:pt idx="214">
                  <c:v>7</c:v>
                </c:pt>
                <c:pt idx="215">
                  <c:v>7</c:v>
                </c:pt>
                <c:pt idx="216">
                  <c:v>7</c:v>
                </c:pt>
                <c:pt idx="217">
                  <c:v>7</c:v>
                </c:pt>
                <c:pt idx="218">
                  <c:v>7</c:v>
                </c:pt>
                <c:pt idx="219">
                  <c:v>7</c:v>
                </c:pt>
                <c:pt idx="220">
                  <c:v>7</c:v>
                </c:pt>
                <c:pt idx="221">
                  <c:v>7</c:v>
                </c:pt>
                <c:pt idx="222">
                  <c:v>7</c:v>
                </c:pt>
                <c:pt idx="223">
                  <c:v>7</c:v>
                </c:pt>
                <c:pt idx="224">
                  <c:v>7</c:v>
                </c:pt>
                <c:pt idx="225">
                  <c:v>7</c:v>
                </c:pt>
                <c:pt idx="226">
                  <c:v>7</c:v>
                </c:pt>
                <c:pt idx="227">
                  <c:v>7</c:v>
                </c:pt>
                <c:pt idx="228">
                  <c:v>7</c:v>
                </c:pt>
                <c:pt idx="229">
                  <c:v>7</c:v>
                </c:pt>
                <c:pt idx="230">
                  <c:v>7</c:v>
                </c:pt>
                <c:pt idx="231">
                  <c:v>7</c:v>
                </c:pt>
                <c:pt idx="232">
                  <c:v>7</c:v>
                </c:pt>
                <c:pt idx="233">
                  <c:v>7</c:v>
                </c:pt>
                <c:pt idx="234">
                  <c:v>7</c:v>
                </c:pt>
                <c:pt idx="235">
                  <c:v>7</c:v>
                </c:pt>
                <c:pt idx="236">
                  <c:v>7</c:v>
                </c:pt>
                <c:pt idx="237">
                  <c:v>7</c:v>
                </c:pt>
                <c:pt idx="238">
                  <c:v>7</c:v>
                </c:pt>
                <c:pt idx="239">
                  <c:v>7</c:v>
                </c:pt>
                <c:pt idx="240">
                  <c:v>7</c:v>
                </c:pt>
                <c:pt idx="241">
                  <c:v>7</c:v>
                </c:pt>
                <c:pt idx="242">
                  <c:v>7</c:v>
                </c:pt>
                <c:pt idx="243">
                  <c:v>7</c:v>
                </c:pt>
                <c:pt idx="244">
                  <c:v>7</c:v>
                </c:pt>
                <c:pt idx="245">
                  <c:v>7</c:v>
                </c:pt>
                <c:pt idx="246">
                  <c:v>7</c:v>
                </c:pt>
                <c:pt idx="247">
                  <c:v>7</c:v>
                </c:pt>
                <c:pt idx="248">
                  <c:v>7</c:v>
                </c:pt>
                <c:pt idx="249">
                  <c:v>7</c:v>
                </c:pt>
                <c:pt idx="250">
                  <c:v>7</c:v>
                </c:pt>
                <c:pt idx="251">
                  <c:v>7</c:v>
                </c:pt>
                <c:pt idx="252">
                  <c:v>7</c:v>
                </c:pt>
                <c:pt idx="253">
                  <c:v>7</c:v>
                </c:pt>
                <c:pt idx="254">
                  <c:v>7</c:v>
                </c:pt>
                <c:pt idx="255">
                  <c:v>7</c:v>
                </c:pt>
                <c:pt idx="256">
                  <c:v>7</c:v>
                </c:pt>
                <c:pt idx="257">
                  <c:v>7</c:v>
                </c:pt>
                <c:pt idx="258">
                  <c:v>7</c:v>
                </c:pt>
                <c:pt idx="259">
                  <c:v>7</c:v>
                </c:pt>
                <c:pt idx="260">
                  <c:v>7</c:v>
                </c:pt>
                <c:pt idx="261">
                  <c:v>7</c:v>
                </c:pt>
                <c:pt idx="262">
                  <c:v>7</c:v>
                </c:pt>
                <c:pt idx="263">
                  <c:v>7</c:v>
                </c:pt>
                <c:pt idx="264">
                  <c:v>7</c:v>
                </c:pt>
                <c:pt idx="265">
                  <c:v>7</c:v>
                </c:pt>
                <c:pt idx="266">
                  <c:v>7</c:v>
                </c:pt>
                <c:pt idx="267">
                  <c:v>7</c:v>
                </c:pt>
                <c:pt idx="268">
                  <c:v>7</c:v>
                </c:pt>
                <c:pt idx="269">
                  <c:v>7</c:v>
                </c:pt>
                <c:pt idx="270">
                  <c:v>7</c:v>
                </c:pt>
                <c:pt idx="271">
                  <c:v>7</c:v>
                </c:pt>
                <c:pt idx="272">
                  <c:v>7</c:v>
                </c:pt>
                <c:pt idx="273">
                  <c:v>7</c:v>
                </c:pt>
                <c:pt idx="274">
                  <c:v>7</c:v>
                </c:pt>
                <c:pt idx="275">
                  <c:v>7</c:v>
                </c:pt>
                <c:pt idx="276">
                  <c:v>7</c:v>
                </c:pt>
                <c:pt idx="277">
                  <c:v>7</c:v>
                </c:pt>
                <c:pt idx="278">
                  <c:v>7</c:v>
                </c:pt>
                <c:pt idx="279">
                  <c:v>7</c:v>
                </c:pt>
                <c:pt idx="280">
                  <c:v>7</c:v>
                </c:pt>
                <c:pt idx="281">
                  <c:v>7</c:v>
                </c:pt>
                <c:pt idx="282">
                  <c:v>7</c:v>
                </c:pt>
                <c:pt idx="283">
                  <c:v>7</c:v>
                </c:pt>
                <c:pt idx="284">
                  <c:v>7</c:v>
                </c:pt>
                <c:pt idx="285">
                  <c:v>7</c:v>
                </c:pt>
                <c:pt idx="286">
                  <c:v>7</c:v>
                </c:pt>
                <c:pt idx="287">
                  <c:v>7</c:v>
                </c:pt>
                <c:pt idx="288">
                  <c:v>7</c:v>
                </c:pt>
                <c:pt idx="289">
                  <c:v>7</c:v>
                </c:pt>
                <c:pt idx="290">
                  <c:v>7</c:v>
                </c:pt>
                <c:pt idx="291">
                  <c:v>7</c:v>
                </c:pt>
                <c:pt idx="292">
                  <c:v>7</c:v>
                </c:pt>
                <c:pt idx="293">
                  <c:v>7</c:v>
                </c:pt>
                <c:pt idx="294">
                  <c:v>7</c:v>
                </c:pt>
                <c:pt idx="295">
                  <c:v>7</c:v>
                </c:pt>
                <c:pt idx="296">
                  <c:v>7</c:v>
                </c:pt>
                <c:pt idx="297">
                  <c:v>7</c:v>
                </c:pt>
                <c:pt idx="298">
                  <c:v>7</c:v>
                </c:pt>
                <c:pt idx="299">
                  <c:v>7</c:v>
                </c:pt>
                <c:pt idx="300">
                  <c:v>7</c:v>
                </c:pt>
                <c:pt idx="301">
                  <c:v>7</c:v>
                </c:pt>
                <c:pt idx="302">
                  <c:v>7</c:v>
                </c:pt>
                <c:pt idx="303">
                  <c:v>7</c:v>
                </c:pt>
                <c:pt idx="304">
                  <c:v>7</c:v>
                </c:pt>
                <c:pt idx="305">
                  <c:v>7</c:v>
                </c:pt>
                <c:pt idx="306">
                  <c:v>7</c:v>
                </c:pt>
                <c:pt idx="307">
                  <c:v>7</c:v>
                </c:pt>
                <c:pt idx="308">
                  <c:v>7</c:v>
                </c:pt>
                <c:pt idx="309">
                  <c:v>7</c:v>
                </c:pt>
                <c:pt idx="310">
                  <c:v>7</c:v>
                </c:pt>
                <c:pt idx="311">
                  <c:v>7</c:v>
                </c:pt>
                <c:pt idx="312">
                  <c:v>7</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7</c:v>
                </c:pt>
                <c:pt idx="333">
                  <c:v>7</c:v>
                </c:pt>
                <c:pt idx="334">
                  <c:v>7</c:v>
                </c:pt>
                <c:pt idx="335">
                  <c:v>7</c:v>
                </c:pt>
                <c:pt idx="336">
                  <c:v>7</c:v>
                </c:pt>
                <c:pt idx="337">
                  <c:v>7</c:v>
                </c:pt>
                <c:pt idx="338">
                  <c:v>7</c:v>
                </c:pt>
                <c:pt idx="339">
                  <c:v>7</c:v>
                </c:pt>
                <c:pt idx="340">
                  <c:v>7</c:v>
                </c:pt>
                <c:pt idx="341">
                  <c:v>7</c:v>
                </c:pt>
                <c:pt idx="342">
                  <c:v>7</c:v>
                </c:pt>
                <c:pt idx="343">
                  <c:v>7</c:v>
                </c:pt>
                <c:pt idx="344">
                  <c:v>7</c:v>
                </c:pt>
                <c:pt idx="345">
                  <c:v>7</c:v>
                </c:pt>
                <c:pt idx="346">
                  <c:v>7</c:v>
                </c:pt>
                <c:pt idx="347">
                  <c:v>7</c:v>
                </c:pt>
                <c:pt idx="348">
                  <c:v>7</c:v>
                </c:pt>
                <c:pt idx="349">
                  <c:v>7</c:v>
                </c:pt>
                <c:pt idx="350">
                  <c:v>7</c:v>
                </c:pt>
                <c:pt idx="351">
                  <c:v>7</c:v>
                </c:pt>
                <c:pt idx="352">
                  <c:v>7</c:v>
                </c:pt>
                <c:pt idx="353">
                  <c:v>7</c:v>
                </c:pt>
                <c:pt idx="354">
                  <c:v>7</c:v>
                </c:pt>
                <c:pt idx="355">
                  <c:v>7</c:v>
                </c:pt>
                <c:pt idx="356">
                  <c:v>7</c:v>
                </c:pt>
                <c:pt idx="357">
                  <c:v>7</c:v>
                </c:pt>
                <c:pt idx="358">
                  <c:v>7</c:v>
                </c:pt>
                <c:pt idx="359">
                  <c:v>7</c:v>
                </c:pt>
                <c:pt idx="360">
                  <c:v>7</c:v>
                </c:pt>
                <c:pt idx="361">
                  <c:v>7</c:v>
                </c:pt>
                <c:pt idx="362">
                  <c:v>7</c:v>
                </c:pt>
                <c:pt idx="363">
                  <c:v>7</c:v>
                </c:pt>
                <c:pt idx="364">
                  <c:v>7</c:v>
                </c:pt>
                <c:pt idx="365">
                  <c:v>7</c:v>
                </c:pt>
                <c:pt idx="366">
                  <c:v>7</c:v>
                </c:pt>
                <c:pt idx="367">
                  <c:v>7</c:v>
                </c:pt>
                <c:pt idx="368">
                  <c:v>7</c:v>
                </c:pt>
                <c:pt idx="369">
                  <c:v>7</c:v>
                </c:pt>
                <c:pt idx="370">
                  <c:v>7</c:v>
                </c:pt>
                <c:pt idx="371">
                  <c:v>7</c:v>
                </c:pt>
                <c:pt idx="372">
                  <c:v>7</c:v>
                </c:pt>
                <c:pt idx="373">
                  <c:v>7</c:v>
                </c:pt>
                <c:pt idx="374">
                  <c:v>7</c:v>
                </c:pt>
                <c:pt idx="375">
                  <c:v>7</c:v>
                </c:pt>
                <c:pt idx="376">
                  <c:v>7</c:v>
                </c:pt>
                <c:pt idx="377">
                  <c:v>7</c:v>
                </c:pt>
                <c:pt idx="378">
                  <c:v>7</c:v>
                </c:pt>
                <c:pt idx="379">
                  <c:v>7</c:v>
                </c:pt>
                <c:pt idx="380">
                  <c:v>7</c:v>
                </c:pt>
                <c:pt idx="381">
                  <c:v>7</c:v>
                </c:pt>
                <c:pt idx="382">
                  <c:v>7</c:v>
                </c:pt>
                <c:pt idx="383">
                  <c:v>7</c:v>
                </c:pt>
                <c:pt idx="384">
                  <c:v>7</c:v>
                </c:pt>
                <c:pt idx="385">
                  <c:v>7</c:v>
                </c:pt>
                <c:pt idx="386">
                  <c:v>7</c:v>
                </c:pt>
                <c:pt idx="387">
                  <c:v>7</c:v>
                </c:pt>
                <c:pt idx="388">
                  <c:v>7</c:v>
                </c:pt>
                <c:pt idx="389">
                  <c:v>7</c:v>
                </c:pt>
                <c:pt idx="390">
                  <c:v>7</c:v>
                </c:pt>
                <c:pt idx="391">
                  <c:v>7</c:v>
                </c:pt>
                <c:pt idx="392">
                  <c:v>7</c:v>
                </c:pt>
                <c:pt idx="393">
                  <c:v>7</c:v>
                </c:pt>
                <c:pt idx="394">
                  <c:v>7</c:v>
                </c:pt>
                <c:pt idx="395">
                  <c:v>7</c:v>
                </c:pt>
                <c:pt idx="396">
                  <c:v>7</c:v>
                </c:pt>
                <c:pt idx="397">
                  <c:v>7</c:v>
                </c:pt>
                <c:pt idx="398">
                  <c:v>7</c:v>
                </c:pt>
                <c:pt idx="399">
                  <c:v>7</c:v>
                </c:pt>
                <c:pt idx="400">
                  <c:v>7</c:v>
                </c:pt>
                <c:pt idx="401">
                  <c:v>7</c:v>
                </c:pt>
                <c:pt idx="402">
                  <c:v>7</c:v>
                </c:pt>
                <c:pt idx="403">
                  <c:v>7</c:v>
                </c:pt>
                <c:pt idx="404">
                  <c:v>7</c:v>
                </c:pt>
                <c:pt idx="405">
                  <c:v>7</c:v>
                </c:pt>
                <c:pt idx="406">
                  <c:v>7</c:v>
                </c:pt>
                <c:pt idx="407">
                  <c:v>7</c:v>
                </c:pt>
                <c:pt idx="408">
                  <c:v>7</c:v>
                </c:pt>
                <c:pt idx="409">
                  <c:v>7</c:v>
                </c:pt>
                <c:pt idx="410">
                  <c:v>7</c:v>
                </c:pt>
                <c:pt idx="411">
                  <c:v>7</c:v>
                </c:pt>
                <c:pt idx="412">
                  <c:v>7</c:v>
                </c:pt>
                <c:pt idx="413">
                  <c:v>7</c:v>
                </c:pt>
                <c:pt idx="414">
                  <c:v>7</c:v>
                </c:pt>
                <c:pt idx="415">
                  <c:v>7</c:v>
                </c:pt>
                <c:pt idx="416">
                  <c:v>7</c:v>
                </c:pt>
                <c:pt idx="417">
                  <c:v>7</c:v>
                </c:pt>
                <c:pt idx="418">
                  <c:v>7</c:v>
                </c:pt>
                <c:pt idx="419">
                  <c:v>7</c:v>
                </c:pt>
                <c:pt idx="420">
                  <c:v>7</c:v>
                </c:pt>
                <c:pt idx="421">
                  <c:v>7</c:v>
                </c:pt>
                <c:pt idx="422">
                  <c:v>7</c:v>
                </c:pt>
                <c:pt idx="423">
                  <c:v>7</c:v>
                </c:pt>
                <c:pt idx="424">
                  <c:v>7</c:v>
                </c:pt>
                <c:pt idx="425">
                  <c:v>7</c:v>
                </c:pt>
                <c:pt idx="426">
                  <c:v>7</c:v>
                </c:pt>
                <c:pt idx="427">
                  <c:v>7</c:v>
                </c:pt>
                <c:pt idx="428">
                  <c:v>7</c:v>
                </c:pt>
                <c:pt idx="429">
                  <c:v>7</c:v>
                </c:pt>
                <c:pt idx="430">
                  <c:v>7</c:v>
                </c:pt>
                <c:pt idx="431">
                  <c:v>7</c:v>
                </c:pt>
                <c:pt idx="432">
                  <c:v>7</c:v>
                </c:pt>
                <c:pt idx="433">
                  <c:v>7</c:v>
                </c:pt>
                <c:pt idx="434">
                  <c:v>7</c:v>
                </c:pt>
                <c:pt idx="435">
                  <c:v>7</c:v>
                </c:pt>
                <c:pt idx="436">
                  <c:v>7</c:v>
                </c:pt>
                <c:pt idx="437">
                  <c:v>7</c:v>
                </c:pt>
                <c:pt idx="438">
                  <c:v>7</c:v>
                </c:pt>
                <c:pt idx="439">
                  <c:v>7</c:v>
                </c:pt>
                <c:pt idx="440">
                  <c:v>7</c:v>
                </c:pt>
                <c:pt idx="441">
                  <c:v>7</c:v>
                </c:pt>
                <c:pt idx="442">
                  <c:v>7</c:v>
                </c:pt>
                <c:pt idx="443">
                  <c:v>7</c:v>
                </c:pt>
                <c:pt idx="444">
                  <c:v>7</c:v>
                </c:pt>
                <c:pt idx="445">
                  <c:v>7</c:v>
                </c:pt>
                <c:pt idx="446">
                  <c:v>7</c:v>
                </c:pt>
                <c:pt idx="447">
                  <c:v>7</c:v>
                </c:pt>
                <c:pt idx="448">
                  <c:v>7</c:v>
                </c:pt>
                <c:pt idx="449">
                  <c:v>7</c:v>
                </c:pt>
                <c:pt idx="450">
                  <c:v>7</c:v>
                </c:pt>
                <c:pt idx="451">
                  <c:v>7</c:v>
                </c:pt>
                <c:pt idx="452">
                  <c:v>7</c:v>
                </c:pt>
                <c:pt idx="453">
                  <c:v>7</c:v>
                </c:pt>
                <c:pt idx="454">
                  <c:v>7</c:v>
                </c:pt>
                <c:pt idx="455">
                  <c:v>7</c:v>
                </c:pt>
                <c:pt idx="456">
                  <c:v>7</c:v>
                </c:pt>
                <c:pt idx="457">
                  <c:v>7</c:v>
                </c:pt>
                <c:pt idx="458">
                  <c:v>7</c:v>
                </c:pt>
                <c:pt idx="459">
                  <c:v>7</c:v>
                </c:pt>
                <c:pt idx="460">
                  <c:v>7</c:v>
                </c:pt>
                <c:pt idx="461">
                  <c:v>7</c:v>
                </c:pt>
                <c:pt idx="462">
                  <c:v>7</c:v>
                </c:pt>
                <c:pt idx="463">
                  <c:v>7</c:v>
                </c:pt>
                <c:pt idx="464">
                  <c:v>7</c:v>
                </c:pt>
                <c:pt idx="465">
                  <c:v>7</c:v>
                </c:pt>
                <c:pt idx="466">
                  <c:v>7</c:v>
                </c:pt>
                <c:pt idx="467">
                  <c:v>7</c:v>
                </c:pt>
                <c:pt idx="468">
                  <c:v>7</c:v>
                </c:pt>
                <c:pt idx="469">
                  <c:v>7</c:v>
                </c:pt>
                <c:pt idx="470">
                  <c:v>7</c:v>
                </c:pt>
                <c:pt idx="471">
                  <c:v>7</c:v>
                </c:pt>
                <c:pt idx="472">
                  <c:v>7</c:v>
                </c:pt>
                <c:pt idx="473">
                  <c:v>7</c:v>
                </c:pt>
                <c:pt idx="474">
                  <c:v>7</c:v>
                </c:pt>
                <c:pt idx="475">
                  <c:v>7</c:v>
                </c:pt>
                <c:pt idx="476">
                  <c:v>7</c:v>
                </c:pt>
                <c:pt idx="477">
                  <c:v>7</c:v>
                </c:pt>
                <c:pt idx="478">
                  <c:v>7</c:v>
                </c:pt>
                <c:pt idx="479">
                  <c:v>7</c:v>
                </c:pt>
                <c:pt idx="480">
                  <c:v>7</c:v>
                </c:pt>
                <c:pt idx="481">
                  <c:v>7</c:v>
                </c:pt>
                <c:pt idx="482">
                  <c:v>7</c:v>
                </c:pt>
                <c:pt idx="483">
                  <c:v>7</c:v>
                </c:pt>
                <c:pt idx="484">
                  <c:v>7</c:v>
                </c:pt>
                <c:pt idx="485">
                  <c:v>7</c:v>
                </c:pt>
                <c:pt idx="486">
                  <c:v>7</c:v>
                </c:pt>
                <c:pt idx="487">
                  <c:v>7</c:v>
                </c:pt>
                <c:pt idx="488">
                  <c:v>7</c:v>
                </c:pt>
                <c:pt idx="489">
                  <c:v>7</c:v>
                </c:pt>
                <c:pt idx="490">
                  <c:v>7</c:v>
                </c:pt>
                <c:pt idx="491">
                  <c:v>7</c:v>
                </c:pt>
                <c:pt idx="492">
                  <c:v>7</c:v>
                </c:pt>
                <c:pt idx="493">
                  <c:v>7</c:v>
                </c:pt>
                <c:pt idx="494">
                  <c:v>7</c:v>
                </c:pt>
                <c:pt idx="495">
                  <c:v>7</c:v>
                </c:pt>
                <c:pt idx="496">
                  <c:v>7</c:v>
                </c:pt>
                <c:pt idx="497">
                  <c:v>7</c:v>
                </c:pt>
                <c:pt idx="498">
                  <c:v>7</c:v>
                </c:pt>
                <c:pt idx="499">
                  <c:v>7</c:v>
                </c:pt>
                <c:pt idx="500">
                  <c:v>7</c:v>
                </c:pt>
                <c:pt idx="501">
                  <c:v>7</c:v>
                </c:pt>
                <c:pt idx="502">
                  <c:v>7</c:v>
                </c:pt>
                <c:pt idx="503">
                  <c:v>7</c:v>
                </c:pt>
                <c:pt idx="504">
                  <c:v>7</c:v>
                </c:pt>
                <c:pt idx="505">
                  <c:v>7</c:v>
                </c:pt>
                <c:pt idx="506">
                  <c:v>7</c:v>
                </c:pt>
                <c:pt idx="507">
                  <c:v>7</c:v>
                </c:pt>
                <c:pt idx="508">
                  <c:v>7</c:v>
                </c:pt>
                <c:pt idx="509">
                  <c:v>7</c:v>
                </c:pt>
                <c:pt idx="510">
                  <c:v>7</c:v>
                </c:pt>
                <c:pt idx="511">
                  <c:v>7</c:v>
                </c:pt>
                <c:pt idx="512">
                  <c:v>7</c:v>
                </c:pt>
                <c:pt idx="513">
                  <c:v>7</c:v>
                </c:pt>
                <c:pt idx="514">
                  <c:v>7</c:v>
                </c:pt>
                <c:pt idx="515">
                  <c:v>7</c:v>
                </c:pt>
                <c:pt idx="516">
                  <c:v>7</c:v>
                </c:pt>
                <c:pt idx="517">
                  <c:v>7</c:v>
                </c:pt>
                <c:pt idx="518">
                  <c:v>7</c:v>
                </c:pt>
                <c:pt idx="519">
                  <c:v>7</c:v>
                </c:pt>
                <c:pt idx="520">
                  <c:v>7</c:v>
                </c:pt>
                <c:pt idx="521">
                  <c:v>7</c:v>
                </c:pt>
                <c:pt idx="522">
                  <c:v>7</c:v>
                </c:pt>
                <c:pt idx="523">
                  <c:v>7</c:v>
                </c:pt>
                <c:pt idx="524">
                  <c:v>7</c:v>
                </c:pt>
                <c:pt idx="525">
                  <c:v>7</c:v>
                </c:pt>
                <c:pt idx="526">
                  <c:v>7</c:v>
                </c:pt>
                <c:pt idx="527">
                  <c:v>7</c:v>
                </c:pt>
                <c:pt idx="528">
                  <c:v>7</c:v>
                </c:pt>
                <c:pt idx="529">
                  <c:v>7</c:v>
                </c:pt>
                <c:pt idx="530">
                  <c:v>7</c:v>
                </c:pt>
                <c:pt idx="531">
                  <c:v>7</c:v>
                </c:pt>
                <c:pt idx="532">
                  <c:v>7</c:v>
                </c:pt>
                <c:pt idx="533">
                  <c:v>7</c:v>
                </c:pt>
                <c:pt idx="534">
                  <c:v>7</c:v>
                </c:pt>
                <c:pt idx="535">
                  <c:v>7</c:v>
                </c:pt>
                <c:pt idx="536">
                  <c:v>7</c:v>
                </c:pt>
                <c:pt idx="537">
                  <c:v>7</c:v>
                </c:pt>
                <c:pt idx="538">
                  <c:v>7</c:v>
                </c:pt>
                <c:pt idx="539">
                  <c:v>7</c:v>
                </c:pt>
                <c:pt idx="540">
                  <c:v>7</c:v>
                </c:pt>
                <c:pt idx="541">
                  <c:v>7</c:v>
                </c:pt>
                <c:pt idx="542">
                  <c:v>7</c:v>
                </c:pt>
                <c:pt idx="543">
                  <c:v>7</c:v>
                </c:pt>
                <c:pt idx="544">
                  <c:v>7</c:v>
                </c:pt>
                <c:pt idx="545">
                  <c:v>7</c:v>
                </c:pt>
                <c:pt idx="546">
                  <c:v>7</c:v>
                </c:pt>
                <c:pt idx="547">
                  <c:v>7</c:v>
                </c:pt>
                <c:pt idx="548">
                  <c:v>7</c:v>
                </c:pt>
                <c:pt idx="549">
                  <c:v>7</c:v>
                </c:pt>
                <c:pt idx="550">
                  <c:v>7</c:v>
                </c:pt>
                <c:pt idx="551">
                  <c:v>7</c:v>
                </c:pt>
                <c:pt idx="552">
                  <c:v>7</c:v>
                </c:pt>
                <c:pt idx="553">
                  <c:v>7</c:v>
                </c:pt>
                <c:pt idx="554">
                  <c:v>7</c:v>
                </c:pt>
                <c:pt idx="555">
                  <c:v>7</c:v>
                </c:pt>
                <c:pt idx="556">
                  <c:v>7</c:v>
                </c:pt>
                <c:pt idx="557">
                  <c:v>7</c:v>
                </c:pt>
                <c:pt idx="558">
                  <c:v>7</c:v>
                </c:pt>
                <c:pt idx="559">
                  <c:v>7</c:v>
                </c:pt>
                <c:pt idx="560">
                  <c:v>7</c:v>
                </c:pt>
                <c:pt idx="561">
                  <c:v>7</c:v>
                </c:pt>
                <c:pt idx="562">
                  <c:v>7</c:v>
                </c:pt>
                <c:pt idx="563">
                  <c:v>7</c:v>
                </c:pt>
                <c:pt idx="564">
                  <c:v>7</c:v>
                </c:pt>
                <c:pt idx="565">
                  <c:v>7</c:v>
                </c:pt>
                <c:pt idx="566">
                  <c:v>7</c:v>
                </c:pt>
                <c:pt idx="567">
                  <c:v>7</c:v>
                </c:pt>
                <c:pt idx="568">
                  <c:v>7</c:v>
                </c:pt>
                <c:pt idx="569">
                  <c:v>7</c:v>
                </c:pt>
                <c:pt idx="570">
                  <c:v>7</c:v>
                </c:pt>
                <c:pt idx="571">
                  <c:v>7</c:v>
                </c:pt>
                <c:pt idx="572">
                  <c:v>7</c:v>
                </c:pt>
                <c:pt idx="573">
                  <c:v>7</c:v>
                </c:pt>
                <c:pt idx="574">
                  <c:v>7</c:v>
                </c:pt>
                <c:pt idx="575">
                  <c:v>7</c:v>
                </c:pt>
                <c:pt idx="576">
                  <c:v>7</c:v>
                </c:pt>
                <c:pt idx="577">
                  <c:v>7</c:v>
                </c:pt>
                <c:pt idx="578">
                  <c:v>7</c:v>
                </c:pt>
                <c:pt idx="579">
                  <c:v>7</c:v>
                </c:pt>
                <c:pt idx="580">
                  <c:v>7</c:v>
                </c:pt>
                <c:pt idx="581">
                  <c:v>7</c:v>
                </c:pt>
                <c:pt idx="582">
                  <c:v>7</c:v>
                </c:pt>
                <c:pt idx="583">
                  <c:v>7</c:v>
                </c:pt>
                <c:pt idx="584">
                  <c:v>7</c:v>
                </c:pt>
                <c:pt idx="585">
                  <c:v>7</c:v>
                </c:pt>
                <c:pt idx="586">
                  <c:v>7</c:v>
                </c:pt>
                <c:pt idx="587">
                  <c:v>7</c:v>
                </c:pt>
                <c:pt idx="588">
                  <c:v>7</c:v>
                </c:pt>
                <c:pt idx="589">
                  <c:v>7</c:v>
                </c:pt>
                <c:pt idx="590">
                  <c:v>7</c:v>
                </c:pt>
                <c:pt idx="591">
                  <c:v>7</c:v>
                </c:pt>
                <c:pt idx="592">
                  <c:v>7</c:v>
                </c:pt>
                <c:pt idx="593">
                  <c:v>7</c:v>
                </c:pt>
                <c:pt idx="594">
                  <c:v>7</c:v>
                </c:pt>
                <c:pt idx="595">
                  <c:v>7</c:v>
                </c:pt>
                <c:pt idx="596">
                  <c:v>7</c:v>
                </c:pt>
                <c:pt idx="597">
                  <c:v>7</c:v>
                </c:pt>
                <c:pt idx="598">
                  <c:v>7</c:v>
                </c:pt>
                <c:pt idx="599">
                  <c:v>7</c:v>
                </c:pt>
                <c:pt idx="600">
                  <c:v>8</c:v>
                </c:pt>
                <c:pt idx="601">
                  <c:v>8</c:v>
                </c:pt>
                <c:pt idx="602">
                  <c:v>8</c:v>
                </c:pt>
                <c:pt idx="603">
                  <c:v>8</c:v>
                </c:pt>
                <c:pt idx="604">
                  <c:v>8</c:v>
                </c:pt>
                <c:pt idx="605">
                  <c:v>8</c:v>
                </c:pt>
                <c:pt idx="606">
                  <c:v>8</c:v>
                </c:pt>
                <c:pt idx="607">
                  <c:v>8</c:v>
                </c:pt>
                <c:pt idx="608">
                  <c:v>8</c:v>
                </c:pt>
                <c:pt idx="609">
                  <c:v>8</c:v>
                </c:pt>
                <c:pt idx="610">
                  <c:v>8</c:v>
                </c:pt>
                <c:pt idx="611">
                  <c:v>8</c:v>
                </c:pt>
                <c:pt idx="612">
                  <c:v>8</c:v>
                </c:pt>
                <c:pt idx="613">
                  <c:v>8</c:v>
                </c:pt>
                <c:pt idx="614">
                  <c:v>8</c:v>
                </c:pt>
                <c:pt idx="615">
                  <c:v>8</c:v>
                </c:pt>
                <c:pt idx="616">
                  <c:v>8</c:v>
                </c:pt>
                <c:pt idx="617">
                  <c:v>8</c:v>
                </c:pt>
                <c:pt idx="618">
                  <c:v>8</c:v>
                </c:pt>
                <c:pt idx="619">
                  <c:v>8</c:v>
                </c:pt>
                <c:pt idx="620">
                  <c:v>8</c:v>
                </c:pt>
                <c:pt idx="621">
                  <c:v>8</c:v>
                </c:pt>
                <c:pt idx="622">
                  <c:v>8</c:v>
                </c:pt>
                <c:pt idx="623">
                  <c:v>8</c:v>
                </c:pt>
                <c:pt idx="624">
                  <c:v>8</c:v>
                </c:pt>
                <c:pt idx="625">
                  <c:v>8</c:v>
                </c:pt>
                <c:pt idx="626">
                  <c:v>8</c:v>
                </c:pt>
                <c:pt idx="627">
                  <c:v>8</c:v>
                </c:pt>
                <c:pt idx="628">
                  <c:v>8</c:v>
                </c:pt>
                <c:pt idx="629">
                  <c:v>8</c:v>
                </c:pt>
                <c:pt idx="630">
                  <c:v>8</c:v>
                </c:pt>
                <c:pt idx="631">
                  <c:v>8</c:v>
                </c:pt>
                <c:pt idx="632">
                  <c:v>8</c:v>
                </c:pt>
                <c:pt idx="633">
                  <c:v>8</c:v>
                </c:pt>
                <c:pt idx="634">
                  <c:v>8</c:v>
                </c:pt>
                <c:pt idx="635">
                  <c:v>8</c:v>
                </c:pt>
                <c:pt idx="636">
                  <c:v>8</c:v>
                </c:pt>
                <c:pt idx="637">
                  <c:v>8</c:v>
                </c:pt>
                <c:pt idx="638">
                  <c:v>8</c:v>
                </c:pt>
                <c:pt idx="639">
                  <c:v>8</c:v>
                </c:pt>
                <c:pt idx="640">
                  <c:v>8</c:v>
                </c:pt>
                <c:pt idx="641">
                  <c:v>8</c:v>
                </c:pt>
                <c:pt idx="642">
                  <c:v>8</c:v>
                </c:pt>
                <c:pt idx="643">
                  <c:v>8</c:v>
                </c:pt>
                <c:pt idx="644">
                  <c:v>8</c:v>
                </c:pt>
                <c:pt idx="645">
                  <c:v>8</c:v>
                </c:pt>
                <c:pt idx="646">
                  <c:v>8</c:v>
                </c:pt>
                <c:pt idx="647">
                  <c:v>8</c:v>
                </c:pt>
                <c:pt idx="648">
                  <c:v>8</c:v>
                </c:pt>
                <c:pt idx="649">
                  <c:v>8</c:v>
                </c:pt>
                <c:pt idx="650">
                  <c:v>8</c:v>
                </c:pt>
                <c:pt idx="651">
                  <c:v>8</c:v>
                </c:pt>
                <c:pt idx="652">
                  <c:v>8</c:v>
                </c:pt>
                <c:pt idx="653">
                  <c:v>8</c:v>
                </c:pt>
                <c:pt idx="654">
                  <c:v>8</c:v>
                </c:pt>
                <c:pt idx="655">
                  <c:v>8</c:v>
                </c:pt>
                <c:pt idx="656">
                  <c:v>8</c:v>
                </c:pt>
                <c:pt idx="657">
                  <c:v>8</c:v>
                </c:pt>
                <c:pt idx="658">
                  <c:v>8</c:v>
                </c:pt>
                <c:pt idx="659">
                  <c:v>8</c:v>
                </c:pt>
                <c:pt idx="660">
                  <c:v>8</c:v>
                </c:pt>
                <c:pt idx="661">
                  <c:v>8</c:v>
                </c:pt>
                <c:pt idx="662">
                  <c:v>8</c:v>
                </c:pt>
                <c:pt idx="663">
                  <c:v>8</c:v>
                </c:pt>
                <c:pt idx="664">
                  <c:v>8</c:v>
                </c:pt>
                <c:pt idx="665">
                  <c:v>8</c:v>
                </c:pt>
                <c:pt idx="666">
                  <c:v>8</c:v>
                </c:pt>
                <c:pt idx="667">
                  <c:v>8</c:v>
                </c:pt>
                <c:pt idx="668">
                  <c:v>8</c:v>
                </c:pt>
                <c:pt idx="669">
                  <c:v>8</c:v>
                </c:pt>
                <c:pt idx="670">
                  <c:v>8</c:v>
                </c:pt>
                <c:pt idx="671">
                  <c:v>8</c:v>
                </c:pt>
                <c:pt idx="672">
                  <c:v>8</c:v>
                </c:pt>
                <c:pt idx="673">
                  <c:v>8</c:v>
                </c:pt>
                <c:pt idx="674">
                  <c:v>8</c:v>
                </c:pt>
                <c:pt idx="675">
                  <c:v>8</c:v>
                </c:pt>
                <c:pt idx="676">
                  <c:v>8</c:v>
                </c:pt>
                <c:pt idx="677">
                  <c:v>8</c:v>
                </c:pt>
                <c:pt idx="678">
                  <c:v>8</c:v>
                </c:pt>
                <c:pt idx="679">
                  <c:v>8</c:v>
                </c:pt>
                <c:pt idx="680">
                  <c:v>8</c:v>
                </c:pt>
                <c:pt idx="681">
                  <c:v>8</c:v>
                </c:pt>
                <c:pt idx="682">
                  <c:v>8</c:v>
                </c:pt>
                <c:pt idx="683">
                  <c:v>8</c:v>
                </c:pt>
                <c:pt idx="684">
                  <c:v>8</c:v>
                </c:pt>
                <c:pt idx="685">
                  <c:v>8</c:v>
                </c:pt>
                <c:pt idx="686">
                  <c:v>8</c:v>
                </c:pt>
                <c:pt idx="687">
                  <c:v>8</c:v>
                </c:pt>
                <c:pt idx="688">
                  <c:v>8</c:v>
                </c:pt>
                <c:pt idx="689">
                  <c:v>8</c:v>
                </c:pt>
                <c:pt idx="690">
                  <c:v>8</c:v>
                </c:pt>
                <c:pt idx="691">
                  <c:v>8</c:v>
                </c:pt>
                <c:pt idx="692">
                  <c:v>8</c:v>
                </c:pt>
                <c:pt idx="693">
                  <c:v>8</c:v>
                </c:pt>
                <c:pt idx="694">
                  <c:v>8</c:v>
                </c:pt>
                <c:pt idx="695">
                  <c:v>8</c:v>
                </c:pt>
                <c:pt idx="696">
                  <c:v>8</c:v>
                </c:pt>
                <c:pt idx="697">
                  <c:v>8</c:v>
                </c:pt>
                <c:pt idx="698">
                  <c:v>8</c:v>
                </c:pt>
                <c:pt idx="699">
                  <c:v>8</c:v>
                </c:pt>
                <c:pt idx="700">
                  <c:v>8</c:v>
                </c:pt>
                <c:pt idx="701">
                  <c:v>8</c:v>
                </c:pt>
                <c:pt idx="702">
                  <c:v>8</c:v>
                </c:pt>
                <c:pt idx="703">
                  <c:v>8</c:v>
                </c:pt>
                <c:pt idx="704">
                  <c:v>8</c:v>
                </c:pt>
                <c:pt idx="705">
                  <c:v>8</c:v>
                </c:pt>
                <c:pt idx="706">
                  <c:v>8</c:v>
                </c:pt>
                <c:pt idx="707">
                  <c:v>8</c:v>
                </c:pt>
                <c:pt idx="708">
                  <c:v>8</c:v>
                </c:pt>
                <c:pt idx="709">
                  <c:v>8</c:v>
                </c:pt>
                <c:pt idx="710">
                  <c:v>8</c:v>
                </c:pt>
                <c:pt idx="711">
                  <c:v>8</c:v>
                </c:pt>
                <c:pt idx="712">
                  <c:v>8</c:v>
                </c:pt>
                <c:pt idx="713">
                  <c:v>8</c:v>
                </c:pt>
                <c:pt idx="714">
                  <c:v>8</c:v>
                </c:pt>
                <c:pt idx="715">
                  <c:v>8</c:v>
                </c:pt>
                <c:pt idx="716">
                  <c:v>8</c:v>
                </c:pt>
                <c:pt idx="717">
                  <c:v>8</c:v>
                </c:pt>
                <c:pt idx="718">
                  <c:v>8</c:v>
                </c:pt>
                <c:pt idx="719">
                  <c:v>8</c:v>
                </c:pt>
                <c:pt idx="720">
                  <c:v>8</c:v>
                </c:pt>
                <c:pt idx="721">
                  <c:v>8</c:v>
                </c:pt>
                <c:pt idx="722">
                  <c:v>8</c:v>
                </c:pt>
                <c:pt idx="723">
                  <c:v>8</c:v>
                </c:pt>
                <c:pt idx="724">
                  <c:v>8</c:v>
                </c:pt>
                <c:pt idx="725">
                  <c:v>8</c:v>
                </c:pt>
                <c:pt idx="726">
                  <c:v>8</c:v>
                </c:pt>
                <c:pt idx="727">
                  <c:v>8</c:v>
                </c:pt>
                <c:pt idx="728">
                  <c:v>8</c:v>
                </c:pt>
                <c:pt idx="729">
                  <c:v>8</c:v>
                </c:pt>
                <c:pt idx="730">
                  <c:v>8</c:v>
                </c:pt>
                <c:pt idx="731">
                  <c:v>8</c:v>
                </c:pt>
                <c:pt idx="732">
                  <c:v>8</c:v>
                </c:pt>
                <c:pt idx="733">
                  <c:v>8</c:v>
                </c:pt>
                <c:pt idx="734">
                  <c:v>8</c:v>
                </c:pt>
                <c:pt idx="735">
                  <c:v>8</c:v>
                </c:pt>
                <c:pt idx="736">
                  <c:v>8</c:v>
                </c:pt>
                <c:pt idx="737">
                  <c:v>8</c:v>
                </c:pt>
                <c:pt idx="738">
                  <c:v>8</c:v>
                </c:pt>
                <c:pt idx="739">
                  <c:v>8</c:v>
                </c:pt>
                <c:pt idx="740">
                  <c:v>8</c:v>
                </c:pt>
                <c:pt idx="741">
                  <c:v>8</c:v>
                </c:pt>
                <c:pt idx="742">
                  <c:v>8</c:v>
                </c:pt>
                <c:pt idx="743">
                  <c:v>8</c:v>
                </c:pt>
                <c:pt idx="744">
                  <c:v>8</c:v>
                </c:pt>
                <c:pt idx="745">
                  <c:v>8</c:v>
                </c:pt>
                <c:pt idx="746">
                  <c:v>8</c:v>
                </c:pt>
                <c:pt idx="747">
                  <c:v>8</c:v>
                </c:pt>
                <c:pt idx="748">
                  <c:v>8</c:v>
                </c:pt>
                <c:pt idx="749">
                  <c:v>8</c:v>
                </c:pt>
                <c:pt idx="750">
                  <c:v>8</c:v>
                </c:pt>
                <c:pt idx="751">
                  <c:v>8</c:v>
                </c:pt>
                <c:pt idx="752">
                  <c:v>8</c:v>
                </c:pt>
                <c:pt idx="753">
                  <c:v>8</c:v>
                </c:pt>
                <c:pt idx="754">
                  <c:v>8</c:v>
                </c:pt>
                <c:pt idx="755">
                  <c:v>8</c:v>
                </c:pt>
                <c:pt idx="756">
                  <c:v>8</c:v>
                </c:pt>
                <c:pt idx="757">
                  <c:v>8</c:v>
                </c:pt>
                <c:pt idx="758">
                  <c:v>8</c:v>
                </c:pt>
                <c:pt idx="759">
                  <c:v>8</c:v>
                </c:pt>
                <c:pt idx="760">
                  <c:v>8</c:v>
                </c:pt>
                <c:pt idx="761">
                  <c:v>8</c:v>
                </c:pt>
                <c:pt idx="762">
                  <c:v>8</c:v>
                </c:pt>
                <c:pt idx="763">
                  <c:v>8</c:v>
                </c:pt>
                <c:pt idx="764">
                  <c:v>8</c:v>
                </c:pt>
                <c:pt idx="765">
                  <c:v>8</c:v>
                </c:pt>
                <c:pt idx="766">
                  <c:v>8</c:v>
                </c:pt>
                <c:pt idx="767">
                  <c:v>8</c:v>
                </c:pt>
                <c:pt idx="768">
                  <c:v>8</c:v>
                </c:pt>
                <c:pt idx="769">
                  <c:v>8</c:v>
                </c:pt>
                <c:pt idx="770">
                  <c:v>8</c:v>
                </c:pt>
                <c:pt idx="771">
                  <c:v>8</c:v>
                </c:pt>
                <c:pt idx="772">
                  <c:v>8</c:v>
                </c:pt>
                <c:pt idx="773">
                  <c:v>8</c:v>
                </c:pt>
                <c:pt idx="774">
                  <c:v>8</c:v>
                </c:pt>
                <c:pt idx="775">
                  <c:v>8</c:v>
                </c:pt>
                <c:pt idx="776">
                  <c:v>8</c:v>
                </c:pt>
                <c:pt idx="777">
                  <c:v>8</c:v>
                </c:pt>
                <c:pt idx="778">
                  <c:v>8</c:v>
                </c:pt>
                <c:pt idx="779">
                  <c:v>8</c:v>
                </c:pt>
                <c:pt idx="780">
                  <c:v>8</c:v>
                </c:pt>
                <c:pt idx="781">
                  <c:v>8</c:v>
                </c:pt>
                <c:pt idx="782">
                  <c:v>8</c:v>
                </c:pt>
                <c:pt idx="783">
                  <c:v>8</c:v>
                </c:pt>
                <c:pt idx="784">
                  <c:v>8</c:v>
                </c:pt>
                <c:pt idx="785">
                  <c:v>8</c:v>
                </c:pt>
                <c:pt idx="786">
                  <c:v>8</c:v>
                </c:pt>
                <c:pt idx="787">
                  <c:v>8</c:v>
                </c:pt>
                <c:pt idx="788">
                  <c:v>8</c:v>
                </c:pt>
                <c:pt idx="789">
                  <c:v>8</c:v>
                </c:pt>
                <c:pt idx="790">
                  <c:v>8</c:v>
                </c:pt>
                <c:pt idx="791">
                  <c:v>8</c:v>
                </c:pt>
                <c:pt idx="792">
                  <c:v>8</c:v>
                </c:pt>
                <c:pt idx="793">
                  <c:v>8</c:v>
                </c:pt>
                <c:pt idx="794">
                  <c:v>8</c:v>
                </c:pt>
                <c:pt idx="795">
                  <c:v>8</c:v>
                </c:pt>
                <c:pt idx="796">
                  <c:v>8</c:v>
                </c:pt>
                <c:pt idx="797">
                  <c:v>8</c:v>
                </c:pt>
                <c:pt idx="798">
                  <c:v>8</c:v>
                </c:pt>
                <c:pt idx="799">
                  <c:v>8</c:v>
                </c:pt>
                <c:pt idx="800">
                  <c:v>7</c:v>
                </c:pt>
                <c:pt idx="801">
                  <c:v>7</c:v>
                </c:pt>
                <c:pt idx="802">
                  <c:v>7</c:v>
                </c:pt>
                <c:pt idx="803">
                  <c:v>7</c:v>
                </c:pt>
                <c:pt idx="804">
                  <c:v>7</c:v>
                </c:pt>
                <c:pt idx="805">
                  <c:v>7</c:v>
                </c:pt>
                <c:pt idx="806">
                  <c:v>7</c:v>
                </c:pt>
                <c:pt idx="807">
                  <c:v>7</c:v>
                </c:pt>
                <c:pt idx="808">
                  <c:v>7</c:v>
                </c:pt>
                <c:pt idx="809">
                  <c:v>7</c:v>
                </c:pt>
                <c:pt idx="810">
                  <c:v>7</c:v>
                </c:pt>
                <c:pt idx="811">
                  <c:v>7</c:v>
                </c:pt>
                <c:pt idx="812">
                  <c:v>7</c:v>
                </c:pt>
                <c:pt idx="813">
                  <c:v>7</c:v>
                </c:pt>
                <c:pt idx="814">
                  <c:v>7</c:v>
                </c:pt>
                <c:pt idx="815">
                  <c:v>7</c:v>
                </c:pt>
                <c:pt idx="816">
                  <c:v>7</c:v>
                </c:pt>
                <c:pt idx="817">
                  <c:v>7</c:v>
                </c:pt>
                <c:pt idx="818">
                  <c:v>7</c:v>
                </c:pt>
                <c:pt idx="819">
                  <c:v>7</c:v>
                </c:pt>
                <c:pt idx="820">
                  <c:v>7</c:v>
                </c:pt>
                <c:pt idx="821">
                  <c:v>7</c:v>
                </c:pt>
                <c:pt idx="822">
                  <c:v>7</c:v>
                </c:pt>
                <c:pt idx="823">
                  <c:v>7</c:v>
                </c:pt>
                <c:pt idx="824">
                  <c:v>7</c:v>
                </c:pt>
                <c:pt idx="825">
                  <c:v>7</c:v>
                </c:pt>
                <c:pt idx="826">
                  <c:v>7</c:v>
                </c:pt>
                <c:pt idx="827">
                  <c:v>7</c:v>
                </c:pt>
                <c:pt idx="828">
                  <c:v>7</c:v>
                </c:pt>
                <c:pt idx="829">
                  <c:v>7</c:v>
                </c:pt>
                <c:pt idx="830">
                  <c:v>7</c:v>
                </c:pt>
                <c:pt idx="831">
                  <c:v>7</c:v>
                </c:pt>
                <c:pt idx="832">
                  <c:v>7</c:v>
                </c:pt>
                <c:pt idx="833">
                  <c:v>7</c:v>
                </c:pt>
                <c:pt idx="834">
                  <c:v>7</c:v>
                </c:pt>
                <c:pt idx="835">
                  <c:v>7</c:v>
                </c:pt>
                <c:pt idx="836">
                  <c:v>7</c:v>
                </c:pt>
                <c:pt idx="837">
                  <c:v>7</c:v>
                </c:pt>
                <c:pt idx="838">
                  <c:v>7</c:v>
                </c:pt>
                <c:pt idx="839">
                  <c:v>7</c:v>
                </c:pt>
                <c:pt idx="840">
                  <c:v>7</c:v>
                </c:pt>
                <c:pt idx="841">
                  <c:v>7</c:v>
                </c:pt>
                <c:pt idx="842">
                  <c:v>7</c:v>
                </c:pt>
                <c:pt idx="843">
                  <c:v>7</c:v>
                </c:pt>
                <c:pt idx="844">
                  <c:v>7</c:v>
                </c:pt>
                <c:pt idx="845">
                  <c:v>7</c:v>
                </c:pt>
                <c:pt idx="846">
                  <c:v>7</c:v>
                </c:pt>
                <c:pt idx="847">
                  <c:v>7</c:v>
                </c:pt>
                <c:pt idx="848">
                  <c:v>7</c:v>
                </c:pt>
                <c:pt idx="849">
                  <c:v>7</c:v>
                </c:pt>
                <c:pt idx="850">
                  <c:v>7</c:v>
                </c:pt>
                <c:pt idx="851">
                  <c:v>7</c:v>
                </c:pt>
                <c:pt idx="852">
                  <c:v>7</c:v>
                </c:pt>
                <c:pt idx="853">
                  <c:v>7</c:v>
                </c:pt>
                <c:pt idx="854">
                  <c:v>7</c:v>
                </c:pt>
                <c:pt idx="855">
                  <c:v>7</c:v>
                </c:pt>
                <c:pt idx="856">
                  <c:v>7</c:v>
                </c:pt>
                <c:pt idx="857">
                  <c:v>7</c:v>
                </c:pt>
                <c:pt idx="858">
                  <c:v>7</c:v>
                </c:pt>
                <c:pt idx="859">
                  <c:v>7</c:v>
                </c:pt>
                <c:pt idx="860">
                  <c:v>7</c:v>
                </c:pt>
                <c:pt idx="861">
                  <c:v>7</c:v>
                </c:pt>
                <c:pt idx="862">
                  <c:v>7</c:v>
                </c:pt>
                <c:pt idx="863">
                  <c:v>7</c:v>
                </c:pt>
                <c:pt idx="864">
                  <c:v>7</c:v>
                </c:pt>
                <c:pt idx="865">
                  <c:v>7</c:v>
                </c:pt>
                <c:pt idx="866">
                  <c:v>7</c:v>
                </c:pt>
                <c:pt idx="867">
                  <c:v>7</c:v>
                </c:pt>
                <c:pt idx="868">
                  <c:v>7</c:v>
                </c:pt>
                <c:pt idx="869">
                  <c:v>7</c:v>
                </c:pt>
                <c:pt idx="870">
                  <c:v>7</c:v>
                </c:pt>
                <c:pt idx="871">
                  <c:v>7</c:v>
                </c:pt>
                <c:pt idx="872">
                  <c:v>7</c:v>
                </c:pt>
                <c:pt idx="873">
                  <c:v>7</c:v>
                </c:pt>
                <c:pt idx="874">
                  <c:v>7</c:v>
                </c:pt>
                <c:pt idx="875">
                  <c:v>7</c:v>
                </c:pt>
                <c:pt idx="876">
                  <c:v>7</c:v>
                </c:pt>
                <c:pt idx="877">
                  <c:v>7</c:v>
                </c:pt>
                <c:pt idx="878">
                  <c:v>7</c:v>
                </c:pt>
                <c:pt idx="879">
                  <c:v>7</c:v>
                </c:pt>
                <c:pt idx="880">
                  <c:v>7</c:v>
                </c:pt>
                <c:pt idx="881">
                  <c:v>7</c:v>
                </c:pt>
                <c:pt idx="882">
                  <c:v>7</c:v>
                </c:pt>
                <c:pt idx="883">
                  <c:v>7</c:v>
                </c:pt>
                <c:pt idx="884">
                  <c:v>7</c:v>
                </c:pt>
                <c:pt idx="885">
                  <c:v>7</c:v>
                </c:pt>
                <c:pt idx="886">
                  <c:v>7</c:v>
                </c:pt>
                <c:pt idx="887">
                  <c:v>7</c:v>
                </c:pt>
                <c:pt idx="888">
                  <c:v>7</c:v>
                </c:pt>
                <c:pt idx="889">
                  <c:v>7</c:v>
                </c:pt>
                <c:pt idx="890">
                  <c:v>7</c:v>
                </c:pt>
                <c:pt idx="891">
                  <c:v>7</c:v>
                </c:pt>
                <c:pt idx="892">
                  <c:v>7</c:v>
                </c:pt>
                <c:pt idx="893">
                  <c:v>7</c:v>
                </c:pt>
                <c:pt idx="894">
                  <c:v>7</c:v>
                </c:pt>
                <c:pt idx="895">
                  <c:v>7</c:v>
                </c:pt>
                <c:pt idx="896">
                  <c:v>7</c:v>
                </c:pt>
                <c:pt idx="897">
                  <c:v>7</c:v>
                </c:pt>
                <c:pt idx="898">
                  <c:v>7</c:v>
                </c:pt>
                <c:pt idx="899">
                  <c:v>7</c:v>
                </c:pt>
                <c:pt idx="900">
                  <c:v>7</c:v>
                </c:pt>
                <c:pt idx="901">
                  <c:v>7</c:v>
                </c:pt>
                <c:pt idx="902">
                  <c:v>7</c:v>
                </c:pt>
                <c:pt idx="903">
                  <c:v>7</c:v>
                </c:pt>
                <c:pt idx="904">
                  <c:v>7</c:v>
                </c:pt>
                <c:pt idx="905">
                  <c:v>7</c:v>
                </c:pt>
                <c:pt idx="906">
                  <c:v>7</c:v>
                </c:pt>
                <c:pt idx="907">
                  <c:v>7</c:v>
                </c:pt>
                <c:pt idx="908">
                  <c:v>7</c:v>
                </c:pt>
                <c:pt idx="909">
                  <c:v>7</c:v>
                </c:pt>
                <c:pt idx="910">
                  <c:v>7</c:v>
                </c:pt>
                <c:pt idx="911">
                  <c:v>7</c:v>
                </c:pt>
                <c:pt idx="912">
                  <c:v>7</c:v>
                </c:pt>
                <c:pt idx="913">
                  <c:v>7</c:v>
                </c:pt>
                <c:pt idx="914">
                  <c:v>7</c:v>
                </c:pt>
                <c:pt idx="915">
                  <c:v>7</c:v>
                </c:pt>
                <c:pt idx="916">
                  <c:v>7</c:v>
                </c:pt>
                <c:pt idx="917">
                  <c:v>7</c:v>
                </c:pt>
                <c:pt idx="918">
                  <c:v>7</c:v>
                </c:pt>
                <c:pt idx="919">
                  <c:v>7</c:v>
                </c:pt>
                <c:pt idx="920">
                  <c:v>7</c:v>
                </c:pt>
                <c:pt idx="921">
                  <c:v>7</c:v>
                </c:pt>
                <c:pt idx="922">
                  <c:v>7</c:v>
                </c:pt>
                <c:pt idx="923">
                  <c:v>7</c:v>
                </c:pt>
                <c:pt idx="924">
                  <c:v>7</c:v>
                </c:pt>
                <c:pt idx="925">
                  <c:v>7</c:v>
                </c:pt>
                <c:pt idx="926">
                  <c:v>7</c:v>
                </c:pt>
                <c:pt idx="927">
                  <c:v>7</c:v>
                </c:pt>
                <c:pt idx="928">
                  <c:v>7</c:v>
                </c:pt>
                <c:pt idx="929">
                  <c:v>7</c:v>
                </c:pt>
                <c:pt idx="930">
                  <c:v>7</c:v>
                </c:pt>
                <c:pt idx="931">
                  <c:v>7</c:v>
                </c:pt>
                <c:pt idx="932">
                  <c:v>7</c:v>
                </c:pt>
                <c:pt idx="933">
                  <c:v>7</c:v>
                </c:pt>
                <c:pt idx="934">
                  <c:v>7</c:v>
                </c:pt>
                <c:pt idx="935">
                  <c:v>7</c:v>
                </c:pt>
                <c:pt idx="936">
                  <c:v>7</c:v>
                </c:pt>
                <c:pt idx="937">
                  <c:v>7</c:v>
                </c:pt>
                <c:pt idx="938">
                  <c:v>7</c:v>
                </c:pt>
                <c:pt idx="939">
                  <c:v>7</c:v>
                </c:pt>
                <c:pt idx="940">
                  <c:v>7</c:v>
                </c:pt>
                <c:pt idx="941">
                  <c:v>7</c:v>
                </c:pt>
                <c:pt idx="942">
                  <c:v>7</c:v>
                </c:pt>
                <c:pt idx="943">
                  <c:v>7</c:v>
                </c:pt>
                <c:pt idx="944">
                  <c:v>7</c:v>
                </c:pt>
                <c:pt idx="945">
                  <c:v>7</c:v>
                </c:pt>
                <c:pt idx="946">
                  <c:v>7</c:v>
                </c:pt>
                <c:pt idx="947">
                  <c:v>7</c:v>
                </c:pt>
                <c:pt idx="948">
                  <c:v>7</c:v>
                </c:pt>
                <c:pt idx="949">
                  <c:v>7</c:v>
                </c:pt>
                <c:pt idx="950">
                  <c:v>7</c:v>
                </c:pt>
                <c:pt idx="951">
                  <c:v>7</c:v>
                </c:pt>
                <c:pt idx="952">
                  <c:v>7</c:v>
                </c:pt>
                <c:pt idx="953">
                  <c:v>7</c:v>
                </c:pt>
                <c:pt idx="954">
                  <c:v>7</c:v>
                </c:pt>
                <c:pt idx="955">
                  <c:v>7</c:v>
                </c:pt>
                <c:pt idx="956">
                  <c:v>7</c:v>
                </c:pt>
                <c:pt idx="957">
                  <c:v>7</c:v>
                </c:pt>
                <c:pt idx="958">
                  <c:v>7</c:v>
                </c:pt>
                <c:pt idx="959">
                  <c:v>7</c:v>
                </c:pt>
                <c:pt idx="960">
                  <c:v>7</c:v>
                </c:pt>
                <c:pt idx="961">
                  <c:v>7</c:v>
                </c:pt>
                <c:pt idx="962">
                  <c:v>7</c:v>
                </c:pt>
                <c:pt idx="963">
                  <c:v>7</c:v>
                </c:pt>
                <c:pt idx="964">
                  <c:v>7</c:v>
                </c:pt>
                <c:pt idx="965">
                  <c:v>7</c:v>
                </c:pt>
                <c:pt idx="966">
                  <c:v>7</c:v>
                </c:pt>
                <c:pt idx="967">
                  <c:v>7</c:v>
                </c:pt>
                <c:pt idx="968">
                  <c:v>7</c:v>
                </c:pt>
                <c:pt idx="969">
                  <c:v>7</c:v>
                </c:pt>
                <c:pt idx="970">
                  <c:v>7</c:v>
                </c:pt>
                <c:pt idx="971">
                  <c:v>7</c:v>
                </c:pt>
                <c:pt idx="972">
                  <c:v>7</c:v>
                </c:pt>
                <c:pt idx="973">
                  <c:v>7</c:v>
                </c:pt>
                <c:pt idx="974">
                  <c:v>7</c:v>
                </c:pt>
                <c:pt idx="975">
                  <c:v>7</c:v>
                </c:pt>
                <c:pt idx="976">
                  <c:v>7</c:v>
                </c:pt>
                <c:pt idx="977">
                  <c:v>7</c:v>
                </c:pt>
                <c:pt idx="978">
                  <c:v>7</c:v>
                </c:pt>
                <c:pt idx="979">
                  <c:v>7</c:v>
                </c:pt>
                <c:pt idx="980">
                  <c:v>7</c:v>
                </c:pt>
                <c:pt idx="981">
                  <c:v>7</c:v>
                </c:pt>
                <c:pt idx="982">
                  <c:v>7</c:v>
                </c:pt>
                <c:pt idx="983">
                  <c:v>7</c:v>
                </c:pt>
                <c:pt idx="984">
                  <c:v>7</c:v>
                </c:pt>
                <c:pt idx="985">
                  <c:v>7</c:v>
                </c:pt>
                <c:pt idx="986">
                  <c:v>7</c:v>
                </c:pt>
                <c:pt idx="987">
                  <c:v>7</c:v>
                </c:pt>
                <c:pt idx="988">
                  <c:v>7</c:v>
                </c:pt>
                <c:pt idx="989">
                  <c:v>7</c:v>
                </c:pt>
                <c:pt idx="990">
                  <c:v>7</c:v>
                </c:pt>
                <c:pt idx="991">
                  <c:v>7</c:v>
                </c:pt>
                <c:pt idx="992">
                  <c:v>7</c:v>
                </c:pt>
                <c:pt idx="993">
                  <c:v>7</c:v>
                </c:pt>
                <c:pt idx="994">
                  <c:v>7</c:v>
                </c:pt>
                <c:pt idx="995">
                  <c:v>7</c:v>
                </c:pt>
                <c:pt idx="996">
                  <c:v>7</c:v>
                </c:pt>
                <c:pt idx="997">
                  <c:v>7</c:v>
                </c:pt>
                <c:pt idx="998">
                  <c:v>7</c:v>
                </c:pt>
                <c:pt idx="999">
                  <c:v>7</c:v>
                </c:pt>
                <c:pt idx="1000">
                  <c:v>6</c:v>
                </c:pt>
                <c:pt idx="1001">
                  <c:v>6</c:v>
                </c:pt>
                <c:pt idx="1002">
                  <c:v>6</c:v>
                </c:pt>
                <c:pt idx="1003">
                  <c:v>6</c:v>
                </c:pt>
                <c:pt idx="1004">
                  <c:v>6</c:v>
                </c:pt>
                <c:pt idx="1005">
                  <c:v>6</c:v>
                </c:pt>
                <c:pt idx="1006">
                  <c:v>6</c:v>
                </c:pt>
                <c:pt idx="1007">
                  <c:v>6</c:v>
                </c:pt>
                <c:pt idx="1008">
                  <c:v>6</c:v>
                </c:pt>
                <c:pt idx="1009">
                  <c:v>6</c:v>
                </c:pt>
                <c:pt idx="1010">
                  <c:v>6</c:v>
                </c:pt>
                <c:pt idx="1011">
                  <c:v>6</c:v>
                </c:pt>
                <c:pt idx="1012">
                  <c:v>6</c:v>
                </c:pt>
                <c:pt idx="1013">
                  <c:v>6</c:v>
                </c:pt>
                <c:pt idx="1014">
                  <c:v>6</c:v>
                </c:pt>
                <c:pt idx="1015">
                  <c:v>6</c:v>
                </c:pt>
                <c:pt idx="1016">
                  <c:v>6</c:v>
                </c:pt>
                <c:pt idx="1017">
                  <c:v>6</c:v>
                </c:pt>
                <c:pt idx="1018">
                  <c:v>6</c:v>
                </c:pt>
                <c:pt idx="1019">
                  <c:v>6</c:v>
                </c:pt>
                <c:pt idx="1020">
                  <c:v>6</c:v>
                </c:pt>
                <c:pt idx="1021">
                  <c:v>6</c:v>
                </c:pt>
                <c:pt idx="1022">
                  <c:v>6</c:v>
                </c:pt>
                <c:pt idx="1023">
                  <c:v>6</c:v>
                </c:pt>
                <c:pt idx="1024">
                  <c:v>6</c:v>
                </c:pt>
                <c:pt idx="1025">
                  <c:v>6</c:v>
                </c:pt>
                <c:pt idx="1026">
                  <c:v>6</c:v>
                </c:pt>
                <c:pt idx="1027">
                  <c:v>6</c:v>
                </c:pt>
                <c:pt idx="1028">
                  <c:v>6</c:v>
                </c:pt>
                <c:pt idx="1029">
                  <c:v>6</c:v>
                </c:pt>
                <c:pt idx="1030">
                  <c:v>6</c:v>
                </c:pt>
                <c:pt idx="1031">
                  <c:v>6</c:v>
                </c:pt>
                <c:pt idx="1032">
                  <c:v>6</c:v>
                </c:pt>
                <c:pt idx="1033">
                  <c:v>6</c:v>
                </c:pt>
                <c:pt idx="1034">
                  <c:v>6</c:v>
                </c:pt>
                <c:pt idx="1035">
                  <c:v>6</c:v>
                </c:pt>
                <c:pt idx="1036">
                  <c:v>6</c:v>
                </c:pt>
                <c:pt idx="1037">
                  <c:v>6</c:v>
                </c:pt>
                <c:pt idx="1038">
                  <c:v>6</c:v>
                </c:pt>
                <c:pt idx="1039">
                  <c:v>6</c:v>
                </c:pt>
                <c:pt idx="1040">
                  <c:v>6</c:v>
                </c:pt>
                <c:pt idx="1041">
                  <c:v>6</c:v>
                </c:pt>
                <c:pt idx="1042">
                  <c:v>6</c:v>
                </c:pt>
                <c:pt idx="1043">
                  <c:v>6</c:v>
                </c:pt>
                <c:pt idx="1044">
                  <c:v>6</c:v>
                </c:pt>
                <c:pt idx="1045">
                  <c:v>6</c:v>
                </c:pt>
                <c:pt idx="1046">
                  <c:v>6</c:v>
                </c:pt>
                <c:pt idx="1047">
                  <c:v>6</c:v>
                </c:pt>
                <c:pt idx="1048">
                  <c:v>6</c:v>
                </c:pt>
                <c:pt idx="1049">
                  <c:v>6</c:v>
                </c:pt>
                <c:pt idx="1050">
                  <c:v>6</c:v>
                </c:pt>
                <c:pt idx="1051">
                  <c:v>6</c:v>
                </c:pt>
                <c:pt idx="1052">
                  <c:v>6</c:v>
                </c:pt>
                <c:pt idx="1053">
                  <c:v>6</c:v>
                </c:pt>
                <c:pt idx="1054">
                  <c:v>6</c:v>
                </c:pt>
                <c:pt idx="1055">
                  <c:v>6</c:v>
                </c:pt>
                <c:pt idx="1056">
                  <c:v>6</c:v>
                </c:pt>
                <c:pt idx="1057">
                  <c:v>6</c:v>
                </c:pt>
                <c:pt idx="1058">
                  <c:v>6</c:v>
                </c:pt>
                <c:pt idx="1059">
                  <c:v>6</c:v>
                </c:pt>
                <c:pt idx="1060">
                  <c:v>6</c:v>
                </c:pt>
                <c:pt idx="1061">
                  <c:v>6</c:v>
                </c:pt>
                <c:pt idx="1062">
                  <c:v>6</c:v>
                </c:pt>
                <c:pt idx="1063">
                  <c:v>6</c:v>
                </c:pt>
                <c:pt idx="1064">
                  <c:v>6</c:v>
                </c:pt>
                <c:pt idx="1065">
                  <c:v>6</c:v>
                </c:pt>
                <c:pt idx="1066">
                  <c:v>6</c:v>
                </c:pt>
                <c:pt idx="1067">
                  <c:v>6</c:v>
                </c:pt>
                <c:pt idx="1068">
                  <c:v>6</c:v>
                </c:pt>
                <c:pt idx="1069">
                  <c:v>6</c:v>
                </c:pt>
                <c:pt idx="1070">
                  <c:v>6</c:v>
                </c:pt>
                <c:pt idx="1071">
                  <c:v>6</c:v>
                </c:pt>
                <c:pt idx="1072">
                  <c:v>6</c:v>
                </c:pt>
                <c:pt idx="1073">
                  <c:v>6</c:v>
                </c:pt>
                <c:pt idx="1074">
                  <c:v>6</c:v>
                </c:pt>
                <c:pt idx="1075">
                  <c:v>6</c:v>
                </c:pt>
                <c:pt idx="1076">
                  <c:v>6</c:v>
                </c:pt>
                <c:pt idx="1077">
                  <c:v>6</c:v>
                </c:pt>
                <c:pt idx="1078">
                  <c:v>6</c:v>
                </c:pt>
                <c:pt idx="1079">
                  <c:v>6</c:v>
                </c:pt>
                <c:pt idx="1080">
                  <c:v>6</c:v>
                </c:pt>
                <c:pt idx="1081">
                  <c:v>6</c:v>
                </c:pt>
                <c:pt idx="1082">
                  <c:v>6</c:v>
                </c:pt>
                <c:pt idx="1083">
                  <c:v>6</c:v>
                </c:pt>
                <c:pt idx="1084">
                  <c:v>6</c:v>
                </c:pt>
                <c:pt idx="1085">
                  <c:v>6</c:v>
                </c:pt>
                <c:pt idx="1086">
                  <c:v>6</c:v>
                </c:pt>
                <c:pt idx="1087">
                  <c:v>6</c:v>
                </c:pt>
                <c:pt idx="1088">
                  <c:v>6</c:v>
                </c:pt>
                <c:pt idx="1089">
                  <c:v>6</c:v>
                </c:pt>
                <c:pt idx="1090">
                  <c:v>6</c:v>
                </c:pt>
                <c:pt idx="1091">
                  <c:v>6</c:v>
                </c:pt>
                <c:pt idx="1092">
                  <c:v>6</c:v>
                </c:pt>
                <c:pt idx="1093">
                  <c:v>6</c:v>
                </c:pt>
                <c:pt idx="1094">
                  <c:v>6</c:v>
                </c:pt>
                <c:pt idx="1095">
                  <c:v>6</c:v>
                </c:pt>
                <c:pt idx="1096">
                  <c:v>6</c:v>
                </c:pt>
                <c:pt idx="1097">
                  <c:v>6</c:v>
                </c:pt>
                <c:pt idx="1098">
                  <c:v>6</c:v>
                </c:pt>
                <c:pt idx="1099">
                  <c:v>6</c:v>
                </c:pt>
                <c:pt idx="1100">
                  <c:v>6</c:v>
                </c:pt>
                <c:pt idx="1101">
                  <c:v>6</c:v>
                </c:pt>
                <c:pt idx="1102">
                  <c:v>6</c:v>
                </c:pt>
                <c:pt idx="1103">
                  <c:v>6</c:v>
                </c:pt>
                <c:pt idx="1104">
                  <c:v>6</c:v>
                </c:pt>
                <c:pt idx="1105">
                  <c:v>6</c:v>
                </c:pt>
                <c:pt idx="1106">
                  <c:v>6</c:v>
                </c:pt>
                <c:pt idx="1107">
                  <c:v>6</c:v>
                </c:pt>
                <c:pt idx="1108">
                  <c:v>6</c:v>
                </c:pt>
                <c:pt idx="1109">
                  <c:v>6</c:v>
                </c:pt>
                <c:pt idx="1110">
                  <c:v>6</c:v>
                </c:pt>
                <c:pt idx="1111">
                  <c:v>6</c:v>
                </c:pt>
                <c:pt idx="1112">
                  <c:v>6</c:v>
                </c:pt>
                <c:pt idx="1113">
                  <c:v>6</c:v>
                </c:pt>
                <c:pt idx="1114">
                  <c:v>6</c:v>
                </c:pt>
                <c:pt idx="1115">
                  <c:v>6</c:v>
                </c:pt>
                <c:pt idx="1116">
                  <c:v>6</c:v>
                </c:pt>
                <c:pt idx="1117">
                  <c:v>6</c:v>
                </c:pt>
                <c:pt idx="1118">
                  <c:v>6</c:v>
                </c:pt>
                <c:pt idx="1119">
                  <c:v>6</c:v>
                </c:pt>
                <c:pt idx="1120">
                  <c:v>6</c:v>
                </c:pt>
                <c:pt idx="1121">
                  <c:v>6</c:v>
                </c:pt>
                <c:pt idx="1122">
                  <c:v>6</c:v>
                </c:pt>
                <c:pt idx="1123">
                  <c:v>6</c:v>
                </c:pt>
                <c:pt idx="1124">
                  <c:v>6</c:v>
                </c:pt>
                <c:pt idx="1125">
                  <c:v>6</c:v>
                </c:pt>
                <c:pt idx="1126">
                  <c:v>6</c:v>
                </c:pt>
                <c:pt idx="1127">
                  <c:v>6</c:v>
                </c:pt>
                <c:pt idx="1128">
                  <c:v>6</c:v>
                </c:pt>
                <c:pt idx="1129">
                  <c:v>6</c:v>
                </c:pt>
                <c:pt idx="1130">
                  <c:v>6</c:v>
                </c:pt>
                <c:pt idx="1131">
                  <c:v>6</c:v>
                </c:pt>
                <c:pt idx="1132">
                  <c:v>6</c:v>
                </c:pt>
                <c:pt idx="1133">
                  <c:v>6</c:v>
                </c:pt>
                <c:pt idx="1134">
                  <c:v>6</c:v>
                </c:pt>
                <c:pt idx="1135">
                  <c:v>6</c:v>
                </c:pt>
                <c:pt idx="1136">
                  <c:v>6</c:v>
                </c:pt>
                <c:pt idx="1137">
                  <c:v>6</c:v>
                </c:pt>
                <c:pt idx="1138">
                  <c:v>6</c:v>
                </c:pt>
                <c:pt idx="1139">
                  <c:v>6</c:v>
                </c:pt>
                <c:pt idx="1140">
                  <c:v>6</c:v>
                </c:pt>
                <c:pt idx="1141">
                  <c:v>6</c:v>
                </c:pt>
                <c:pt idx="1142">
                  <c:v>6</c:v>
                </c:pt>
                <c:pt idx="1143">
                  <c:v>6</c:v>
                </c:pt>
                <c:pt idx="1144">
                  <c:v>6</c:v>
                </c:pt>
                <c:pt idx="1145">
                  <c:v>6</c:v>
                </c:pt>
                <c:pt idx="1146">
                  <c:v>6</c:v>
                </c:pt>
                <c:pt idx="1147">
                  <c:v>6</c:v>
                </c:pt>
                <c:pt idx="1148">
                  <c:v>6</c:v>
                </c:pt>
                <c:pt idx="1149">
                  <c:v>6</c:v>
                </c:pt>
                <c:pt idx="1150">
                  <c:v>6</c:v>
                </c:pt>
                <c:pt idx="1151">
                  <c:v>6</c:v>
                </c:pt>
                <c:pt idx="1152">
                  <c:v>6</c:v>
                </c:pt>
                <c:pt idx="1153">
                  <c:v>6</c:v>
                </c:pt>
                <c:pt idx="1154">
                  <c:v>6</c:v>
                </c:pt>
                <c:pt idx="1155">
                  <c:v>6</c:v>
                </c:pt>
                <c:pt idx="1156">
                  <c:v>6</c:v>
                </c:pt>
                <c:pt idx="1157">
                  <c:v>6</c:v>
                </c:pt>
                <c:pt idx="1158">
                  <c:v>6</c:v>
                </c:pt>
                <c:pt idx="1159">
                  <c:v>6</c:v>
                </c:pt>
                <c:pt idx="1160">
                  <c:v>6</c:v>
                </c:pt>
                <c:pt idx="1161">
                  <c:v>6</c:v>
                </c:pt>
                <c:pt idx="1162">
                  <c:v>6</c:v>
                </c:pt>
                <c:pt idx="1163">
                  <c:v>6</c:v>
                </c:pt>
                <c:pt idx="1164">
                  <c:v>6</c:v>
                </c:pt>
                <c:pt idx="1165">
                  <c:v>6</c:v>
                </c:pt>
                <c:pt idx="1166">
                  <c:v>6</c:v>
                </c:pt>
                <c:pt idx="1167">
                  <c:v>6</c:v>
                </c:pt>
                <c:pt idx="1168">
                  <c:v>6</c:v>
                </c:pt>
                <c:pt idx="1169">
                  <c:v>6</c:v>
                </c:pt>
                <c:pt idx="1170">
                  <c:v>6</c:v>
                </c:pt>
                <c:pt idx="1171">
                  <c:v>6</c:v>
                </c:pt>
                <c:pt idx="1172">
                  <c:v>6</c:v>
                </c:pt>
                <c:pt idx="1173">
                  <c:v>6</c:v>
                </c:pt>
                <c:pt idx="1174">
                  <c:v>6</c:v>
                </c:pt>
                <c:pt idx="1175">
                  <c:v>6</c:v>
                </c:pt>
                <c:pt idx="1176">
                  <c:v>6</c:v>
                </c:pt>
                <c:pt idx="1177">
                  <c:v>6</c:v>
                </c:pt>
                <c:pt idx="1178">
                  <c:v>6</c:v>
                </c:pt>
                <c:pt idx="1179">
                  <c:v>6</c:v>
                </c:pt>
                <c:pt idx="1180">
                  <c:v>6</c:v>
                </c:pt>
                <c:pt idx="1181">
                  <c:v>6</c:v>
                </c:pt>
                <c:pt idx="1182">
                  <c:v>6</c:v>
                </c:pt>
                <c:pt idx="1183">
                  <c:v>6</c:v>
                </c:pt>
                <c:pt idx="1184">
                  <c:v>6</c:v>
                </c:pt>
                <c:pt idx="1185">
                  <c:v>6</c:v>
                </c:pt>
                <c:pt idx="1186">
                  <c:v>6</c:v>
                </c:pt>
                <c:pt idx="1187">
                  <c:v>6</c:v>
                </c:pt>
                <c:pt idx="1188">
                  <c:v>6</c:v>
                </c:pt>
                <c:pt idx="1189">
                  <c:v>6</c:v>
                </c:pt>
                <c:pt idx="1190">
                  <c:v>6</c:v>
                </c:pt>
                <c:pt idx="1191">
                  <c:v>6</c:v>
                </c:pt>
                <c:pt idx="1192">
                  <c:v>6</c:v>
                </c:pt>
                <c:pt idx="1193">
                  <c:v>6</c:v>
                </c:pt>
                <c:pt idx="1194">
                  <c:v>6</c:v>
                </c:pt>
                <c:pt idx="1195">
                  <c:v>6</c:v>
                </c:pt>
                <c:pt idx="1196">
                  <c:v>6</c:v>
                </c:pt>
                <c:pt idx="1197">
                  <c:v>6</c:v>
                </c:pt>
                <c:pt idx="1198">
                  <c:v>6</c:v>
                </c:pt>
                <c:pt idx="1199">
                  <c:v>6</c:v>
                </c:pt>
                <c:pt idx="1200">
                  <c:v>6</c:v>
                </c:pt>
                <c:pt idx="1201">
                  <c:v>6</c:v>
                </c:pt>
                <c:pt idx="1202">
                  <c:v>6</c:v>
                </c:pt>
                <c:pt idx="1203">
                  <c:v>6</c:v>
                </c:pt>
                <c:pt idx="1204">
                  <c:v>6</c:v>
                </c:pt>
                <c:pt idx="1205">
                  <c:v>6</c:v>
                </c:pt>
                <c:pt idx="1206">
                  <c:v>6</c:v>
                </c:pt>
                <c:pt idx="1207">
                  <c:v>6</c:v>
                </c:pt>
                <c:pt idx="1208">
                  <c:v>6</c:v>
                </c:pt>
                <c:pt idx="1209">
                  <c:v>6</c:v>
                </c:pt>
                <c:pt idx="1210">
                  <c:v>6</c:v>
                </c:pt>
                <c:pt idx="1211">
                  <c:v>6</c:v>
                </c:pt>
                <c:pt idx="1212">
                  <c:v>6</c:v>
                </c:pt>
                <c:pt idx="1213">
                  <c:v>6</c:v>
                </c:pt>
                <c:pt idx="1214">
                  <c:v>6</c:v>
                </c:pt>
                <c:pt idx="1215">
                  <c:v>6</c:v>
                </c:pt>
                <c:pt idx="1216">
                  <c:v>6</c:v>
                </c:pt>
                <c:pt idx="1217">
                  <c:v>6</c:v>
                </c:pt>
                <c:pt idx="1218">
                  <c:v>6</c:v>
                </c:pt>
                <c:pt idx="1219">
                  <c:v>6</c:v>
                </c:pt>
                <c:pt idx="1220">
                  <c:v>6</c:v>
                </c:pt>
                <c:pt idx="1221">
                  <c:v>6</c:v>
                </c:pt>
                <c:pt idx="1222">
                  <c:v>6</c:v>
                </c:pt>
                <c:pt idx="1223">
                  <c:v>6</c:v>
                </c:pt>
                <c:pt idx="1224">
                  <c:v>6</c:v>
                </c:pt>
                <c:pt idx="1225">
                  <c:v>6</c:v>
                </c:pt>
                <c:pt idx="1226">
                  <c:v>6</c:v>
                </c:pt>
                <c:pt idx="1227">
                  <c:v>6</c:v>
                </c:pt>
                <c:pt idx="1228">
                  <c:v>6</c:v>
                </c:pt>
                <c:pt idx="1229">
                  <c:v>6</c:v>
                </c:pt>
                <c:pt idx="1230">
                  <c:v>6</c:v>
                </c:pt>
                <c:pt idx="1231">
                  <c:v>6</c:v>
                </c:pt>
                <c:pt idx="1232">
                  <c:v>6</c:v>
                </c:pt>
                <c:pt idx="1233">
                  <c:v>6</c:v>
                </c:pt>
                <c:pt idx="1234">
                  <c:v>6</c:v>
                </c:pt>
                <c:pt idx="1235">
                  <c:v>6</c:v>
                </c:pt>
                <c:pt idx="1236">
                  <c:v>6</c:v>
                </c:pt>
                <c:pt idx="1237">
                  <c:v>6</c:v>
                </c:pt>
                <c:pt idx="1238">
                  <c:v>6</c:v>
                </c:pt>
                <c:pt idx="1239">
                  <c:v>6</c:v>
                </c:pt>
                <c:pt idx="1240">
                  <c:v>6</c:v>
                </c:pt>
                <c:pt idx="1241">
                  <c:v>6</c:v>
                </c:pt>
                <c:pt idx="1242">
                  <c:v>6</c:v>
                </c:pt>
                <c:pt idx="1243">
                  <c:v>6</c:v>
                </c:pt>
                <c:pt idx="1244">
                  <c:v>6</c:v>
                </c:pt>
                <c:pt idx="1245">
                  <c:v>6</c:v>
                </c:pt>
                <c:pt idx="1246">
                  <c:v>6</c:v>
                </c:pt>
                <c:pt idx="1247">
                  <c:v>6</c:v>
                </c:pt>
                <c:pt idx="1248">
                  <c:v>6</c:v>
                </c:pt>
                <c:pt idx="1249">
                  <c:v>6</c:v>
                </c:pt>
                <c:pt idx="1250">
                  <c:v>6</c:v>
                </c:pt>
                <c:pt idx="1251">
                  <c:v>6</c:v>
                </c:pt>
                <c:pt idx="1252">
                  <c:v>6</c:v>
                </c:pt>
                <c:pt idx="1253">
                  <c:v>6</c:v>
                </c:pt>
                <c:pt idx="1254">
                  <c:v>6</c:v>
                </c:pt>
                <c:pt idx="1255">
                  <c:v>6</c:v>
                </c:pt>
                <c:pt idx="1256">
                  <c:v>6</c:v>
                </c:pt>
                <c:pt idx="1257">
                  <c:v>6</c:v>
                </c:pt>
                <c:pt idx="1258">
                  <c:v>6</c:v>
                </c:pt>
                <c:pt idx="1259">
                  <c:v>6</c:v>
                </c:pt>
                <c:pt idx="1260">
                  <c:v>6</c:v>
                </c:pt>
                <c:pt idx="1261">
                  <c:v>6</c:v>
                </c:pt>
                <c:pt idx="1262">
                  <c:v>6</c:v>
                </c:pt>
                <c:pt idx="1263">
                  <c:v>6</c:v>
                </c:pt>
                <c:pt idx="1264">
                  <c:v>6</c:v>
                </c:pt>
                <c:pt idx="1265">
                  <c:v>6</c:v>
                </c:pt>
                <c:pt idx="1266">
                  <c:v>6</c:v>
                </c:pt>
                <c:pt idx="1267">
                  <c:v>6</c:v>
                </c:pt>
                <c:pt idx="1268">
                  <c:v>6</c:v>
                </c:pt>
                <c:pt idx="1269">
                  <c:v>6</c:v>
                </c:pt>
                <c:pt idx="1270">
                  <c:v>6</c:v>
                </c:pt>
                <c:pt idx="1271">
                  <c:v>6</c:v>
                </c:pt>
                <c:pt idx="1272">
                  <c:v>6</c:v>
                </c:pt>
                <c:pt idx="1273">
                  <c:v>6</c:v>
                </c:pt>
                <c:pt idx="1274">
                  <c:v>6</c:v>
                </c:pt>
                <c:pt idx="1275">
                  <c:v>6</c:v>
                </c:pt>
                <c:pt idx="1276">
                  <c:v>6</c:v>
                </c:pt>
                <c:pt idx="1277">
                  <c:v>6</c:v>
                </c:pt>
                <c:pt idx="1278">
                  <c:v>6</c:v>
                </c:pt>
                <c:pt idx="1279">
                  <c:v>6</c:v>
                </c:pt>
                <c:pt idx="1280">
                  <c:v>6</c:v>
                </c:pt>
                <c:pt idx="1281">
                  <c:v>6</c:v>
                </c:pt>
                <c:pt idx="1282">
                  <c:v>6</c:v>
                </c:pt>
                <c:pt idx="1283">
                  <c:v>6</c:v>
                </c:pt>
                <c:pt idx="1284">
                  <c:v>6</c:v>
                </c:pt>
                <c:pt idx="1285">
                  <c:v>6</c:v>
                </c:pt>
                <c:pt idx="1286">
                  <c:v>6</c:v>
                </c:pt>
                <c:pt idx="1287">
                  <c:v>6</c:v>
                </c:pt>
                <c:pt idx="1288">
                  <c:v>6</c:v>
                </c:pt>
                <c:pt idx="1289">
                  <c:v>6</c:v>
                </c:pt>
                <c:pt idx="1290">
                  <c:v>6</c:v>
                </c:pt>
                <c:pt idx="1291">
                  <c:v>6</c:v>
                </c:pt>
                <c:pt idx="1292">
                  <c:v>6</c:v>
                </c:pt>
                <c:pt idx="1293">
                  <c:v>6</c:v>
                </c:pt>
                <c:pt idx="1294">
                  <c:v>6</c:v>
                </c:pt>
                <c:pt idx="1295">
                  <c:v>6</c:v>
                </c:pt>
                <c:pt idx="1296">
                  <c:v>6</c:v>
                </c:pt>
                <c:pt idx="1297">
                  <c:v>6</c:v>
                </c:pt>
                <c:pt idx="1298">
                  <c:v>6</c:v>
                </c:pt>
                <c:pt idx="1299">
                  <c:v>6</c:v>
                </c:pt>
                <c:pt idx="1300">
                  <c:v>6</c:v>
                </c:pt>
                <c:pt idx="1301">
                  <c:v>6</c:v>
                </c:pt>
                <c:pt idx="1302">
                  <c:v>6</c:v>
                </c:pt>
                <c:pt idx="1303">
                  <c:v>6</c:v>
                </c:pt>
                <c:pt idx="1304">
                  <c:v>6</c:v>
                </c:pt>
                <c:pt idx="1305">
                  <c:v>6</c:v>
                </c:pt>
                <c:pt idx="1306">
                  <c:v>6</c:v>
                </c:pt>
                <c:pt idx="1307">
                  <c:v>6</c:v>
                </c:pt>
                <c:pt idx="1308">
                  <c:v>6</c:v>
                </c:pt>
                <c:pt idx="1309">
                  <c:v>6</c:v>
                </c:pt>
                <c:pt idx="1310">
                  <c:v>6</c:v>
                </c:pt>
                <c:pt idx="1311">
                  <c:v>6</c:v>
                </c:pt>
                <c:pt idx="1312">
                  <c:v>6</c:v>
                </c:pt>
                <c:pt idx="1313">
                  <c:v>6</c:v>
                </c:pt>
                <c:pt idx="1314">
                  <c:v>6</c:v>
                </c:pt>
                <c:pt idx="1315">
                  <c:v>6</c:v>
                </c:pt>
                <c:pt idx="1316">
                  <c:v>6</c:v>
                </c:pt>
                <c:pt idx="1317">
                  <c:v>6</c:v>
                </c:pt>
                <c:pt idx="1318">
                  <c:v>6</c:v>
                </c:pt>
                <c:pt idx="1319">
                  <c:v>6</c:v>
                </c:pt>
                <c:pt idx="1320">
                  <c:v>6</c:v>
                </c:pt>
                <c:pt idx="1321">
                  <c:v>6</c:v>
                </c:pt>
                <c:pt idx="1322">
                  <c:v>6</c:v>
                </c:pt>
                <c:pt idx="1323">
                  <c:v>6</c:v>
                </c:pt>
                <c:pt idx="1324">
                  <c:v>6</c:v>
                </c:pt>
                <c:pt idx="1325">
                  <c:v>6</c:v>
                </c:pt>
                <c:pt idx="1326">
                  <c:v>6</c:v>
                </c:pt>
                <c:pt idx="1327">
                  <c:v>6</c:v>
                </c:pt>
                <c:pt idx="1328">
                  <c:v>6</c:v>
                </c:pt>
                <c:pt idx="1329">
                  <c:v>6</c:v>
                </c:pt>
                <c:pt idx="1330">
                  <c:v>6</c:v>
                </c:pt>
                <c:pt idx="1331">
                  <c:v>6</c:v>
                </c:pt>
                <c:pt idx="1332">
                  <c:v>6</c:v>
                </c:pt>
                <c:pt idx="1333">
                  <c:v>6</c:v>
                </c:pt>
                <c:pt idx="1334">
                  <c:v>6</c:v>
                </c:pt>
                <c:pt idx="1335">
                  <c:v>6</c:v>
                </c:pt>
                <c:pt idx="1336">
                  <c:v>6</c:v>
                </c:pt>
                <c:pt idx="1337">
                  <c:v>6</c:v>
                </c:pt>
                <c:pt idx="1338">
                  <c:v>6</c:v>
                </c:pt>
                <c:pt idx="1339">
                  <c:v>6</c:v>
                </c:pt>
                <c:pt idx="1340">
                  <c:v>6</c:v>
                </c:pt>
                <c:pt idx="1341">
                  <c:v>6</c:v>
                </c:pt>
                <c:pt idx="1342">
                  <c:v>6</c:v>
                </c:pt>
                <c:pt idx="1343">
                  <c:v>6</c:v>
                </c:pt>
                <c:pt idx="1344">
                  <c:v>6</c:v>
                </c:pt>
                <c:pt idx="1345">
                  <c:v>6</c:v>
                </c:pt>
                <c:pt idx="1346">
                  <c:v>6</c:v>
                </c:pt>
                <c:pt idx="1347">
                  <c:v>6</c:v>
                </c:pt>
                <c:pt idx="1348">
                  <c:v>6</c:v>
                </c:pt>
                <c:pt idx="1349">
                  <c:v>6</c:v>
                </c:pt>
                <c:pt idx="1350">
                  <c:v>6</c:v>
                </c:pt>
                <c:pt idx="1351">
                  <c:v>6</c:v>
                </c:pt>
                <c:pt idx="1352">
                  <c:v>6</c:v>
                </c:pt>
                <c:pt idx="1353">
                  <c:v>6</c:v>
                </c:pt>
                <c:pt idx="1354">
                  <c:v>6</c:v>
                </c:pt>
                <c:pt idx="1355">
                  <c:v>6</c:v>
                </c:pt>
                <c:pt idx="1356">
                  <c:v>6</c:v>
                </c:pt>
                <c:pt idx="1357">
                  <c:v>6</c:v>
                </c:pt>
                <c:pt idx="1358">
                  <c:v>6</c:v>
                </c:pt>
                <c:pt idx="1359">
                  <c:v>6</c:v>
                </c:pt>
                <c:pt idx="1360">
                  <c:v>6</c:v>
                </c:pt>
                <c:pt idx="1361">
                  <c:v>6</c:v>
                </c:pt>
                <c:pt idx="1362">
                  <c:v>6</c:v>
                </c:pt>
                <c:pt idx="1363">
                  <c:v>6</c:v>
                </c:pt>
                <c:pt idx="1364">
                  <c:v>6</c:v>
                </c:pt>
                <c:pt idx="1365">
                  <c:v>6</c:v>
                </c:pt>
                <c:pt idx="1366">
                  <c:v>6</c:v>
                </c:pt>
                <c:pt idx="1367">
                  <c:v>6</c:v>
                </c:pt>
                <c:pt idx="1368">
                  <c:v>6</c:v>
                </c:pt>
                <c:pt idx="1369">
                  <c:v>6</c:v>
                </c:pt>
                <c:pt idx="1370">
                  <c:v>6</c:v>
                </c:pt>
                <c:pt idx="1371">
                  <c:v>6</c:v>
                </c:pt>
                <c:pt idx="1372">
                  <c:v>6</c:v>
                </c:pt>
                <c:pt idx="1373">
                  <c:v>6</c:v>
                </c:pt>
                <c:pt idx="1374">
                  <c:v>6</c:v>
                </c:pt>
                <c:pt idx="1375">
                  <c:v>6</c:v>
                </c:pt>
                <c:pt idx="1376">
                  <c:v>6</c:v>
                </c:pt>
                <c:pt idx="1377">
                  <c:v>6</c:v>
                </c:pt>
                <c:pt idx="1378">
                  <c:v>6</c:v>
                </c:pt>
                <c:pt idx="1379">
                  <c:v>6</c:v>
                </c:pt>
                <c:pt idx="1380">
                  <c:v>6</c:v>
                </c:pt>
                <c:pt idx="1381">
                  <c:v>6</c:v>
                </c:pt>
                <c:pt idx="1382">
                  <c:v>6</c:v>
                </c:pt>
                <c:pt idx="1383">
                  <c:v>6</c:v>
                </c:pt>
                <c:pt idx="1384">
                  <c:v>6</c:v>
                </c:pt>
                <c:pt idx="1385">
                  <c:v>6</c:v>
                </c:pt>
                <c:pt idx="1386">
                  <c:v>6</c:v>
                </c:pt>
                <c:pt idx="1387">
                  <c:v>6</c:v>
                </c:pt>
                <c:pt idx="1388">
                  <c:v>6</c:v>
                </c:pt>
                <c:pt idx="1389">
                  <c:v>6</c:v>
                </c:pt>
                <c:pt idx="1390">
                  <c:v>6</c:v>
                </c:pt>
                <c:pt idx="1391">
                  <c:v>6</c:v>
                </c:pt>
                <c:pt idx="1392">
                  <c:v>6</c:v>
                </c:pt>
                <c:pt idx="1393">
                  <c:v>6</c:v>
                </c:pt>
                <c:pt idx="1394">
                  <c:v>6</c:v>
                </c:pt>
                <c:pt idx="1395">
                  <c:v>6</c:v>
                </c:pt>
                <c:pt idx="1396">
                  <c:v>6</c:v>
                </c:pt>
                <c:pt idx="1397">
                  <c:v>6</c:v>
                </c:pt>
                <c:pt idx="1398">
                  <c:v>6</c:v>
                </c:pt>
                <c:pt idx="1399">
                  <c:v>6</c:v>
                </c:pt>
                <c:pt idx="1400">
                  <c:v>6</c:v>
                </c:pt>
                <c:pt idx="1401">
                  <c:v>6</c:v>
                </c:pt>
                <c:pt idx="1402">
                  <c:v>6</c:v>
                </c:pt>
                <c:pt idx="1403">
                  <c:v>6</c:v>
                </c:pt>
                <c:pt idx="1404">
                  <c:v>6</c:v>
                </c:pt>
                <c:pt idx="1405">
                  <c:v>6</c:v>
                </c:pt>
                <c:pt idx="1406">
                  <c:v>6</c:v>
                </c:pt>
                <c:pt idx="1407">
                  <c:v>6</c:v>
                </c:pt>
                <c:pt idx="1408">
                  <c:v>6</c:v>
                </c:pt>
                <c:pt idx="1409">
                  <c:v>6</c:v>
                </c:pt>
                <c:pt idx="1410">
                  <c:v>6</c:v>
                </c:pt>
                <c:pt idx="1411">
                  <c:v>6</c:v>
                </c:pt>
                <c:pt idx="1412">
                  <c:v>6</c:v>
                </c:pt>
                <c:pt idx="1413">
                  <c:v>6</c:v>
                </c:pt>
                <c:pt idx="1414">
                  <c:v>6</c:v>
                </c:pt>
                <c:pt idx="1415">
                  <c:v>6</c:v>
                </c:pt>
                <c:pt idx="1416">
                  <c:v>6</c:v>
                </c:pt>
                <c:pt idx="1417">
                  <c:v>6</c:v>
                </c:pt>
                <c:pt idx="1418">
                  <c:v>6</c:v>
                </c:pt>
                <c:pt idx="1419">
                  <c:v>6</c:v>
                </c:pt>
                <c:pt idx="1420">
                  <c:v>6</c:v>
                </c:pt>
                <c:pt idx="1421">
                  <c:v>6</c:v>
                </c:pt>
                <c:pt idx="1422">
                  <c:v>6</c:v>
                </c:pt>
                <c:pt idx="1423">
                  <c:v>6</c:v>
                </c:pt>
                <c:pt idx="1424">
                  <c:v>6</c:v>
                </c:pt>
                <c:pt idx="1425">
                  <c:v>6</c:v>
                </c:pt>
                <c:pt idx="1426">
                  <c:v>6</c:v>
                </c:pt>
                <c:pt idx="1427">
                  <c:v>6</c:v>
                </c:pt>
                <c:pt idx="1428">
                  <c:v>6</c:v>
                </c:pt>
                <c:pt idx="1429">
                  <c:v>6</c:v>
                </c:pt>
                <c:pt idx="1430">
                  <c:v>6</c:v>
                </c:pt>
                <c:pt idx="1431">
                  <c:v>6</c:v>
                </c:pt>
                <c:pt idx="1432">
                  <c:v>6</c:v>
                </c:pt>
                <c:pt idx="1433">
                  <c:v>6</c:v>
                </c:pt>
                <c:pt idx="1434">
                  <c:v>6</c:v>
                </c:pt>
                <c:pt idx="1435">
                  <c:v>6</c:v>
                </c:pt>
                <c:pt idx="1436">
                  <c:v>6</c:v>
                </c:pt>
                <c:pt idx="1437">
                  <c:v>6</c:v>
                </c:pt>
                <c:pt idx="1438">
                  <c:v>6</c:v>
                </c:pt>
                <c:pt idx="1439">
                  <c:v>6</c:v>
                </c:pt>
                <c:pt idx="1440">
                  <c:v>6</c:v>
                </c:pt>
                <c:pt idx="1441">
                  <c:v>6</c:v>
                </c:pt>
                <c:pt idx="1442">
                  <c:v>6</c:v>
                </c:pt>
                <c:pt idx="1443">
                  <c:v>6</c:v>
                </c:pt>
                <c:pt idx="1444">
                  <c:v>6</c:v>
                </c:pt>
                <c:pt idx="1445">
                  <c:v>6</c:v>
                </c:pt>
                <c:pt idx="1446">
                  <c:v>6</c:v>
                </c:pt>
                <c:pt idx="1447">
                  <c:v>6</c:v>
                </c:pt>
                <c:pt idx="1448">
                  <c:v>6</c:v>
                </c:pt>
                <c:pt idx="1449">
                  <c:v>6</c:v>
                </c:pt>
                <c:pt idx="1450">
                  <c:v>6</c:v>
                </c:pt>
                <c:pt idx="1451">
                  <c:v>6</c:v>
                </c:pt>
                <c:pt idx="1452">
                  <c:v>6</c:v>
                </c:pt>
                <c:pt idx="1453">
                  <c:v>6</c:v>
                </c:pt>
                <c:pt idx="1454">
                  <c:v>6</c:v>
                </c:pt>
                <c:pt idx="1455">
                  <c:v>6</c:v>
                </c:pt>
                <c:pt idx="1456">
                  <c:v>6</c:v>
                </c:pt>
                <c:pt idx="1457">
                  <c:v>6</c:v>
                </c:pt>
                <c:pt idx="1458">
                  <c:v>6</c:v>
                </c:pt>
                <c:pt idx="1459">
                  <c:v>6</c:v>
                </c:pt>
                <c:pt idx="1460">
                  <c:v>6</c:v>
                </c:pt>
                <c:pt idx="1461">
                  <c:v>6</c:v>
                </c:pt>
                <c:pt idx="1462">
                  <c:v>6</c:v>
                </c:pt>
                <c:pt idx="1463">
                  <c:v>6</c:v>
                </c:pt>
                <c:pt idx="1464">
                  <c:v>6</c:v>
                </c:pt>
                <c:pt idx="1465">
                  <c:v>6</c:v>
                </c:pt>
                <c:pt idx="1466">
                  <c:v>6</c:v>
                </c:pt>
                <c:pt idx="1467">
                  <c:v>6</c:v>
                </c:pt>
                <c:pt idx="1468">
                  <c:v>6</c:v>
                </c:pt>
                <c:pt idx="1469">
                  <c:v>6</c:v>
                </c:pt>
                <c:pt idx="1470">
                  <c:v>6</c:v>
                </c:pt>
                <c:pt idx="1471">
                  <c:v>6</c:v>
                </c:pt>
                <c:pt idx="1472">
                  <c:v>6</c:v>
                </c:pt>
                <c:pt idx="1473">
                  <c:v>6</c:v>
                </c:pt>
                <c:pt idx="1474">
                  <c:v>6</c:v>
                </c:pt>
                <c:pt idx="1475">
                  <c:v>6</c:v>
                </c:pt>
                <c:pt idx="1476">
                  <c:v>6</c:v>
                </c:pt>
                <c:pt idx="1477">
                  <c:v>6</c:v>
                </c:pt>
                <c:pt idx="1478">
                  <c:v>6</c:v>
                </c:pt>
                <c:pt idx="1479">
                  <c:v>6</c:v>
                </c:pt>
                <c:pt idx="1480">
                  <c:v>6</c:v>
                </c:pt>
                <c:pt idx="1481">
                  <c:v>6</c:v>
                </c:pt>
                <c:pt idx="1482">
                  <c:v>6</c:v>
                </c:pt>
                <c:pt idx="1483">
                  <c:v>6</c:v>
                </c:pt>
                <c:pt idx="1484">
                  <c:v>6</c:v>
                </c:pt>
                <c:pt idx="1485">
                  <c:v>6</c:v>
                </c:pt>
                <c:pt idx="1486">
                  <c:v>6</c:v>
                </c:pt>
                <c:pt idx="1487">
                  <c:v>6</c:v>
                </c:pt>
                <c:pt idx="1488">
                  <c:v>6</c:v>
                </c:pt>
                <c:pt idx="1489">
                  <c:v>6</c:v>
                </c:pt>
                <c:pt idx="1490">
                  <c:v>6</c:v>
                </c:pt>
                <c:pt idx="1491">
                  <c:v>6</c:v>
                </c:pt>
                <c:pt idx="1492">
                  <c:v>6</c:v>
                </c:pt>
                <c:pt idx="1493">
                  <c:v>6</c:v>
                </c:pt>
                <c:pt idx="1494">
                  <c:v>6</c:v>
                </c:pt>
                <c:pt idx="1495">
                  <c:v>6</c:v>
                </c:pt>
                <c:pt idx="1496">
                  <c:v>6</c:v>
                </c:pt>
                <c:pt idx="1497">
                  <c:v>6</c:v>
                </c:pt>
                <c:pt idx="1498">
                  <c:v>6</c:v>
                </c:pt>
                <c:pt idx="1499">
                  <c:v>6</c:v>
                </c:pt>
                <c:pt idx="1500">
                  <c:v>6</c:v>
                </c:pt>
                <c:pt idx="1501">
                  <c:v>6</c:v>
                </c:pt>
                <c:pt idx="1502">
                  <c:v>6</c:v>
                </c:pt>
                <c:pt idx="1503">
                  <c:v>6</c:v>
                </c:pt>
                <c:pt idx="1504">
                  <c:v>6</c:v>
                </c:pt>
                <c:pt idx="1505">
                  <c:v>6</c:v>
                </c:pt>
                <c:pt idx="1506">
                  <c:v>6</c:v>
                </c:pt>
                <c:pt idx="1507">
                  <c:v>6</c:v>
                </c:pt>
                <c:pt idx="1508">
                  <c:v>6</c:v>
                </c:pt>
                <c:pt idx="1509">
                  <c:v>6</c:v>
                </c:pt>
                <c:pt idx="1510">
                  <c:v>6</c:v>
                </c:pt>
                <c:pt idx="1511">
                  <c:v>6</c:v>
                </c:pt>
                <c:pt idx="1512">
                  <c:v>6</c:v>
                </c:pt>
                <c:pt idx="1513">
                  <c:v>6</c:v>
                </c:pt>
                <c:pt idx="1514">
                  <c:v>6</c:v>
                </c:pt>
                <c:pt idx="1515">
                  <c:v>6</c:v>
                </c:pt>
                <c:pt idx="1516">
                  <c:v>6</c:v>
                </c:pt>
                <c:pt idx="1517">
                  <c:v>6</c:v>
                </c:pt>
                <c:pt idx="1518">
                  <c:v>6</c:v>
                </c:pt>
                <c:pt idx="1519">
                  <c:v>6</c:v>
                </c:pt>
                <c:pt idx="1520">
                  <c:v>6</c:v>
                </c:pt>
                <c:pt idx="1521">
                  <c:v>6</c:v>
                </c:pt>
                <c:pt idx="1522">
                  <c:v>6</c:v>
                </c:pt>
                <c:pt idx="1523">
                  <c:v>6</c:v>
                </c:pt>
                <c:pt idx="1524">
                  <c:v>6</c:v>
                </c:pt>
                <c:pt idx="1525">
                  <c:v>6</c:v>
                </c:pt>
                <c:pt idx="1526">
                  <c:v>6</c:v>
                </c:pt>
                <c:pt idx="1527">
                  <c:v>6</c:v>
                </c:pt>
                <c:pt idx="1528">
                  <c:v>6</c:v>
                </c:pt>
                <c:pt idx="1529">
                  <c:v>6</c:v>
                </c:pt>
                <c:pt idx="1530">
                  <c:v>6</c:v>
                </c:pt>
                <c:pt idx="1531">
                  <c:v>6</c:v>
                </c:pt>
                <c:pt idx="1532">
                  <c:v>6</c:v>
                </c:pt>
                <c:pt idx="1533">
                  <c:v>6</c:v>
                </c:pt>
                <c:pt idx="1534">
                  <c:v>6</c:v>
                </c:pt>
                <c:pt idx="1535">
                  <c:v>6</c:v>
                </c:pt>
                <c:pt idx="1536">
                  <c:v>6</c:v>
                </c:pt>
                <c:pt idx="1537">
                  <c:v>6</c:v>
                </c:pt>
                <c:pt idx="1538">
                  <c:v>6</c:v>
                </c:pt>
                <c:pt idx="1539">
                  <c:v>6</c:v>
                </c:pt>
                <c:pt idx="1540">
                  <c:v>6</c:v>
                </c:pt>
                <c:pt idx="1541">
                  <c:v>6</c:v>
                </c:pt>
                <c:pt idx="1542">
                  <c:v>6</c:v>
                </c:pt>
                <c:pt idx="1543">
                  <c:v>6</c:v>
                </c:pt>
                <c:pt idx="1544">
                  <c:v>6</c:v>
                </c:pt>
                <c:pt idx="1545">
                  <c:v>6</c:v>
                </c:pt>
                <c:pt idx="1546">
                  <c:v>6</c:v>
                </c:pt>
                <c:pt idx="1547">
                  <c:v>6</c:v>
                </c:pt>
                <c:pt idx="1548">
                  <c:v>6</c:v>
                </c:pt>
                <c:pt idx="1549">
                  <c:v>6</c:v>
                </c:pt>
                <c:pt idx="1550">
                  <c:v>6</c:v>
                </c:pt>
                <c:pt idx="1551">
                  <c:v>6</c:v>
                </c:pt>
                <c:pt idx="1552">
                  <c:v>6</c:v>
                </c:pt>
                <c:pt idx="1553">
                  <c:v>6</c:v>
                </c:pt>
                <c:pt idx="1554">
                  <c:v>6</c:v>
                </c:pt>
                <c:pt idx="1555">
                  <c:v>6</c:v>
                </c:pt>
                <c:pt idx="1556">
                  <c:v>6</c:v>
                </c:pt>
                <c:pt idx="1557">
                  <c:v>6</c:v>
                </c:pt>
                <c:pt idx="1558">
                  <c:v>6</c:v>
                </c:pt>
                <c:pt idx="1559">
                  <c:v>6</c:v>
                </c:pt>
                <c:pt idx="1560">
                  <c:v>6</c:v>
                </c:pt>
                <c:pt idx="1561">
                  <c:v>6</c:v>
                </c:pt>
                <c:pt idx="1562">
                  <c:v>6</c:v>
                </c:pt>
                <c:pt idx="1563">
                  <c:v>6</c:v>
                </c:pt>
                <c:pt idx="1564">
                  <c:v>6</c:v>
                </c:pt>
                <c:pt idx="1565">
                  <c:v>6</c:v>
                </c:pt>
                <c:pt idx="1566">
                  <c:v>6</c:v>
                </c:pt>
                <c:pt idx="1567">
                  <c:v>6</c:v>
                </c:pt>
                <c:pt idx="1568">
                  <c:v>6</c:v>
                </c:pt>
                <c:pt idx="1569">
                  <c:v>6</c:v>
                </c:pt>
                <c:pt idx="1570">
                  <c:v>6</c:v>
                </c:pt>
                <c:pt idx="1571">
                  <c:v>6</c:v>
                </c:pt>
                <c:pt idx="1572">
                  <c:v>6</c:v>
                </c:pt>
                <c:pt idx="1573">
                  <c:v>6</c:v>
                </c:pt>
                <c:pt idx="1574">
                  <c:v>6</c:v>
                </c:pt>
                <c:pt idx="1575">
                  <c:v>6</c:v>
                </c:pt>
                <c:pt idx="1576">
                  <c:v>6</c:v>
                </c:pt>
                <c:pt idx="1577">
                  <c:v>6</c:v>
                </c:pt>
                <c:pt idx="1578">
                  <c:v>6</c:v>
                </c:pt>
                <c:pt idx="1579">
                  <c:v>6</c:v>
                </c:pt>
                <c:pt idx="1580">
                  <c:v>6</c:v>
                </c:pt>
                <c:pt idx="1581">
                  <c:v>6</c:v>
                </c:pt>
                <c:pt idx="1582">
                  <c:v>6</c:v>
                </c:pt>
                <c:pt idx="1583">
                  <c:v>6</c:v>
                </c:pt>
                <c:pt idx="1584">
                  <c:v>6</c:v>
                </c:pt>
                <c:pt idx="1585">
                  <c:v>6</c:v>
                </c:pt>
                <c:pt idx="1586">
                  <c:v>6</c:v>
                </c:pt>
                <c:pt idx="1587">
                  <c:v>6</c:v>
                </c:pt>
                <c:pt idx="1588">
                  <c:v>6</c:v>
                </c:pt>
                <c:pt idx="1589">
                  <c:v>6</c:v>
                </c:pt>
                <c:pt idx="1590">
                  <c:v>6</c:v>
                </c:pt>
                <c:pt idx="1591">
                  <c:v>6</c:v>
                </c:pt>
                <c:pt idx="1592">
                  <c:v>6</c:v>
                </c:pt>
                <c:pt idx="1593">
                  <c:v>6</c:v>
                </c:pt>
                <c:pt idx="1594">
                  <c:v>6</c:v>
                </c:pt>
                <c:pt idx="1595">
                  <c:v>6</c:v>
                </c:pt>
                <c:pt idx="1596">
                  <c:v>6</c:v>
                </c:pt>
                <c:pt idx="1597">
                  <c:v>6</c:v>
                </c:pt>
                <c:pt idx="1598">
                  <c:v>6</c:v>
                </c:pt>
                <c:pt idx="1599">
                  <c:v>6</c:v>
                </c:pt>
                <c:pt idx="1600">
                  <c:v>6</c:v>
                </c:pt>
                <c:pt idx="1601">
                  <c:v>6</c:v>
                </c:pt>
                <c:pt idx="1602">
                  <c:v>6</c:v>
                </c:pt>
                <c:pt idx="1603">
                  <c:v>6</c:v>
                </c:pt>
                <c:pt idx="1604">
                  <c:v>6</c:v>
                </c:pt>
                <c:pt idx="1605">
                  <c:v>6</c:v>
                </c:pt>
                <c:pt idx="1606">
                  <c:v>6</c:v>
                </c:pt>
                <c:pt idx="1607">
                  <c:v>6</c:v>
                </c:pt>
                <c:pt idx="1608">
                  <c:v>6</c:v>
                </c:pt>
                <c:pt idx="1609">
                  <c:v>6</c:v>
                </c:pt>
                <c:pt idx="1610">
                  <c:v>6</c:v>
                </c:pt>
                <c:pt idx="1611">
                  <c:v>6</c:v>
                </c:pt>
                <c:pt idx="1612">
                  <c:v>6</c:v>
                </c:pt>
                <c:pt idx="1613">
                  <c:v>6</c:v>
                </c:pt>
                <c:pt idx="1614">
                  <c:v>6</c:v>
                </c:pt>
                <c:pt idx="1615">
                  <c:v>6</c:v>
                </c:pt>
                <c:pt idx="1616">
                  <c:v>6</c:v>
                </c:pt>
                <c:pt idx="1617">
                  <c:v>6</c:v>
                </c:pt>
                <c:pt idx="1618">
                  <c:v>6</c:v>
                </c:pt>
                <c:pt idx="1619">
                  <c:v>6</c:v>
                </c:pt>
                <c:pt idx="1620">
                  <c:v>6</c:v>
                </c:pt>
                <c:pt idx="1621">
                  <c:v>6</c:v>
                </c:pt>
                <c:pt idx="1622">
                  <c:v>6</c:v>
                </c:pt>
                <c:pt idx="1623">
                  <c:v>6</c:v>
                </c:pt>
                <c:pt idx="1624">
                  <c:v>6</c:v>
                </c:pt>
                <c:pt idx="1625">
                  <c:v>6</c:v>
                </c:pt>
                <c:pt idx="1626">
                  <c:v>6</c:v>
                </c:pt>
                <c:pt idx="1627">
                  <c:v>6</c:v>
                </c:pt>
                <c:pt idx="1628">
                  <c:v>6</c:v>
                </c:pt>
                <c:pt idx="1629">
                  <c:v>6</c:v>
                </c:pt>
                <c:pt idx="1630">
                  <c:v>6</c:v>
                </c:pt>
                <c:pt idx="1631">
                  <c:v>6</c:v>
                </c:pt>
                <c:pt idx="1632">
                  <c:v>6</c:v>
                </c:pt>
                <c:pt idx="1633">
                  <c:v>6</c:v>
                </c:pt>
                <c:pt idx="1634">
                  <c:v>6</c:v>
                </c:pt>
                <c:pt idx="1635">
                  <c:v>6</c:v>
                </c:pt>
                <c:pt idx="1636">
                  <c:v>6</c:v>
                </c:pt>
                <c:pt idx="1637">
                  <c:v>6</c:v>
                </c:pt>
                <c:pt idx="1638">
                  <c:v>6</c:v>
                </c:pt>
                <c:pt idx="1639">
                  <c:v>6</c:v>
                </c:pt>
                <c:pt idx="1640">
                  <c:v>6</c:v>
                </c:pt>
                <c:pt idx="1641">
                  <c:v>6</c:v>
                </c:pt>
                <c:pt idx="1642">
                  <c:v>6</c:v>
                </c:pt>
                <c:pt idx="1643">
                  <c:v>6</c:v>
                </c:pt>
                <c:pt idx="1644">
                  <c:v>6</c:v>
                </c:pt>
                <c:pt idx="1645">
                  <c:v>6</c:v>
                </c:pt>
                <c:pt idx="1646">
                  <c:v>6</c:v>
                </c:pt>
                <c:pt idx="1647">
                  <c:v>6</c:v>
                </c:pt>
                <c:pt idx="1648">
                  <c:v>6</c:v>
                </c:pt>
                <c:pt idx="1649">
                  <c:v>6</c:v>
                </c:pt>
                <c:pt idx="1650">
                  <c:v>6</c:v>
                </c:pt>
                <c:pt idx="1651">
                  <c:v>6</c:v>
                </c:pt>
                <c:pt idx="1652">
                  <c:v>6</c:v>
                </c:pt>
                <c:pt idx="1653">
                  <c:v>6</c:v>
                </c:pt>
                <c:pt idx="1654">
                  <c:v>6</c:v>
                </c:pt>
                <c:pt idx="1655">
                  <c:v>6</c:v>
                </c:pt>
                <c:pt idx="1656">
                  <c:v>6</c:v>
                </c:pt>
                <c:pt idx="1657">
                  <c:v>6</c:v>
                </c:pt>
                <c:pt idx="1658">
                  <c:v>6</c:v>
                </c:pt>
                <c:pt idx="1659">
                  <c:v>6</c:v>
                </c:pt>
                <c:pt idx="1660">
                  <c:v>6</c:v>
                </c:pt>
                <c:pt idx="1661">
                  <c:v>6</c:v>
                </c:pt>
                <c:pt idx="1662">
                  <c:v>6</c:v>
                </c:pt>
                <c:pt idx="1663">
                  <c:v>6</c:v>
                </c:pt>
                <c:pt idx="1664">
                  <c:v>6</c:v>
                </c:pt>
                <c:pt idx="1665">
                  <c:v>6</c:v>
                </c:pt>
                <c:pt idx="1666">
                  <c:v>6</c:v>
                </c:pt>
                <c:pt idx="1667">
                  <c:v>6</c:v>
                </c:pt>
                <c:pt idx="1668">
                  <c:v>6</c:v>
                </c:pt>
                <c:pt idx="1669">
                  <c:v>6</c:v>
                </c:pt>
                <c:pt idx="1670">
                  <c:v>6</c:v>
                </c:pt>
                <c:pt idx="1671">
                  <c:v>6</c:v>
                </c:pt>
                <c:pt idx="1672">
                  <c:v>6</c:v>
                </c:pt>
                <c:pt idx="1673">
                  <c:v>6</c:v>
                </c:pt>
                <c:pt idx="1674">
                  <c:v>6</c:v>
                </c:pt>
                <c:pt idx="1675">
                  <c:v>6</c:v>
                </c:pt>
                <c:pt idx="1676">
                  <c:v>6</c:v>
                </c:pt>
                <c:pt idx="1677">
                  <c:v>6</c:v>
                </c:pt>
                <c:pt idx="1678">
                  <c:v>6</c:v>
                </c:pt>
                <c:pt idx="1679">
                  <c:v>6</c:v>
                </c:pt>
                <c:pt idx="1680">
                  <c:v>6</c:v>
                </c:pt>
                <c:pt idx="1681">
                  <c:v>6</c:v>
                </c:pt>
                <c:pt idx="1682">
                  <c:v>6</c:v>
                </c:pt>
                <c:pt idx="1683">
                  <c:v>6</c:v>
                </c:pt>
                <c:pt idx="1684">
                  <c:v>6</c:v>
                </c:pt>
                <c:pt idx="1685">
                  <c:v>6</c:v>
                </c:pt>
                <c:pt idx="1686">
                  <c:v>6</c:v>
                </c:pt>
                <c:pt idx="1687">
                  <c:v>6</c:v>
                </c:pt>
                <c:pt idx="1688">
                  <c:v>6</c:v>
                </c:pt>
                <c:pt idx="1689">
                  <c:v>6</c:v>
                </c:pt>
                <c:pt idx="1690">
                  <c:v>6</c:v>
                </c:pt>
                <c:pt idx="1691">
                  <c:v>6</c:v>
                </c:pt>
                <c:pt idx="1692">
                  <c:v>6</c:v>
                </c:pt>
                <c:pt idx="1693">
                  <c:v>6</c:v>
                </c:pt>
                <c:pt idx="1694">
                  <c:v>6</c:v>
                </c:pt>
                <c:pt idx="1695">
                  <c:v>6</c:v>
                </c:pt>
                <c:pt idx="1696">
                  <c:v>6</c:v>
                </c:pt>
                <c:pt idx="1697">
                  <c:v>6</c:v>
                </c:pt>
                <c:pt idx="1698">
                  <c:v>6</c:v>
                </c:pt>
                <c:pt idx="1699">
                  <c:v>6</c:v>
                </c:pt>
              </c:numCache>
            </c:numRef>
          </c:yVal>
          <c:smooth val="0"/>
        </c:ser>
        <c:ser>
          <c:idx val="1"/>
          <c:order val="1"/>
          <c:tx>
            <c:strRef>
              <c:f>"IMC-scheduled PID"</c:f>
              <c:strCache>
                <c:ptCount val="1"/>
                <c:pt idx="0">
                  <c:v>IMC-scheduled PID</c:v>
                </c:pt>
              </c:strCache>
            </c:strRef>
          </c:tx>
          <c:spPr>
            <a:solidFill>
              <a:srgbClr val="2ca02c"/>
            </a:solidFill>
            <a:ln w="1800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12_Traces!$E$5:$E$1704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4.28464555354018</c:v>
                </c:pt>
                <c:pt idx="203">
                  <c:v>4.11378836706796</c:v>
                </c:pt>
                <c:pt idx="204">
                  <c:v>4.00966203878251</c:v>
                </c:pt>
                <c:pt idx="205">
                  <c:v>3.93936040715896</c:v>
                </c:pt>
                <c:pt idx="206">
                  <c:v>3.89033333608186</c:v>
                </c:pt>
                <c:pt idx="207">
                  <c:v>3.8559867783228</c:v>
                </c:pt>
                <c:pt idx="208">
                  <c:v>3.83251227828793</c:v>
                </c:pt>
                <c:pt idx="209">
                  <c:v>3.81753644086285</c:v>
                </c:pt>
                <c:pt idx="210">
                  <c:v>3.80950279635276</c:v>
                </c:pt>
                <c:pt idx="211">
                  <c:v>3.80735713830841</c:v>
                </c:pt>
                <c:pt idx="212">
                  <c:v>3.81037483758533</c:v>
                </c:pt>
                <c:pt idx="213">
                  <c:v>3.81806080568705</c:v>
                </c:pt>
                <c:pt idx="214">
                  <c:v>3.8300895700461</c:v>
                </c:pt>
                <c:pt idx="215">
                  <c:v>3.84626914236341</c:v>
                </c:pt>
                <c:pt idx="216">
                  <c:v>3.866520143306</c:v>
                </c:pt>
                <c:pt idx="217">
                  <c:v>3.89086571334922</c:v>
                </c:pt>
                <c:pt idx="218">
                  <c:v>3.91943010613208</c:v>
                </c:pt>
                <c:pt idx="219">
                  <c:v>3.95244549003818</c:v>
                </c:pt>
                <c:pt idx="220">
                  <c:v>3.99026793103874</c:v>
                </c:pt>
                <c:pt idx="221">
                  <c:v>4.03340525085967</c:v>
                </c:pt>
                <c:pt idx="222">
                  <c:v>4.08256203580447</c:v>
                </c:pt>
                <c:pt idx="223">
                  <c:v>4.13871155825074</c:v>
                </c:pt>
                <c:pt idx="224">
                  <c:v>4.20321297690458</c:v>
                </c:pt>
                <c:pt idx="225">
                  <c:v>4.27801012479606</c:v>
                </c:pt>
                <c:pt idx="226">
                  <c:v>4.36598912998934</c:v>
                </c:pt>
                <c:pt idx="227">
                  <c:v>4.4716763165301</c:v>
                </c:pt>
                <c:pt idx="228">
                  <c:v>4.60276415496385</c:v>
                </c:pt>
                <c:pt idx="229">
                  <c:v>4.77405675492656</c:v>
                </c:pt>
                <c:pt idx="230">
                  <c:v>5.02090926640078</c:v>
                </c:pt>
                <c:pt idx="231">
                  <c:v>5.4814881841144</c:v>
                </c:pt>
                <c:pt idx="232">
                  <c:v>8.21193823162825</c:v>
                </c:pt>
                <c:pt idx="233">
                  <c:v>8.71212561556692</c:v>
                </c:pt>
                <c:pt idx="234">
                  <c:v>8.8926610471134</c:v>
                </c:pt>
                <c:pt idx="235">
                  <c:v>8.95430997249218</c:v>
                </c:pt>
                <c:pt idx="236">
                  <c:v>8.9041965607227</c:v>
                </c:pt>
                <c:pt idx="237">
                  <c:v>8.72089233069444</c:v>
                </c:pt>
                <c:pt idx="238">
                  <c:v>8.24026890948707</c:v>
                </c:pt>
                <c:pt idx="239">
                  <c:v>5.82750028445727</c:v>
                </c:pt>
                <c:pt idx="240">
                  <c:v>5.40093774929644</c:v>
                </c:pt>
                <c:pt idx="241">
                  <c:v>5.18418251418573</c:v>
                </c:pt>
                <c:pt idx="242">
                  <c:v>5.05935573248014</c:v>
                </c:pt>
                <c:pt idx="243">
                  <c:v>4.98487157072377</c:v>
                </c:pt>
                <c:pt idx="244">
                  <c:v>4.94216193529476</c:v>
                </c:pt>
                <c:pt idx="245">
                  <c:v>4.92230506065299</c:v>
                </c:pt>
                <c:pt idx="246">
                  <c:v>4.92021670020149</c:v>
                </c:pt>
                <c:pt idx="247">
                  <c:v>4.93302972030229</c:v>
                </c:pt>
                <c:pt idx="248">
                  <c:v>4.95916668950479</c:v>
                </c:pt>
                <c:pt idx="249">
                  <c:v>4.99790098620901</c:v>
                </c:pt>
                <c:pt idx="250">
                  <c:v>5.04913560009501</c:v>
                </c:pt>
                <c:pt idx="251">
                  <c:v>5.11330561227054</c:v>
                </c:pt>
                <c:pt idx="252">
                  <c:v>5.19137261734435</c:v>
                </c:pt>
                <c:pt idx="253">
                  <c:v>5.28493431265565</c:v>
                </c:pt>
                <c:pt idx="254">
                  <c:v>5.3965864644429</c:v>
                </c:pt>
                <c:pt idx="255">
                  <c:v>5.53105118531441</c:v>
                </c:pt>
                <c:pt idx="256">
                  <c:v>5.69920252541588</c:v>
                </c:pt>
                <c:pt idx="257">
                  <c:v>5.93066288119224</c:v>
                </c:pt>
                <c:pt idx="258">
                  <c:v>6.31760714984921</c:v>
                </c:pt>
                <c:pt idx="259">
                  <c:v>7.18914177548361</c:v>
                </c:pt>
                <c:pt idx="260">
                  <c:v>7.63140127608748</c:v>
                </c:pt>
                <c:pt idx="261">
                  <c:v>7.75117928742828</c:v>
                </c:pt>
                <c:pt idx="262">
                  <c:v>7.81896974223437</c:v>
                </c:pt>
                <c:pt idx="263">
                  <c:v>7.85398782670101</c:v>
                </c:pt>
                <c:pt idx="264">
                  <c:v>7.86630155888284</c:v>
                </c:pt>
                <c:pt idx="265">
                  <c:v>7.86127160561086</c:v>
                </c:pt>
                <c:pt idx="266">
                  <c:v>7.84182473324065</c:v>
                </c:pt>
                <c:pt idx="267">
                  <c:v>7.80962123124849</c:v>
                </c:pt>
                <c:pt idx="268">
                  <c:v>7.765622452464</c:v>
                </c:pt>
                <c:pt idx="269">
                  <c:v>7.71044447245359</c:v>
                </c:pt>
                <c:pt idx="270">
                  <c:v>7.64466115011247</c:v>
                </c:pt>
                <c:pt idx="271">
                  <c:v>7.56915232953534</c:v>
                </c:pt>
                <c:pt idx="272">
                  <c:v>7.4855422130938</c:v>
                </c:pt>
                <c:pt idx="273">
                  <c:v>7.39665192116357</c:v>
                </c:pt>
                <c:pt idx="274">
                  <c:v>7.30711676066644</c:v>
                </c:pt>
                <c:pt idx="275">
                  <c:v>7.2241932198921</c:v>
                </c:pt>
                <c:pt idx="276">
                  <c:v>7.15503330772091</c:v>
                </c:pt>
                <c:pt idx="277">
                  <c:v>7.10289047172813</c:v>
                </c:pt>
                <c:pt idx="278">
                  <c:v>7.06640312637308</c:v>
                </c:pt>
                <c:pt idx="279">
                  <c:v>7.04195660430883</c:v>
                </c:pt>
                <c:pt idx="280">
                  <c:v>7.02595157789334</c:v>
                </c:pt>
                <c:pt idx="281">
                  <c:v>7.01562291653345</c:v>
                </c:pt>
                <c:pt idx="282">
                  <c:v>7.00903502013355</c:v>
                </c:pt>
                <c:pt idx="283">
                  <c:v>7.00488338934559</c:v>
                </c:pt>
                <c:pt idx="284">
                  <c:v>7.00230572210958</c:v>
                </c:pt>
                <c:pt idx="285">
                  <c:v>7.00073804352811</c:v>
                </c:pt>
                <c:pt idx="286">
                  <c:v>6.99981384975996</c:v>
                </c:pt>
                <c:pt idx="287">
                  <c:v>6.99929607977749</c:v>
                </c:pt>
                <c:pt idx="288">
                  <c:v>6.99903203192597</c:v>
                </c:pt>
                <c:pt idx="289">
                  <c:v>6.99892377200588</c:v>
                </c:pt>
                <c:pt idx="290">
                  <c:v>6.99890882011526</c:v>
                </c:pt>
                <c:pt idx="291">
                  <c:v>6.99894758937237</c:v>
                </c:pt>
                <c:pt idx="292">
                  <c:v>6.9990152351059</c:v>
                </c:pt>
                <c:pt idx="293">
                  <c:v>6.99909637540449</c:v>
                </c:pt>
                <c:pt idx="294">
                  <c:v>6.99918167696773</c:v>
                </c:pt>
                <c:pt idx="295">
                  <c:v>6.99926565092653</c:v>
                </c:pt>
                <c:pt idx="296">
                  <c:v>6.99934523265972</c:v>
                </c:pt>
                <c:pt idx="297">
                  <c:v>6.99941886909792</c:v>
                </c:pt>
                <c:pt idx="298">
                  <c:v>6.99948593418825</c:v>
                </c:pt>
                <c:pt idx="299">
                  <c:v>6.9995463563002</c:v>
                </c:pt>
                <c:pt idx="300">
                  <c:v>6.9996003822981</c:v>
                </c:pt>
                <c:pt idx="301">
                  <c:v>6.99964842955394</c:v>
                </c:pt>
                <c:pt idx="302">
                  <c:v>6.9996909943826</c:v>
                </c:pt>
                <c:pt idx="303">
                  <c:v>6.99972859653371</c:v>
                </c:pt>
                <c:pt idx="304">
                  <c:v>6.99976174659691</c:v>
                </c:pt>
                <c:pt idx="305">
                  <c:v>6.99979092785171</c:v>
                </c:pt>
                <c:pt idx="306">
                  <c:v>6.99981658712185</c:v>
                </c:pt>
                <c:pt idx="307">
                  <c:v>6.99983913114805</c:v>
                </c:pt>
                <c:pt idx="308">
                  <c:v>6.99985892625788</c:v>
                </c:pt>
                <c:pt idx="309">
                  <c:v>6.99987629992585</c:v>
                </c:pt>
                <c:pt idx="310">
                  <c:v>6.99989154334248</c:v>
                </c:pt>
                <c:pt idx="311">
                  <c:v>6.99990491444561</c:v>
                </c:pt>
                <c:pt idx="312">
                  <c:v>6.99991664108505</c:v>
                </c:pt>
                <c:pt idx="313">
                  <c:v>6.99992692412455</c:v>
                </c:pt>
                <c:pt idx="314">
                  <c:v>6.99993594037541</c:v>
                </c:pt>
                <c:pt idx="315">
                  <c:v>6.99994384530702</c:v>
                </c:pt>
                <c:pt idx="316">
                  <c:v>6.99995077551259</c:v>
                </c:pt>
                <c:pt idx="317">
                  <c:v>6.99995685092966</c:v>
                </c:pt>
                <c:pt idx="318">
                  <c:v>6.99996217682481</c:v>
                </c:pt>
                <c:pt idx="319">
                  <c:v>6.99996684555761</c:v>
                </c:pt>
                <c:pt idx="320">
                  <c:v>6.99997093814366</c:v>
                </c:pt>
                <c:pt idx="321">
                  <c:v>6.99997452563538</c:v>
                </c:pt>
                <c:pt idx="322">
                  <c:v>6.99997767033849</c:v>
                </c:pt>
                <c:pt idx="323">
                  <c:v>6.99998042688376</c:v>
                </c:pt>
                <c:pt idx="324">
                  <c:v>6.99998284316892</c:v>
                </c:pt>
                <c:pt idx="325">
                  <c:v>6.99998496118536</c:v>
                </c:pt>
                <c:pt idx="326">
                  <c:v>6.99998681774546</c:v>
                </c:pt>
                <c:pt idx="327">
                  <c:v>6.99998844512015</c:v>
                </c:pt>
                <c:pt idx="328">
                  <c:v>6.99998987159887</c:v>
                </c:pt>
                <c:pt idx="329">
                  <c:v>6.99999112197978</c:v>
                </c:pt>
                <c:pt idx="330">
                  <c:v>6.99999221800054</c:v>
                </c:pt>
                <c:pt idx="331">
                  <c:v>6.99999317871618</c:v>
                </c:pt>
                <c:pt idx="332">
                  <c:v>6.99999402082945</c:v>
                </c:pt>
                <c:pt idx="333">
                  <c:v>6.99999475898174</c:v>
                </c:pt>
                <c:pt idx="334">
                  <c:v>6.9999954060072</c:v>
                </c:pt>
                <c:pt idx="335">
                  <c:v>6.99999597315528</c:v>
                </c:pt>
                <c:pt idx="336">
                  <c:v>6.99999647028685</c:v>
                </c:pt>
                <c:pt idx="337">
                  <c:v>6.99999690604594</c:v>
                </c:pt>
                <c:pt idx="338">
                  <c:v>6.99999728800901</c:v>
                </c:pt>
                <c:pt idx="339">
                  <c:v>6.99999762281702</c:v>
                </c:pt>
                <c:pt idx="340">
                  <c:v>6.99999791629165</c:v>
                </c:pt>
                <c:pt idx="341">
                  <c:v>6.99999817353546</c:v>
                </c:pt>
                <c:pt idx="342">
                  <c:v>6.99999839902156</c:v>
                </c:pt>
                <c:pt idx="343">
                  <c:v>6.99999859667031</c:v>
                </c:pt>
                <c:pt idx="344">
                  <c:v>6.99999876991826</c:v>
                </c:pt>
                <c:pt idx="345">
                  <c:v>6.99999892177783</c:v>
                </c:pt>
                <c:pt idx="346">
                  <c:v>6.99999905488973</c:v>
                </c:pt>
                <c:pt idx="347">
                  <c:v>6.99999917156833</c:v>
                </c:pt>
                <c:pt idx="348">
                  <c:v>6.99999927384233</c:v>
                </c:pt>
                <c:pt idx="349">
                  <c:v>6.99999936349009</c:v>
                </c:pt>
                <c:pt idx="350">
                  <c:v>6.99999944207029</c:v>
                </c:pt>
                <c:pt idx="351">
                  <c:v>6.99999951094928</c:v>
                </c:pt>
                <c:pt idx="352">
                  <c:v>6.99999957132506</c:v>
                </c:pt>
                <c:pt idx="353">
                  <c:v>6.99999962424718</c:v>
                </c:pt>
                <c:pt idx="354">
                  <c:v>6.99999967063579</c:v>
                </c:pt>
                <c:pt idx="355">
                  <c:v>6.99999971129769</c:v>
                </c:pt>
                <c:pt idx="356">
                  <c:v>6.99999974693962</c:v>
                </c:pt>
                <c:pt idx="357">
                  <c:v>6.99999977818138</c:v>
                </c:pt>
                <c:pt idx="358">
                  <c:v>6.99999980556603</c:v>
                </c:pt>
                <c:pt idx="359">
                  <c:v>6.99999982956982</c:v>
                </c:pt>
                <c:pt idx="360">
                  <c:v>6.99999985061044</c:v>
                </c:pt>
                <c:pt idx="361">
                  <c:v>6.99999986905335</c:v>
                </c:pt>
                <c:pt idx="362">
                  <c:v>6.99999988521946</c:v>
                </c:pt>
                <c:pt idx="363">
                  <c:v>6.99999989938965</c:v>
                </c:pt>
                <c:pt idx="364">
                  <c:v>6.99999991181053</c:v>
                </c:pt>
                <c:pt idx="365">
                  <c:v>6.99999992269789</c:v>
                </c:pt>
                <c:pt idx="366">
                  <c:v>6.99999993224115</c:v>
                </c:pt>
                <c:pt idx="367">
                  <c:v>6.99999994060613</c:v>
                </c:pt>
                <c:pt idx="368">
                  <c:v>6.99999994793861</c:v>
                </c:pt>
                <c:pt idx="369">
                  <c:v>6.99999995436599</c:v>
                </c:pt>
                <c:pt idx="370">
                  <c:v>6.99999995999981</c:v>
                </c:pt>
                <c:pt idx="371">
                  <c:v>6.99999996493794</c:v>
                </c:pt>
                <c:pt idx="372">
                  <c:v>6.99999996926647</c:v>
                </c:pt>
                <c:pt idx="373">
                  <c:v>6.99999997306039</c:v>
                </c:pt>
                <c:pt idx="374">
                  <c:v>6.99999997638585</c:v>
                </c:pt>
                <c:pt idx="375">
                  <c:v>6.99999997930099</c:v>
                </c:pt>
                <c:pt idx="376">
                  <c:v>6.99999998185626</c:v>
                </c:pt>
                <c:pt idx="377">
                  <c:v>6.99999998409624</c:v>
                </c:pt>
                <c:pt idx="378">
                  <c:v>6.9999999860596</c:v>
                </c:pt>
                <c:pt idx="379">
                  <c:v>6.99999998778056</c:v>
                </c:pt>
                <c:pt idx="380">
                  <c:v>6.99999998928903</c:v>
                </c:pt>
                <c:pt idx="381">
                  <c:v>6.99999999061116</c:v>
                </c:pt>
                <c:pt idx="382">
                  <c:v>6.99999999177013</c:v>
                </c:pt>
                <c:pt idx="383">
                  <c:v>6.99999999278597</c:v>
                </c:pt>
                <c:pt idx="384">
                  <c:v>6.99999999367646</c:v>
                </c:pt>
                <c:pt idx="385">
                  <c:v>6.99999999445724</c:v>
                </c:pt>
                <c:pt idx="386">
                  <c:v>6.99999999514162</c:v>
                </c:pt>
                <c:pt idx="387">
                  <c:v>6.9999999957415</c:v>
                </c:pt>
                <c:pt idx="388">
                  <c:v>6.99999999626735</c:v>
                </c:pt>
                <c:pt idx="389">
                  <c:v>6.99999999672821</c:v>
                </c:pt>
                <c:pt idx="390">
                  <c:v>6.99999999713226</c:v>
                </c:pt>
                <c:pt idx="391">
                  <c:v>6.99999999748635</c:v>
                </c:pt>
                <c:pt idx="392">
                  <c:v>6.99999999779651</c:v>
                </c:pt>
                <c:pt idx="393">
                  <c:v>6.99999999806845</c:v>
                </c:pt>
                <c:pt idx="394">
                  <c:v>6.99999999830674</c:v>
                </c:pt>
                <c:pt idx="395">
                  <c:v>6.9999999985158</c:v>
                </c:pt>
                <c:pt idx="396">
                  <c:v>6.99999999869904</c:v>
                </c:pt>
                <c:pt idx="397">
                  <c:v>6.99999999885978</c:v>
                </c:pt>
                <c:pt idx="398">
                  <c:v>6.99999999900053</c:v>
                </c:pt>
                <c:pt idx="399">
                  <c:v>6.9999999991238</c:v>
                </c:pt>
                <c:pt idx="400">
                  <c:v>6.99999999923195</c:v>
                </c:pt>
                <c:pt idx="401">
                  <c:v>6.99999999932683</c:v>
                </c:pt>
                <c:pt idx="402">
                  <c:v>6.99999999940977</c:v>
                </c:pt>
                <c:pt idx="403">
                  <c:v>6.99999999948241</c:v>
                </c:pt>
                <c:pt idx="404">
                  <c:v>6.99999999954611</c:v>
                </c:pt>
                <c:pt idx="405">
                  <c:v>6.99999999960179</c:v>
                </c:pt>
                <c:pt idx="406">
                  <c:v>6.99999999965055</c:v>
                </c:pt>
                <c:pt idx="407">
                  <c:v>6.99999999969368</c:v>
                </c:pt>
                <c:pt idx="408">
                  <c:v>6.99999999973166</c:v>
                </c:pt>
                <c:pt idx="409">
                  <c:v>6.99999999976504</c:v>
                </c:pt>
                <c:pt idx="410">
                  <c:v>6.99999999979425</c:v>
                </c:pt>
                <c:pt idx="411">
                  <c:v>6.99999999981971</c:v>
                </c:pt>
                <c:pt idx="412">
                  <c:v>6.99999999984178</c:v>
                </c:pt>
                <c:pt idx="413">
                  <c:v>6.99999999986083</c:v>
                </c:pt>
                <c:pt idx="414">
                  <c:v>6.99999999987789</c:v>
                </c:pt>
                <c:pt idx="415">
                  <c:v>6.99999999989321</c:v>
                </c:pt>
                <c:pt idx="416">
                  <c:v>6.99999999990623</c:v>
                </c:pt>
                <c:pt idx="417">
                  <c:v>6.99999999991764</c:v>
                </c:pt>
                <c:pt idx="418">
                  <c:v>6.99999999992794</c:v>
                </c:pt>
                <c:pt idx="419">
                  <c:v>6.99999999993723</c:v>
                </c:pt>
                <c:pt idx="420">
                  <c:v>6.99999999994562</c:v>
                </c:pt>
                <c:pt idx="421">
                  <c:v>6.99999999995298</c:v>
                </c:pt>
                <c:pt idx="422">
                  <c:v>6.99999999995877</c:v>
                </c:pt>
                <c:pt idx="423">
                  <c:v>6.99999999996384</c:v>
                </c:pt>
                <c:pt idx="424">
                  <c:v>6.99999999996841</c:v>
                </c:pt>
                <c:pt idx="425">
                  <c:v>6.99999999997254</c:v>
                </c:pt>
                <c:pt idx="426">
                  <c:v>6.99999999997626</c:v>
                </c:pt>
                <c:pt idx="427">
                  <c:v>6.99999999997963</c:v>
                </c:pt>
                <c:pt idx="428">
                  <c:v>6.99999999998266</c:v>
                </c:pt>
                <c:pt idx="429">
                  <c:v>6.9999999999854</c:v>
                </c:pt>
                <c:pt idx="430">
                  <c:v>6.99999999998787</c:v>
                </c:pt>
                <c:pt idx="431">
                  <c:v>6.9999999999901</c:v>
                </c:pt>
                <c:pt idx="432">
                  <c:v>6.99999999999211</c:v>
                </c:pt>
                <c:pt idx="433">
                  <c:v>6.99999999999393</c:v>
                </c:pt>
                <c:pt idx="434">
                  <c:v>6.99999999999557</c:v>
                </c:pt>
                <c:pt idx="435">
                  <c:v>6.99999999999705</c:v>
                </c:pt>
                <c:pt idx="436">
                  <c:v>6.99999999999839</c:v>
                </c:pt>
                <c:pt idx="437">
                  <c:v>6.9999999999996</c:v>
                </c:pt>
                <c:pt idx="438">
                  <c:v>7.00000000000068</c:v>
                </c:pt>
                <c:pt idx="439">
                  <c:v>7.00000000000167</c:v>
                </c:pt>
                <c:pt idx="440">
                  <c:v>7.00000000000255</c:v>
                </c:pt>
                <c:pt idx="441">
                  <c:v>7.00000000000335</c:v>
                </c:pt>
                <c:pt idx="442">
                  <c:v>7.00000000000408</c:v>
                </c:pt>
                <c:pt idx="443">
                  <c:v>7.00000000000473</c:v>
                </c:pt>
                <c:pt idx="444">
                  <c:v>7.00000000000532</c:v>
                </c:pt>
                <c:pt idx="445">
                  <c:v>7.00000000000585</c:v>
                </c:pt>
                <c:pt idx="446">
                  <c:v>7.00000000000633</c:v>
                </c:pt>
                <c:pt idx="447">
                  <c:v>7.00000000000676</c:v>
                </c:pt>
                <c:pt idx="448">
                  <c:v>7.00000000000715</c:v>
                </c:pt>
                <c:pt idx="449">
                  <c:v>7.0000000000075</c:v>
                </c:pt>
                <c:pt idx="450">
                  <c:v>7.00000000000782</c:v>
                </c:pt>
                <c:pt idx="451">
                  <c:v>7.00000000000811</c:v>
                </c:pt>
                <c:pt idx="452">
                  <c:v>7.00000000000837</c:v>
                </c:pt>
                <c:pt idx="453">
                  <c:v>7.0000000000086</c:v>
                </c:pt>
                <c:pt idx="454">
                  <c:v>7.00000000000881</c:v>
                </c:pt>
                <c:pt idx="455">
                  <c:v>7.000000000009</c:v>
                </c:pt>
                <c:pt idx="456">
                  <c:v>7.00000000000917</c:v>
                </c:pt>
                <c:pt idx="457">
                  <c:v>7.00000000000933</c:v>
                </c:pt>
                <c:pt idx="458">
                  <c:v>7.00000000000919</c:v>
                </c:pt>
                <c:pt idx="459">
                  <c:v>7.00000000000899</c:v>
                </c:pt>
                <c:pt idx="460">
                  <c:v>7.00000000000881</c:v>
                </c:pt>
                <c:pt idx="461">
                  <c:v>7.00000000000866</c:v>
                </c:pt>
                <c:pt idx="462">
                  <c:v>7.00000000000851</c:v>
                </c:pt>
                <c:pt idx="463">
                  <c:v>7.00000000000838</c:v>
                </c:pt>
                <c:pt idx="464">
                  <c:v>7.00000000000826</c:v>
                </c:pt>
                <c:pt idx="465">
                  <c:v>7.00000000000816</c:v>
                </c:pt>
                <c:pt idx="466">
                  <c:v>7.00000000000806</c:v>
                </c:pt>
                <c:pt idx="467">
                  <c:v>7.00000000000798</c:v>
                </c:pt>
                <c:pt idx="468">
                  <c:v>7.0000000000079</c:v>
                </c:pt>
                <c:pt idx="469">
                  <c:v>7.00000000000783</c:v>
                </c:pt>
                <c:pt idx="470">
                  <c:v>7.00000000000777</c:v>
                </c:pt>
                <c:pt idx="471">
                  <c:v>7.00000000000771</c:v>
                </c:pt>
                <c:pt idx="472">
                  <c:v>7.00000000000766</c:v>
                </c:pt>
                <c:pt idx="473">
                  <c:v>7.00000000000761</c:v>
                </c:pt>
                <c:pt idx="474">
                  <c:v>7.00000000000757</c:v>
                </c:pt>
                <c:pt idx="475">
                  <c:v>7.00000000000753</c:v>
                </c:pt>
                <c:pt idx="476">
                  <c:v>7.0000000000075</c:v>
                </c:pt>
                <c:pt idx="477">
                  <c:v>7.00000000000746</c:v>
                </c:pt>
                <c:pt idx="478">
                  <c:v>7.00000000000744</c:v>
                </c:pt>
                <c:pt idx="479">
                  <c:v>7.00000000000741</c:v>
                </c:pt>
                <c:pt idx="480">
                  <c:v>7.00000000000739</c:v>
                </c:pt>
                <c:pt idx="481">
                  <c:v>7.00000000000737</c:v>
                </c:pt>
                <c:pt idx="482">
                  <c:v>7.00000000000735</c:v>
                </c:pt>
                <c:pt idx="483">
                  <c:v>7.00000000000733</c:v>
                </c:pt>
                <c:pt idx="484">
                  <c:v>7.00000000000732</c:v>
                </c:pt>
                <c:pt idx="485">
                  <c:v>7.0000000000073</c:v>
                </c:pt>
                <c:pt idx="486">
                  <c:v>7.00000000000729</c:v>
                </c:pt>
                <c:pt idx="487">
                  <c:v>7.00000000000728</c:v>
                </c:pt>
                <c:pt idx="488">
                  <c:v>7.00000000000727</c:v>
                </c:pt>
                <c:pt idx="489">
                  <c:v>7.00000000000726</c:v>
                </c:pt>
                <c:pt idx="490">
                  <c:v>7.00000000000725</c:v>
                </c:pt>
                <c:pt idx="491">
                  <c:v>7.00000000000725</c:v>
                </c:pt>
                <c:pt idx="492">
                  <c:v>7.00000000000724</c:v>
                </c:pt>
                <c:pt idx="493">
                  <c:v>7.00000000000723</c:v>
                </c:pt>
                <c:pt idx="494">
                  <c:v>7.00000000000723</c:v>
                </c:pt>
                <c:pt idx="495">
                  <c:v>7.00000000000722</c:v>
                </c:pt>
                <c:pt idx="496">
                  <c:v>7.00000000000722</c:v>
                </c:pt>
                <c:pt idx="497">
                  <c:v>7.00000000000722</c:v>
                </c:pt>
                <c:pt idx="498">
                  <c:v>7.00000000000721</c:v>
                </c:pt>
                <c:pt idx="499">
                  <c:v>7.00000000000721</c:v>
                </c:pt>
                <c:pt idx="500">
                  <c:v>7.00000000000721</c:v>
                </c:pt>
                <c:pt idx="501">
                  <c:v>7.0000000000072</c:v>
                </c:pt>
                <c:pt idx="502">
                  <c:v>7.0000000000072</c:v>
                </c:pt>
                <c:pt idx="503">
                  <c:v>7.0000000000072</c:v>
                </c:pt>
                <c:pt idx="504">
                  <c:v>7.0000000000072</c:v>
                </c:pt>
                <c:pt idx="505">
                  <c:v>7.00000000000719</c:v>
                </c:pt>
                <c:pt idx="506">
                  <c:v>7.00000000000719</c:v>
                </c:pt>
                <c:pt idx="507">
                  <c:v>7.00000000000719</c:v>
                </c:pt>
                <c:pt idx="508">
                  <c:v>7.00000000000719</c:v>
                </c:pt>
                <c:pt idx="509">
                  <c:v>7.00000000000719</c:v>
                </c:pt>
                <c:pt idx="510">
                  <c:v>7.00000000000719</c:v>
                </c:pt>
                <c:pt idx="511">
                  <c:v>7.00000000000719</c:v>
                </c:pt>
                <c:pt idx="512">
                  <c:v>7.00000000000719</c:v>
                </c:pt>
                <c:pt idx="513">
                  <c:v>7.00000000000719</c:v>
                </c:pt>
                <c:pt idx="514">
                  <c:v>7.00000000000718</c:v>
                </c:pt>
                <c:pt idx="515">
                  <c:v>7.00000000000718</c:v>
                </c:pt>
                <c:pt idx="516">
                  <c:v>7.00000000000718</c:v>
                </c:pt>
                <c:pt idx="517">
                  <c:v>7.00000000000718</c:v>
                </c:pt>
                <c:pt idx="518">
                  <c:v>7.00000000000718</c:v>
                </c:pt>
                <c:pt idx="519">
                  <c:v>7.00000000000718</c:v>
                </c:pt>
                <c:pt idx="520">
                  <c:v>7.00000000000718</c:v>
                </c:pt>
                <c:pt idx="521">
                  <c:v>7.00000000000718</c:v>
                </c:pt>
                <c:pt idx="522">
                  <c:v>7.00000000000718</c:v>
                </c:pt>
                <c:pt idx="523">
                  <c:v>7.00000000000718</c:v>
                </c:pt>
                <c:pt idx="524">
                  <c:v>7.00000000000718</c:v>
                </c:pt>
                <c:pt idx="525">
                  <c:v>7.00000000000718</c:v>
                </c:pt>
                <c:pt idx="526">
                  <c:v>7.00000000000718</c:v>
                </c:pt>
                <c:pt idx="527">
                  <c:v>7.00000000000718</c:v>
                </c:pt>
                <c:pt idx="528">
                  <c:v>7.00000000000718</c:v>
                </c:pt>
                <c:pt idx="529">
                  <c:v>7.00000000000718</c:v>
                </c:pt>
                <c:pt idx="530">
                  <c:v>7.00000000000718</c:v>
                </c:pt>
                <c:pt idx="531">
                  <c:v>7.00000000000718</c:v>
                </c:pt>
                <c:pt idx="532">
                  <c:v>7.00000000000718</c:v>
                </c:pt>
                <c:pt idx="533">
                  <c:v>7.00000000000718</c:v>
                </c:pt>
                <c:pt idx="534">
                  <c:v>7.00000000000718</c:v>
                </c:pt>
                <c:pt idx="535">
                  <c:v>7.00000000000718</c:v>
                </c:pt>
                <c:pt idx="536">
                  <c:v>7.00000000000718</c:v>
                </c:pt>
                <c:pt idx="537">
                  <c:v>7.00000000000718</c:v>
                </c:pt>
                <c:pt idx="538">
                  <c:v>7.00000000000718</c:v>
                </c:pt>
                <c:pt idx="539">
                  <c:v>7.00000000000718</c:v>
                </c:pt>
                <c:pt idx="540">
                  <c:v>7.00000000000718</c:v>
                </c:pt>
                <c:pt idx="541">
                  <c:v>7.00000000000718</c:v>
                </c:pt>
                <c:pt idx="542">
                  <c:v>7.00000000000718</c:v>
                </c:pt>
                <c:pt idx="543">
                  <c:v>7.00000000000718</c:v>
                </c:pt>
                <c:pt idx="544">
                  <c:v>7.00000000000718</c:v>
                </c:pt>
                <c:pt idx="545">
                  <c:v>7.00000000000718</c:v>
                </c:pt>
                <c:pt idx="546">
                  <c:v>7.00000000000718</c:v>
                </c:pt>
                <c:pt idx="547">
                  <c:v>7.00000000000718</c:v>
                </c:pt>
                <c:pt idx="548">
                  <c:v>7.00000000000718</c:v>
                </c:pt>
                <c:pt idx="549">
                  <c:v>7.00000000000718</c:v>
                </c:pt>
                <c:pt idx="550">
                  <c:v>7.00000000000718</c:v>
                </c:pt>
                <c:pt idx="551">
                  <c:v>7.00000000000718</c:v>
                </c:pt>
                <c:pt idx="552">
                  <c:v>7.00000000000718</c:v>
                </c:pt>
                <c:pt idx="553">
                  <c:v>7.00000000000718</c:v>
                </c:pt>
                <c:pt idx="554">
                  <c:v>7.00000000000718</c:v>
                </c:pt>
                <c:pt idx="555">
                  <c:v>7.00000000000718</c:v>
                </c:pt>
                <c:pt idx="556">
                  <c:v>7.00000000000718</c:v>
                </c:pt>
                <c:pt idx="557">
                  <c:v>7.00000000000718</c:v>
                </c:pt>
                <c:pt idx="558">
                  <c:v>7.00000000000718</c:v>
                </c:pt>
                <c:pt idx="559">
                  <c:v>7.00000000000718</c:v>
                </c:pt>
                <c:pt idx="560">
                  <c:v>7.00000000000718</c:v>
                </c:pt>
                <c:pt idx="561">
                  <c:v>7.00000000000718</c:v>
                </c:pt>
                <c:pt idx="562">
                  <c:v>7.00000000000718</c:v>
                </c:pt>
                <c:pt idx="563">
                  <c:v>7.00000000000718</c:v>
                </c:pt>
                <c:pt idx="564">
                  <c:v>7.00000000000718</c:v>
                </c:pt>
                <c:pt idx="565">
                  <c:v>7.00000000000718</c:v>
                </c:pt>
                <c:pt idx="566">
                  <c:v>7.00000000000718</c:v>
                </c:pt>
                <c:pt idx="567">
                  <c:v>7.00000000000718</c:v>
                </c:pt>
                <c:pt idx="568">
                  <c:v>7.00000000000718</c:v>
                </c:pt>
                <c:pt idx="569">
                  <c:v>7.00000000000718</c:v>
                </c:pt>
                <c:pt idx="570">
                  <c:v>7.00000000000718</c:v>
                </c:pt>
                <c:pt idx="571">
                  <c:v>7.00000000000718</c:v>
                </c:pt>
                <c:pt idx="572">
                  <c:v>7.00000000000718</c:v>
                </c:pt>
                <c:pt idx="573">
                  <c:v>7.00000000000718</c:v>
                </c:pt>
                <c:pt idx="574">
                  <c:v>7.00000000000718</c:v>
                </c:pt>
                <c:pt idx="575">
                  <c:v>7.00000000000718</c:v>
                </c:pt>
                <c:pt idx="576">
                  <c:v>7.00000000000718</c:v>
                </c:pt>
                <c:pt idx="577">
                  <c:v>7.00000000000718</c:v>
                </c:pt>
                <c:pt idx="578">
                  <c:v>7.00000000000718</c:v>
                </c:pt>
                <c:pt idx="579">
                  <c:v>7.00000000000718</c:v>
                </c:pt>
                <c:pt idx="580">
                  <c:v>7.00000000000718</c:v>
                </c:pt>
                <c:pt idx="581">
                  <c:v>7.00000000000718</c:v>
                </c:pt>
                <c:pt idx="582">
                  <c:v>7.00000000000718</c:v>
                </c:pt>
                <c:pt idx="583">
                  <c:v>7.00000000000718</c:v>
                </c:pt>
                <c:pt idx="584">
                  <c:v>7.00000000000718</c:v>
                </c:pt>
                <c:pt idx="585">
                  <c:v>7.00000000000718</c:v>
                </c:pt>
                <c:pt idx="586">
                  <c:v>7.00000000000718</c:v>
                </c:pt>
                <c:pt idx="587">
                  <c:v>7.00000000000718</c:v>
                </c:pt>
                <c:pt idx="588">
                  <c:v>7.00000000000718</c:v>
                </c:pt>
                <c:pt idx="589">
                  <c:v>7.00000000000718</c:v>
                </c:pt>
                <c:pt idx="590">
                  <c:v>7.00000000000718</c:v>
                </c:pt>
                <c:pt idx="591">
                  <c:v>7.00000000000718</c:v>
                </c:pt>
                <c:pt idx="592">
                  <c:v>7.00000000000718</c:v>
                </c:pt>
                <c:pt idx="593">
                  <c:v>7.00000000000718</c:v>
                </c:pt>
                <c:pt idx="594">
                  <c:v>7.00000000000718</c:v>
                </c:pt>
                <c:pt idx="595">
                  <c:v>7.00000000000718</c:v>
                </c:pt>
                <c:pt idx="596">
                  <c:v>7.00000000000718</c:v>
                </c:pt>
                <c:pt idx="597">
                  <c:v>7.00000000000718</c:v>
                </c:pt>
                <c:pt idx="598">
                  <c:v>7.00000000000718</c:v>
                </c:pt>
                <c:pt idx="599">
                  <c:v>7.00000000000718</c:v>
                </c:pt>
                <c:pt idx="600">
                  <c:v>7.00000000000718</c:v>
                </c:pt>
                <c:pt idx="601">
                  <c:v>7.07887796052734</c:v>
                </c:pt>
                <c:pt idx="602">
                  <c:v>7.41337285069326</c:v>
                </c:pt>
                <c:pt idx="603">
                  <c:v>7.56728585110405</c:v>
                </c:pt>
                <c:pt idx="604">
                  <c:v>7.66053274103098</c:v>
                </c:pt>
                <c:pt idx="605">
                  <c:v>7.72796827023674</c:v>
                </c:pt>
                <c:pt idx="606">
                  <c:v>7.77898662159187</c:v>
                </c:pt>
                <c:pt idx="607">
                  <c:v>7.81903340122423</c:v>
                </c:pt>
                <c:pt idx="608">
                  <c:v>7.85129025051192</c:v>
                </c:pt>
                <c:pt idx="609">
                  <c:v>7.87774584102755</c:v>
                </c:pt>
                <c:pt idx="610">
                  <c:v>7.89972049592615</c:v>
                </c:pt>
                <c:pt idx="611">
                  <c:v>7.91813439451435</c:v>
                </c:pt>
                <c:pt idx="612">
                  <c:v>7.93365519965453</c:v>
                </c:pt>
                <c:pt idx="613">
                  <c:v>7.94678404057416</c:v>
                </c:pt>
                <c:pt idx="614">
                  <c:v>7.95790802974499</c:v>
                </c:pt>
                <c:pt idx="615">
                  <c:v>7.9673336554695</c:v>
                </c:pt>
                <c:pt idx="616">
                  <c:v>7.97530875445843</c:v>
                </c:pt>
                <c:pt idx="617">
                  <c:v>7.98203740224786</c:v>
                </c:pt>
                <c:pt idx="618">
                  <c:v>7.98769026559379</c:v>
                </c:pt>
                <c:pt idx="619">
                  <c:v>7.99241196319455</c:v>
                </c:pt>
                <c:pt idx="620">
                  <c:v>7.99632640466031</c:v>
                </c:pt>
                <c:pt idx="621">
                  <c:v>7.99954073332406</c:v>
                </c:pt>
                <c:pt idx="622">
                  <c:v>8.00214828658923</c:v>
                </c:pt>
                <c:pt idx="623">
                  <c:v>8.00423085356707</c:v>
                </c:pt>
                <c:pt idx="624">
                  <c:v>8.00586042300433</c:v>
                </c:pt>
                <c:pt idx="625">
                  <c:v>8.00710055704521</c:v>
                </c:pt>
                <c:pt idx="626">
                  <c:v>8.00800748752024</c:v>
                </c:pt>
                <c:pt idx="627">
                  <c:v>8.00863100466989</c:v>
                </c:pt>
                <c:pt idx="628">
                  <c:v>8.00901518941184</c:v>
                </c:pt>
                <c:pt idx="629">
                  <c:v>8.00919902683784</c:v>
                </c:pt>
                <c:pt idx="630">
                  <c:v>8.00921692889924</c:v>
                </c:pt>
                <c:pt idx="631">
                  <c:v>8.0090991870912</c:v>
                </c:pt>
                <c:pt idx="632">
                  <c:v>8.00887237063449</c:v>
                </c:pt>
                <c:pt idx="633">
                  <c:v>8.0085596816719</c:v>
                </c:pt>
                <c:pt idx="634">
                  <c:v>8.00818127599523</c:v>
                </c:pt>
                <c:pt idx="635">
                  <c:v>8.00775455555373</c:v>
                </c:pt>
                <c:pt idx="636">
                  <c:v>8.00729443728753</c:v>
                </c:pt>
                <c:pt idx="637">
                  <c:v>8.00681360155272</c:v>
                </c:pt>
                <c:pt idx="638">
                  <c:v>8.00632272246176</c:v>
                </c:pt>
                <c:pt idx="639">
                  <c:v>8.00583068177874</c:v>
                </c:pt>
                <c:pt idx="640">
                  <c:v>8.00534476752648</c:v>
                </c:pt>
                <c:pt idx="641">
                  <c:v>8.00487085813588</c:v>
                </c:pt>
                <c:pt idx="642">
                  <c:v>8.00441359275868</c:v>
                </c:pt>
                <c:pt idx="643">
                  <c:v>8.00397652824497</c:v>
                </c:pt>
                <c:pt idx="644">
                  <c:v>8.00356228323046</c:v>
                </c:pt>
                <c:pt idx="645">
                  <c:v>8.00317266976554</c:v>
                </c:pt>
                <c:pt idx="646">
                  <c:v>8.00280881293562</c:v>
                </c:pt>
                <c:pt idx="647">
                  <c:v>8.00247125895486</c:v>
                </c:pt>
                <c:pt idx="648">
                  <c:v>8.00216007225542</c:v>
                </c:pt>
                <c:pt idx="649">
                  <c:v>8.00187492213566</c:v>
                </c:pt>
                <c:pt idx="650">
                  <c:v>9.0371881922737</c:v>
                </c:pt>
                <c:pt idx="651">
                  <c:v>9.75933572400574</c:v>
                </c:pt>
                <c:pt idx="652">
                  <c:v>9.93360830903891</c:v>
                </c:pt>
                <c:pt idx="653">
                  <c:v>10.0188791913431</c:v>
                </c:pt>
                <c:pt idx="654">
                  <c:v>10.0571267432786</c:v>
                </c:pt>
                <c:pt idx="655">
                  <c:v>10.0642680818996</c:v>
                </c:pt>
                <c:pt idx="656">
                  <c:v>10.0459056734131</c:v>
                </c:pt>
                <c:pt idx="657">
                  <c:v>10.002487903792</c:v>
                </c:pt>
                <c:pt idx="658">
                  <c:v>9.9299256893794</c:v>
                </c:pt>
                <c:pt idx="659">
                  <c:v>9.81698444227998</c:v>
                </c:pt>
                <c:pt idx="660">
                  <c:v>9.63448056016047</c:v>
                </c:pt>
                <c:pt idx="661">
                  <c:v>9.27470413450086</c:v>
                </c:pt>
                <c:pt idx="662">
                  <c:v>5.29288220839676</c:v>
                </c:pt>
                <c:pt idx="663">
                  <c:v>4.62603960374537</c:v>
                </c:pt>
                <c:pt idx="664">
                  <c:v>4.28009594272079</c:v>
                </c:pt>
                <c:pt idx="665">
                  <c:v>4.09956788340228</c:v>
                </c:pt>
                <c:pt idx="666">
                  <c:v>3.99136197438586</c:v>
                </c:pt>
                <c:pt idx="667">
                  <c:v>3.91969569485701</c:v>
                </c:pt>
                <c:pt idx="668">
                  <c:v>3.87090755472226</c:v>
                </c:pt>
                <c:pt idx="669">
                  <c:v>3.83794314810966</c:v>
                </c:pt>
                <c:pt idx="670">
                  <c:v>3.81680459820041</c:v>
                </c:pt>
                <c:pt idx="671">
                  <c:v>3.80505408454143</c:v>
                </c:pt>
                <c:pt idx="672">
                  <c:v>3.80114274748634</c:v>
                </c:pt>
                <c:pt idx="673">
                  <c:v>3.8040753713833</c:v>
                </c:pt>
                <c:pt idx="674">
                  <c:v>3.81323164778577</c:v>
                </c:pt>
                <c:pt idx="675">
                  <c:v>3.82826847083281</c:v>
                </c:pt>
                <c:pt idx="676">
                  <c:v>3.8490690185908</c:v>
                </c:pt>
                <c:pt idx="677">
                  <c:v>3.87572294318767</c:v>
                </c:pt>
                <c:pt idx="678">
                  <c:v>3.90853178904785</c:v>
                </c:pt>
                <c:pt idx="679">
                  <c:v>3.9480405643234</c:v>
                </c:pt>
                <c:pt idx="680">
                  <c:v>3.99510354642554</c:v>
                </c:pt>
                <c:pt idx="681">
                  <c:v>4.05100350309152</c:v>
                </c:pt>
                <c:pt idx="682">
                  <c:v>4.11766541640614</c:v>
                </c:pt>
                <c:pt idx="683">
                  <c:v>4.19805597379087</c:v>
                </c:pt>
                <c:pt idx="684">
                  <c:v>4.29699124419737</c:v>
                </c:pt>
                <c:pt idx="685">
                  <c:v>4.42297654452432</c:v>
                </c:pt>
                <c:pt idx="686">
                  <c:v>4.59323836705848</c:v>
                </c:pt>
                <c:pt idx="687">
                  <c:v>4.85254563211014</c:v>
                </c:pt>
                <c:pt idx="688">
                  <c:v>5.42269943916887</c:v>
                </c:pt>
                <c:pt idx="689">
                  <c:v>8.6645308412536</c:v>
                </c:pt>
                <c:pt idx="690">
                  <c:v>9.0272029721624</c:v>
                </c:pt>
                <c:pt idx="691">
                  <c:v>9.18161756948126</c:v>
                </c:pt>
                <c:pt idx="692">
                  <c:v>9.22909029319649</c:v>
                </c:pt>
                <c:pt idx="693">
                  <c:v>9.20132223367009</c:v>
                </c:pt>
                <c:pt idx="694">
                  <c:v>9.10305241152599</c:v>
                </c:pt>
                <c:pt idx="695">
                  <c:v>8.91562923343546</c:v>
                </c:pt>
                <c:pt idx="696">
                  <c:v>8.56705178167298</c:v>
                </c:pt>
                <c:pt idx="697">
                  <c:v>7.06098502568463</c:v>
                </c:pt>
                <c:pt idx="698">
                  <c:v>5.55696968986079</c:v>
                </c:pt>
                <c:pt idx="699">
                  <c:v>5.29666808879384</c:v>
                </c:pt>
                <c:pt idx="700">
                  <c:v>5.13385310852102</c:v>
                </c:pt>
                <c:pt idx="701">
                  <c:v>5.04174364238497</c:v>
                </c:pt>
                <c:pt idx="702">
                  <c:v>4.99232013681049</c:v>
                </c:pt>
                <c:pt idx="703">
                  <c:v>4.97366905626978</c:v>
                </c:pt>
                <c:pt idx="704">
                  <c:v>4.97963727090167</c:v>
                </c:pt>
                <c:pt idx="705">
                  <c:v>5.0074395797422</c:v>
                </c:pt>
                <c:pt idx="706">
                  <c:v>5.05653956123592</c:v>
                </c:pt>
                <c:pt idx="707">
                  <c:v>5.12834367348185</c:v>
                </c:pt>
                <c:pt idx="708">
                  <c:v>5.22655562406831</c:v>
                </c:pt>
                <c:pt idx="709">
                  <c:v>5.35858369969861</c:v>
                </c:pt>
                <c:pt idx="710">
                  <c:v>5.54013385558395</c:v>
                </c:pt>
                <c:pt idx="711">
                  <c:v>5.81609054566947</c:v>
                </c:pt>
                <c:pt idx="712">
                  <c:v>6.44844708336659</c:v>
                </c:pt>
                <c:pt idx="713">
                  <c:v>7.81242283818987</c:v>
                </c:pt>
                <c:pt idx="714">
                  <c:v>8.06971547549815</c:v>
                </c:pt>
                <c:pt idx="715">
                  <c:v>8.19639706719849</c:v>
                </c:pt>
                <c:pt idx="716">
                  <c:v>8.27917213978851</c:v>
                </c:pt>
                <c:pt idx="717">
                  <c:v>8.3363807817543</c:v>
                </c:pt>
                <c:pt idx="718">
                  <c:v>8.37718845319746</c:v>
                </c:pt>
                <c:pt idx="719">
                  <c:v>8.40647579193628</c:v>
                </c:pt>
                <c:pt idx="720">
                  <c:v>8.42715541126452</c:v>
                </c:pt>
                <c:pt idx="721">
                  <c:v>8.44110585431793</c:v>
                </c:pt>
                <c:pt idx="722">
                  <c:v>8.44961079260708</c:v>
                </c:pt>
                <c:pt idx="723">
                  <c:v>8.45358801197221</c:v>
                </c:pt>
                <c:pt idx="724">
                  <c:v>8.45371859051666</c:v>
                </c:pt>
                <c:pt idx="725">
                  <c:v>8.45052452547289</c:v>
                </c:pt>
                <c:pt idx="726">
                  <c:v>8.44441790559486</c:v>
                </c:pt>
                <c:pt idx="727">
                  <c:v>8.43573351768871</c:v>
                </c:pt>
                <c:pt idx="728">
                  <c:v>8.42475137929177</c:v>
                </c:pt>
                <c:pt idx="729">
                  <c:v>8.41171291754384</c:v>
                </c:pt>
                <c:pt idx="730">
                  <c:v>8.39683300865233</c:v>
                </c:pt>
                <c:pt idx="731">
                  <c:v>8.38030923168335</c:v>
                </c:pt>
                <c:pt idx="732">
                  <c:v>8.36232917304229</c:v>
                </c:pt>
                <c:pt idx="733">
                  <c:v>8.34307629000506</c:v>
                </c:pt>
                <c:pt idx="734">
                  <c:v>8.32273462150201</c:v>
                </c:pt>
                <c:pt idx="735">
                  <c:v>8.30149247824842</c:v>
                </c:pt>
                <c:pt idx="736">
                  <c:v>8.27954512964401</c:v>
                </c:pt>
                <c:pt idx="737">
                  <c:v>8.25709642201268</c:v>
                </c:pt>
                <c:pt idx="738">
                  <c:v>8.23435921075437</c:v>
                </c:pt>
                <c:pt idx="739">
                  <c:v>8.21155447253687</c:v>
                </c:pt>
                <c:pt idx="740">
                  <c:v>8.18890899015898</c:v>
                </c:pt>
                <c:pt idx="741">
                  <c:v>8.16665157840429</c:v>
                </c:pt>
                <c:pt idx="742">
                  <c:v>8.14500794440557</c:v>
                </c:pt>
                <c:pt idx="743">
                  <c:v>8.12419444036158</c:v>
                </c:pt>
                <c:pt idx="744">
                  <c:v>8.1044111457763</c:v>
                </c:pt>
                <c:pt idx="745">
                  <c:v>8.08583487407477</c:v>
                </c:pt>
                <c:pt idx="746">
                  <c:v>8.06861279231516</c:v>
                </c:pt>
                <c:pt idx="747">
                  <c:v>8.05285733722678</c:v>
                </c:pt>
                <c:pt idx="748">
                  <c:v>8.03864299058335</c:v>
                </c:pt>
                <c:pt idx="749">
                  <c:v>8.02600525564593</c:v>
                </c:pt>
                <c:pt idx="750">
                  <c:v>8.01494189591974</c:v>
                </c:pt>
                <c:pt idx="751">
                  <c:v>8.00541621605859</c:v>
                </c:pt>
                <c:pt idx="752">
                  <c:v>7.99736193905691</c:v>
                </c:pt>
                <c:pt idx="753">
                  <c:v>7.99068910206533</c:v>
                </c:pt>
                <c:pt idx="754">
                  <c:v>7.98529036620151</c:v>
                </c:pt>
                <c:pt idx="755">
                  <c:v>7.98104719897275</c:v>
                </c:pt>
                <c:pt idx="756">
                  <c:v>7.97783551054972</c:v>
                </c:pt>
                <c:pt idx="757">
                  <c:v>7.97553047200413</c:v>
                </c:pt>
                <c:pt idx="758">
                  <c:v>7.97401038497505</c:v>
                </c:pt>
                <c:pt idx="759">
                  <c:v>7.97315958866158</c:v>
                </c:pt>
                <c:pt idx="760">
                  <c:v>7.97287047309404</c:v>
                </c:pt>
                <c:pt idx="761">
                  <c:v>7.97304471743759</c:v>
                </c:pt>
                <c:pt idx="762">
                  <c:v>7.97359389397969</c:v>
                </c:pt>
                <c:pt idx="763">
                  <c:v>7.97443957990604</c:v>
                </c:pt>
                <c:pt idx="764">
                  <c:v>7.97551310739098</c:v>
                </c:pt>
                <c:pt idx="765">
                  <c:v>7.97675506407674</c:v>
                </c:pt>
                <c:pt idx="766">
                  <c:v>7.97811463519671</c:v>
                </c:pt>
                <c:pt idx="767">
                  <c:v>7.97954885832975</c:v>
                </c:pt>
                <c:pt idx="768">
                  <c:v>7.98102184369188</c:v>
                </c:pt>
                <c:pt idx="769">
                  <c:v>7.98250399768631</c:v>
                </c:pt>
                <c:pt idx="770">
                  <c:v>7.9839712752623</c:v>
                </c:pt>
                <c:pt idx="771">
                  <c:v>7.98540447724895</c:v>
                </c:pt>
                <c:pt idx="772">
                  <c:v>7.98678860184313</c:v>
                </c:pt>
                <c:pt idx="773">
                  <c:v>7.98811225440642</c:v>
                </c:pt>
                <c:pt idx="774">
                  <c:v>7.989367116245</c:v>
                </c:pt>
                <c:pt idx="775">
                  <c:v>7.99054747073955</c:v>
                </c:pt>
                <c:pt idx="776">
                  <c:v>7.99164978375576</c:v>
                </c:pt>
                <c:pt idx="777">
                  <c:v>7.99267233445277</c:v>
                </c:pt>
                <c:pt idx="778">
                  <c:v>7.99361489223164</c:v>
                </c:pt>
                <c:pt idx="779">
                  <c:v>7.9944784354831</c:v>
                </c:pt>
                <c:pt idx="780">
                  <c:v>7.99526490790271</c:v>
                </c:pt>
                <c:pt idx="781">
                  <c:v>7.99597700836383</c:v>
                </c:pt>
                <c:pt idx="782">
                  <c:v>7.99661801062625</c:v>
                </c:pt>
                <c:pt idx="783">
                  <c:v>7.99719160947116</c:v>
                </c:pt>
                <c:pt idx="784">
                  <c:v>7.99770179017201</c:v>
                </c:pt>
                <c:pt idx="785">
                  <c:v>7.99815271851758</c:v>
                </c:pt>
                <c:pt idx="786">
                  <c:v>7.99854864889247</c:v>
                </c:pt>
                <c:pt idx="787">
                  <c:v>7.9988938481865</c:v>
                </c:pt>
                <c:pt idx="788">
                  <c:v>7.99919253354442</c:v>
                </c:pt>
                <c:pt idx="789">
                  <c:v>7.99944882218423</c:v>
                </c:pt>
                <c:pt idx="790">
                  <c:v>7.9996666917066</c:v>
                </c:pt>
                <c:pt idx="791">
                  <c:v>7.99984994948966</c:v>
                </c:pt>
                <c:pt idx="792">
                  <c:v>8.00000220991772</c:v>
                </c:pt>
                <c:pt idx="793">
                  <c:v>8.00012687832908</c:v>
                </c:pt>
                <c:pt idx="794">
                  <c:v>8.00022714069015</c:v>
                </c:pt>
                <c:pt idx="795">
                  <c:v>8.00030595811345</c:v>
                </c:pt>
                <c:pt idx="796">
                  <c:v>8.00036606543455</c:v>
                </c:pt>
                <c:pt idx="797">
                  <c:v>8.00040997315188</c:v>
                </c:pt>
                <c:pt idx="798">
                  <c:v>8.00043997211382</c:v>
                </c:pt>
                <c:pt idx="799">
                  <c:v>8.00045814041008</c:v>
                </c:pt>
                <c:pt idx="800">
                  <c:v>8.00046635199007</c:v>
                </c:pt>
                <c:pt idx="801">
                  <c:v>7.97931543428527</c:v>
                </c:pt>
                <c:pt idx="802">
                  <c:v>7.85139843658346</c:v>
                </c:pt>
                <c:pt idx="803">
                  <c:v>7.68544745296766</c:v>
                </c:pt>
                <c:pt idx="804">
                  <c:v>7.46717082163152</c:v>
                </c:pt>
                <c:pt idx="805">
                  <c:v>7.18629255057154</c:v>
                </c:pt>
                <c:pt idx="806">
                  <c:v>6.91304204086953</c:v>
                </c:pt>
                <c:pt idx="807">
                  <c:v>6.76040372052069</c:v>
                </c:pt>
                <c:pt idx="808">
                  <c:v>6.6935222096858</c:v>
                </c:pt>
                <c:pt idx="809">
                  <c:v>6.6631964523769</c:v>
                </c:pt>
                <c:pt idx="810">
                  <c:v>6.655230489484</c:v>
                </c:pt>
                <c:pt idx="811">
                  <c:v>6.66158156185179</c:v>
                </c:pt>
                <c:pt idx="812">
                  <c:v>6.67676359341905</c:v>
                </c:pt>
                <c:pt idx="813">
                  <c:v>6.69736976343895</c:v>
                </c:pt>
                <c:pt idx="814">
                  <c:v>6.72094493833063</c:v>
                </c:pt>
                <c:pt idx="815">
                  <c:v>6.74569386783477</c:v>
                </c:pt>
                <c:pt idx="816">
                  <c:v>6.77034424857363</c:v>
                </c:pt>
                <c:pt idx="817">
                  <c:v>6.79403690380761</c:v>
                </c:pt>
                <c:pt idx="818">
                  <c:v>6.81624264433021</c:v>
                </c:pt>
                <c:pt idx="819">
                  <c:v>6.83668325774471</c:v>
                </c:pt>
                <c:pt idx="820">
                  <c:v>6.855258667549</c:v>
                </c:pt>
                <c:pt idx="821">
                  <c:v>6.87198612136951</c:v>
                </c:pt>
                <c:pt idx="822">
                  <c:v>6.88695356322597</c:v>
                </c:pt>
                <c:pt idx="823">
                  <c:v>6.90028661087229</c:v>
                </c:pt>
                <c:pt idx="824">
                  <c:v>6.9121267872822</c:v>
                </c:pt>
                <c:pt idx="825">
                  <c:v>6.92261811007652</c:v>
                </c:pt>
                <c:pt idx="826">
                  <c:v>6.93189942341633</c:v>
                </c:pt>
                <c:pt idx="827">
                  <c:v>6.9401004377484</c:v>
                </c:pt>
                <c:pt idx="828">
                  <c:v>6.94734003694627</c:v>
                </c:pt>
                <c:pt idx="829">
                  <c:v>6.95372589947381</c:v>
                </c:pt>
                <c:pt idx="830">
                  <c:v>6.95935483429546</c:v>
                </c:pt>
                <c:pt idx="831">
                  <c:v>6.9643134709974</c:v>
                </c:pt>
                <c:pt idx="832">
                  <c:v>6.96867909617918</c:v>
                </c:pt>
                <c:pt idx="833">
                  <c:v>6.9725205216897</c:v>
                </c:pt>
                <c:pt idx="834">
                  <c:v>6.97589892552905</c:v>
                </c:pt>
                <c:pt idx="835">
                  <c:v>6.97886863774245</c:v>
                </c:pt>
                <c:pt idx="836">
                  <c:v>6.98147786088717</c:v>
                </c:pt>
                <c:pt idx="837">
                  <c:v>6.98376932363818</c:v>
                </c:pt>
                <c:pt idx="838">
                  <c:v>6.98578087043031</c:v>
                </c:pt>
                <c:pt idx="839">
                  <c:v>6.98754599184249</c:v>
                </c:pt>
                <c:pt idx="840">
                  <c:v>6.98909430094726</c:v>
                </c:pt>
                <c:pt idx="841">
                  <c:v>6.99045196074301</c:v>
                </c:pt>
                <c:pt idx="842">
                  <c:v>6.99164206742006</c:v>
                </c:pt>
                <c:pt idx="843">
                  <c:v>6.99268499377612</c:v>
                </c:pt>
                <c:pt idx="844">
                  <c:v>6.9935986966619</c:v>
                </c:pt>
                <c:pt idx="845">
                  <c:v>6.99439899194902</c:v>
                </c:pt>
                <c:pt idx="846">
                  <c:v>6.99509980017101</c:v>
                </c:pt>
                <c:pt idx="847">
                  <c:v>6.99571336569057</c:v>
                </c:pt>
                <c:pt idx="848">
                  <c:v>6.99625045198652</c:v>
                </c:pt>
                <c:pt idx="849">
                  <c:v>6.99672051542663</c:v>
                </c:pt>
                <c:pt idx="850">
                  <c:v>6.99713185968283</c:v>
                </c:pt>
                <c:pt idx="851">
                  <c:v>6.99749177276287</c:v>
                </c:pt>
                <c:pt idx="852">
                  <c:v>6.99780664845427</c:v>
                </c:pt>
                <c:pt idx="853">
                  <c:v>6.99808209382002</c:v>
                </c:pt>
                <c:pt idx="854">
                  <c:v>6.9983230242366</c:v>
                </c:pt>
                <c:pt idx="855">
                  <c:v>6.99853374732361</c:v>
                </c:pt>
                <c:pt idx="856">
                  <c:v>6.99871803698824</c:v>
                </c:pt>
                <c:pt idx="857">
                  <c:v>6.99887919868726</c:v>
                </c:pt>
                <c:pt idx="858">
                  <c:v>6.99902012689645</c:v>
                </c:pt>
                <c:pt idx="859">
                  <c:v>6.99914335567922</c:v>
                </c:pt>
                <c:pt idx="860">
                  <c:v>6.99925110315052</c:v>
                </c:pt>
                <c:pt idx="861">
                  <c:v>6.99934531054747</c:v>
                </c:pt>
                <c:pt idx="862">
                  <c:v>6.99942767654074</c:v>
                </c:pt>
                <c:pt idx="863">
                  <c:v>6.9994996873498</c:v>
                </c:pt>
                <c:pt idx="864">
                  <c:v>6.99956264316375</c:v>
                </c:pt>
                <c:pt idx="865">
                  <c:v>6.99961768131107</c:v>
                </c:pt>
                <c:pt idx="866">
                  <c:v>6.99966579656878</c:v>
                </c:pt>
                <c:pt idx="867">
                  <c:v>6.9997078589607</c:v>
                </c:pt>
                <c:pt idx="868">
                  <c:v>6.99974462934908</c:v>
                </c:pt>
                <c:pt idx="869">
                  <c:v>6.99977677308997</c:v>
                </c:pt>
                <c:pt idx="870">
                  <c:v>6.99980487198998</c:v>
                </c:pt>
                <c:pt idx="871">
                  <c:v>6.99982943477254</c:v>
                </c:pt>
                <c:pt idx="872">
                  <c:v>6.99985090624024</c:v>
                </c:pt>
                <c:pt idx="873">
                  <c:v>6.99986967529209</c:v>
                </c:pt>
                <c:pt idx="874">
                  <c:v>6.99988608193808</c:v>
                </c:pt>
                <c:pt idx="875">
                  <c:v>6.999900423437</c:v>
                </c:pt>
                <c:pt idx="876">
                  <c:v>6.9999129596654</c:v>
                </c:pt>
                <c:pt idx="877">
                  <c:v>6.99992391781285</c:v>
                </c:pt>
                <c:pt idx="878">
                  <c:v>6.99993349649001</c:v>
                </c:pt>
                <c:pt idx="879">
                  <c:v>6.99994186932107</c:v>
                </c:pt>
                <c:pt idx="880">
                  <c:v>6.99994918808466</c:v>
                </c:pt>
                <c:pt idx="881">
                  <c:v>6.99995558546071</c:v>
                </c:pt>
                <c:pt idx="882">
                  <c:v>6.99996117743267</c:v>
                </c:pt>
                <c:pt idx="883">
                  <c:v>6.99996606538696</c:v>
                </c:pt>
                <c:pt idx="884">
                  <c:v>6.9999703379498</c:v>
                </c:pt>
                <c:pt idx="885">
                  <c:v>6.99997407259256</c:v>
                </c:pt>
                <c:pt idx="886">
                  <c:v>6.99997733703497</c:v>
                </c:pt>
                <c:pt idx="887">
                  <c:v>6.99998019047276</c:v>
                </c:pt>
                <c:pt idx="888">
                  <c:v>6.99998268465043</c:v>
                </c:pt>
                <c:pt idx="889">
                  <c:v>6.9999848647979</c:v>
                </c:pt>
                <c:pt idx="890">
                  <c:v>6.99998677045162</c:v>
                </c:pt>
                <c:pt idx="891">
                  <c:v>6.99998843617095</c:v>
                </c:pt>
                <c:pt idx="892">
                  <c:v>6.99998989216445</c:v>
                </c:pt>
                <c:pt idx="893">
                  <c:v>6.99999116483735</c:v>
                </c:pt>
                <c:pt idx="894">
                  <c:v>6.99999227727039</c:v>
                </c:pt>
                <c:pt idx="895">
                  <c:v>6.9999932496386</c:v>
                </c:pt>
                <c:pt idx="896">
                  <c:v>6.99999409957696</c:v>
                </c:pt>
                <c:pt idx="897">
                  <c:v>6.99999484250029</c:v>
                </c:pt>
                <c:pt idx="898">
                  <c:v>6.99999549188276</c:v>
                </c:pt>
                <c:pt idx="899">
                  <c:v>6.99999605950171</c:v>
                </c:pt>
                <c:pt idx="900">
                  <c:v>6.99999655565178</c:v>
                </c:pt>
                <c:pt idx="901">
                  <c:v>6.99999698933141</c:v>
                </c:pt>
                <c:pt idx="902">
                  <c:v>6.99999736840652</c:v>
                </c:pt>
                <c:pt idx="903">
                  <c:v>6.99999769975223</c:v>
                </c:pt>
                <c:pt idx="904">
                  <c:v>6.99999798937821</c:v>
                </c:pt>
                <c:pt idx="905">
                  <c:v>6.99999824253714</c:v>
                </c:pt>
                <c:pt idx="906">
                  <c:v>6.99999846382075</c:v>
                </c:pt>
                <c:pt idx="907">
                  <c:v>6.99999865724248</c:v>
                </c:pt>
                <c:pt idx="908">
                  <c:v>6.99999882631041</c:v>
                </c:pt>
                <c:pt idx="909">
                  <c:v>6.9999989740909</c:v>
                </c:pt>
                <c:pt idx="910">
                  <c:v>6.9999991032641</c:v>
                </c:pt>
                <c:pt idx="911">
                  <c:v>6.99999921617307</c:v>
                </c:pt>
                <c:pt idx="912">
                  <c:v>6.99999931486557</c:v>
                </c:pt>
                <c:pt idx="913">
                  <c:v>6.99999940113165</c:v>
                </c:pt>
                <c:pt idx="914">
                  <c:v>6.99999947653582</c:v>
                </c:pt>
                <c:pt idx="915">
                  <c:v>6.99999954244576</c:v>
                </c:pt>
                <c:pt idx="916">
                  <c:v>6.99999960005693</c:v>
                </c:pt>
                <c:pt idx="917">
                  <c:v>6.99999965041434</c:v>
                </c:pt>
                <c:pt idx="918">
                  <c:v>6.99999969443121</c:v>
                </c:pt>
                <c:pt idx="919">
                  <c:v>6.99999973290602</c:v>
                </c:pt>
                <c:pt idx="920">
                  <c:v>6.99999976653642</c:v>
                </c:pt>
                <c:pt idx="921">
                  <c:v>6.99999979593219</c:v>
                </c:pt>
                <c:pt idx="922">
                  <c:v>6.9999998216267</c:v>
                </c:pt>
                <c:pt idx="923">
                  <c:v>6.99999984408582</c:v>
                </c:pt>
                <c:pt idx="924">
                  <c:v>6.99999986371713</c:v>
                </c:pt>
                <c:pt idx="925">
                  <c:v>6.99999988087665</c:v>
                </c:pt>
                <c:pt idx="926">
                  <c:v>6.99999989587552</c:v>
                </c:pt>
                <c:pt idx="927">
                  <c:v>6.99999990898597</c:v>
                </c:pt>
                <c:pt idx="928">
                  <c:v>6.99999992044573</c:v>
                </c:pt>
                <c:pt idx="929">
                  <c:v>6.99999993046253</c:v>
                </c:pt>
                <c:pt idx="930">
                  <c:v>6.99999993921812</c:v>
                </c:pt>
                <c:pt idx="931">
                  <c:v>6.9999999468713</c:v>
                </c:pt>
                <c:pt idx="932">
                  <c:v>6.99999995356103</c:v>
                </c:pt>
                <c:pt idx="933">
                  <c:v>6.99999995940841</c:v>
                </c:pt>
                <c:pt idx="934">
                  <c:v>6.99999996451955</c:v>
                </c:pt>
                <c:pt idx="935">
                  <c:v>6.99999996898704</c:v>
                </c:pt>
                <c:pt idx="936">
                  <c:v>6.99999997289201</c:v>
                </c:pt>
                <c:pt idx="937">
                  <c:v>6.99999997630531</c:v>
                </c:pt>
                <c:pt idx="938">
                  <c:v>6.99999997928884</c:v>
                </c:pt>
                <c:pt idx="939">
                  <c:v>6.99999998189674</c:v>
                </c:pt>
                <c:pt idx="940">
                  <c:v>6.99999998417621</c:v>
                </c:pt>
                <c:pt idx="941">
                  <c:v>6.99999998616861</c:v>
                </c:pt>
                <c:pt idx="942">
                  <c:v>6.99999998791017</c:v>
                </c:pt>
                <c:pt idx="943">
                  <c:v>6.99999998943257</c:v>
                </c:pt>
                <c:pt idx="944">
                  <c:v>6.99999999076317</c:v>
                </c:pt>
                <c:pt idx="945">
                  <c:v>6.99999999192632</c:v>
                </c:pt>
                <c:pt idx="946">
                  <c:v>6.99999999294276</c:v>
                </c:pt>
                <c:pt idx="947">
                  <c:v>6.99999999383105</c:v>
                </c:pt>
                <c:pt idx="948">
                  <c:v>6.99999999460758</c:v>
                </c:pt>
                <c:pt idx="949">
                  <c:v>6.9999999952865</c:v>
                </c:pt>
                <c:pt idx="950">
                  <c:v>6.99999999587976</c:v>
                </c:pt>
                <c:pt idx="951">
                  <c:v>6.99999999639825</c:v>
                </c:pt>
                <c:pt idx="952">
                  <c:v>6.99999999685159</c:v>
                </c:pt>
                <c:pt idx="953">
                  <c:v>6.99999999724803</c:v>
                </c:pt>
                <c:pt idx="954">
                  <c:v>6.99999999759434</c:v>
                </c:pt>
                <c:pt idx="955">
                  <c:v>6.99999999789705</c:v>
                </c:pt>
                <c:pt idx="956">
                  <c:v>6.99999999816166</c:v>
                </c:pt>
                <c:pt idx="957">
                  <c:v>6.99999999839283</c:v>
                </c:pt>
                <c:pt idx="958">
                  <c:v>6.99999999859481</c:v>
                </c:pt>
                <c:pt idx="959">
                  <c:v>6.99999999877148</c:v>
                </c:pt>
                <c:pt idx="960">
                  <c:v>6.99999999892617</c:v>
                </c:pt>
                <c:pt idx="961">
                  <c:v>6.99999999906137</c:v>
                </c:pt>
                <c:pt idx="962">
                  <c:v>6.99999999917957</c:v>
                </c:pt>
                <c:pt idx="963">
                  <c:v>6.99999999928293</c:v>
                </c:pt>
                <c:pt idx="964">
                  <c:v>6.99999999937312</c:v>
                </c:pt>
                <c:pt idx="965">
                  <c:v>6.99999999945209</c:v>
                </c:pt>
                <c:pt idx="966">
                  <c:v>6.99999999952099</c:v>
                </c:pt>
                <c:pt idx="967">
                  <c:v>6.99999999958147</c:v>
                </c:pt>
                <c:pt idx="968">
                  <c:v>6.99999999963447</c:v>
                </c:pt>
                <c:pt idx="969">
                  <c:v>6.99999999968068</c:v>
                </c:pt>
                <c:pt idx="970">
                  <c:v>6.99999999972078</c:v>
                </c:pt>
                <c:pt idx="971">
                  <c:v>6.9999999997559</c:v>
                </c:pt>
                <c:pt idx="972">
                  <c:v>6.99999999978681</c:v>
                </c:pt>
                <c:pt idx="973">
                  <c:v>6.99999999981397</c:v>
                </c:pt>
                <c:pt idx="974">
                  <c:v>6.99999999983763</c:v>
                </c:pt>
                <c:pt idx="975">
                  <c:v>6.99999999985817</c:v>
                </c:pt>
                <c:pt idx="976">
                  <c:v>6.99999999987597</c:v>
                </c:pt>
                <c:pt idx="977">
                  <c:v>6.99999999989142</c:v>
                </c:pt>
                <c:pt idx="978">
                  <c:v>6.99999999990511</c:v>
                </c:pt>
                <c:pt idx="979">
                  <c:v>6.99999999991701</c:v>
                </c:pt>
                <c:pt idx="980">
                  <c:v>6.99999999992724</c:v>
                </c:pt>
                <c:pt idx="981">
                  <c:v>6.99999999993645</c:v>
                </c:pt>
                <c:pt idx="982">
                  <c:v>6.99999999994481</c:v>
                </c:pt>
                <c:pt idx="983">
                  <c:v>6.99999999995239</c:v>
                </c:pt>
                <c:pt idx="984">
                  <c:v>6.99999999995881</c:v>
                </c:pt>
                <c:pt idx="985">
                  <c:v>6.9999999999639</c:v>
                </c:pt>
                <c:pt idx="986">
                  <c:v>6.99999999996848</c:v>
                </c:pt>
                <c:pt idx="987">
                  <c:v>6.99999999997263</c:v>
                </c:pt>
                <c:pt idx="988">
                  <c:v>6.9999999999764</c:v>
                </c:pt>
                <c:pt idx="989">
                  <c:v>6.99999999997982</c:v>
                </c:pt>
                <c:pt idx="990">
                  <c:v>6.99999999998292</c:v>
                </c:pt>
                <c:pt idx="991">
                  <c:v>6.99999999998574</c:v>
                </c:pt>
                <c:pt idx="992">
                  <c:v>6.99999999998829</c:v>
                </c:pt>
                <c:pt idx="993">
                  <c:v>6.9999999999906</c:v>
                </c:pt>
                <c:pt idx="994">
                  <c:v>6.9999999999927</c:v>
                </c:pt>
                <c:pt idx="995">
                  <c:v>6.99999999999461</c:v>
                </c:pt>
                <c:pt idx="996">
                  <c:v>6.99999999999634</c:v>
                </c:pt>
                <c:pt idx="997">
                  <c:v>6.9999999999979</c:v>
                </c:pt>
                <c:pt idx="998">
                  <c:v>6.99999999999933</c:v>
                </c:pt>
                <c:pt idx="999">
                  <c:v>7.00000000000062</c:v>
                </c:pt>
                <c:pt idx="1000">
                  <c:v>7.00000000000161</c:v>
                </c:pt>
                <c:pt idx="1001">
                  <c:v>6.92108285752609</c:v>
                </c:pt>
                <c:pt idx="1002">
                  <c:v>6.58569355253509</c:v>
                </c:pt>
                <c:pt idx="1003">
                  <c:v>6.44456138913473</c:v>
                </c:pt>
                <c:pt idx="1004">
                  <c:v>6.35772883985773</c:v>
                </c:pt>
                <c:pt idx="1005">
                  <c:v>6.29296067958315</c:v>
                </c:pt>
                <c:pt idx="1006">
                  <c:v>6.24613157261217</c:v>
                </c:pt>
                <c:pt idx="1007">
                  <c:v>6.21002201653995</c:v>
                </c:pt>
                <c:pt idx="1008">
                  <c:v>6.18137673606096</c:v>
                </c:pt>
                <c:pt idx="1009">
                  <c:v>6.15814402291489</c:v>
                </c:pt>
                <c:pt idx="1010">
                  <c:v>6.13895542873736</c:v>
                </c:pt>
                <c:pt idx="1011">
                  <c:v>6.12287885403273</c:v>
                </c:pt>
                <c:pt idx="1012">
                  <c:v>6.10924966302291</c:v>
                </c:pt>
                <c:pt idx="1013">
                  <c:v>6.09758069599513</c:v>
                </c:pt>
                <c:pt idx="1014">
                  <c:v>6.08750592973793</c:v>
                </c:pt>
                <c:pt idx="1015">
                  <c:v>6.07874457659625</c:v>
                </c:pt>
                <c:pt idx="1016">
                  <c:v>6.07107741810722</c:v>
                </c:pt>
                <c:pt idx="1017">
                  <c:v>6.06433069178856</c:v>
                </c:pt>
                <c:pt idx="1018">
                  <c:v>6.05836484072912</c:v>
                </c:pt>
                <c:pt idx="1019">
                  <c:v>6.05306647859029</c:v>
                </c:pt>
                <c:pt idx="1020">
                  <c:v>6.04834253617033</c:v>
                </c:pt>
                <c:pt idx="1021">
                  <c:v>6.04411592192677</c:v>
                </c:pt>
                <c:pt idx="1022">
                  <c:v>6.040322254436</c:v>
                </c:pt>
                <c:pt idx="1023">
                  <c:v>6.03690736758093</c:v>
                </c:pt>
                <c:pt idx="1024">
                  <c:v>6.03382538183863</c:v>
                </c:pt>
                <c:pt idx="1025">
                  <c:v>6.03103719637402</c:v>
                </c:pt>
                <c:pt idx="1026">
                  <c:v>6.02850929808878</c:v>
                </c:pt>
                <c:pt idx="1027">
                  <c:v>6.02621281228018</c:v>
                </c:pt>
                <c:pt idx="1028">
                  <c:v>6.02412273949669</c:v>
                </c:pt>
                <c:pt idx="1029">
                  <c:v>6.02221733732335</c:v>
                </c:pt>
                <c:pt idx="1030">
                  <c:v>6.02047761601135</c:v>
                </c:pt>
                <c:pt idx="1031">
                  <c:v>6.01888692428669</c:v>
                </c:pt>
                <c:pt idx="1032">
                  <c:v>6.01743060714586</c:v>
                </c:pt>
                <c:pt idx="1033">
                  <c:v>6.01609572152749</c:v>
                </c:pt>
                <c:pt idx="1034">
                  <c:v>6.01487079882273</c:v>
                </c:pt>
                <c:pt idx="1035">
                  <c:v>6.01374564552493</c:v>
                </c:pt>
                <c:pt idx="1036">
                  <c:v>6.01271117511244</c:v>
                </c:pt>
                <c:pt idx="1037">
                  <c:v>6.01175926564508</c:v>
                </c:pt>
                <c:pt idx="1038">
                  <c:v>6.01088263863643</c:v>
                </c:pt>
                <c:pt idx="1039">
                  <c:v>6.0100747556119</c:v>
                </c:pt>
                <c:pt idx="1040">
                  <c:v>6.00932972943404</c:v>
                </c:pt>
                <c:pt idx="1041">
                  <c:v>6.00864224800904</c:v>
                </c:pt>
                <c:pt idx="1042">
                  <c:v>6.00800750841618</c:v>
                </c:pt>
                <c:pt idx="1043">
                  <c:v>6.00742115984387</c:v>
                </c:pt>
                <c:pt idx="1044">
                  <c:v>6.00687925399391</c:v>
                </c:pt>
                <c:pt idx="1045">
                  <c:v>6.0063782018413</c:v>
                </c:pt>
                <c:pt idx="1046">
                  <c:v>6.00591473582033</c:v>
                </c:pt>
                <c:pt idx="1047">
                  <c:v>6.00548587665865</c:v>
                </c:pt>
                <c:pt idx="1048">
                  <c:v>6.00508890420515</c:v>
                </c:pt>
                <c:pt idx="1049">
                  <c:v>6.00472133169991</c:v>
                </c:pt>
                <c:pt idx="1050">
                  <c:v>6.00438088301957</c:v>
                </c:pt>
                <c:pt idx="1051">
                  <c:v>6.00406547250186</c:v>
                </c:pt>
                <c:pt idx="1052">
                  <c:v>6.00377318701238</c:v>
                </c:pt>
                <c:pt idx="1053">
                  <c:v>6.00350226996582</c:v>
                </c:pt>
                <c:pt idx="1054">
                  <c:v>6.00325110705568</c:v>
                </c:pt>
                <c:pt idx="1055">
                  <c:v>6.00301821348094</c:v>
                </c:pt>
                <c:pt idx="1056">
                  <c:v>6.00280222248836</c:v>
                </c:pt>
                <c:pt idx="1057">
                  <c:v>6.00260187507315</c:v>
                </c:pt>
                <c:pt idx="1058">
                  <c:v>6.00241601070281</c:v>
                </c:pt>
                <c:pt idx="1059">
                  <c:v>6.00224355894639</c:v>
                </c:pt>
                <c:pt idx="1060">
                  <c:v>6.0020835319072</c:v>
                </c:pt>
                <c:pt idx="1061">
                  <c:v>6.00193501736987</c:v>
                </c:pt>
                <c:pt idx="1062">
                  <c:v>6.00179717258421</c:v>
                </c:pt>
                <c:pt idx="1063">
                  <c:v>6.00166921861761</c:v>
                </c:pt>
                <c:pt idx="1064">
                  <c:v>6.00155043521663</c:v>
                </c:pt>
                <c:pt idx="1065">
                  <c:v>6.00144015612491</c:v>
                </c:pt>
                <c:pt idx="1066">
                  <c:v>6.00133776481147</c:v>
                </c:pt>
                <c:pt idx="1067">
                  <c:v>6.00124269056845</c:v>
                </c:pt>
                <c:pt idx="1068">
                  <c:v>6.00115440494199</c:v>
                </c:pt>
                <c:pt idx="1069">
                  <c:v>6.00107241846428</c:v>
                </c:pt>
                <c:pt idx="1070">
                  <c:v>6.00099627765823</c:v>
                </c:pt>
                <c:pt idx="1071">
                  <c:v>6.00092556228912</c:v>
                </c:pt>
                <c:pt idx="1072">
                  <c:v>6.00085988284075</c:v>
                </c:pt>
                <c:pt idx="1073">
                  <c:v>6.00079887819556</c:v>
                </c:pt>
                <c:pt idx="1074">
                  <c:v>6.00074221350078</c:v>
                </c:pt>
                <c:pt idx="1075">
                  <c:v>6.00068957820394</c:v>
                </c:pt>
                <c:pt idx="1076">
                  <c:v>6.00064068424315</c:v>
                </c:pt>
                <c:pt idx="1077">
                  <c:v>6.00059526437883</c:v>
                </c:pt>
                <c:pt idx="1078">
                  <c:v>6.0005530706548</c:v>
                </c:pt>
                <c:pt idx="1079">
                  <c:v>6.00051387297819</c:v>
                </c:pt>
                <c:pt idx="1080">
                  <c:v>6.00047745780799</c:v>
                </c:pt>
                <c:pt idx="1081">
                  <c:v>6.00044362694338</c:v>
                </c:pt>
                <c:pt idx="1082">
                  <c:v>6.00041219640407</c:v>
                </c:pt>
                <c:pt idx="1083">
                  <c:v>6.00038299539461</c:v>
                </c:pt>
                <c:pt idx="1084">
                  <c:v>6.00035586534665</c:v>
                </c:pt>
                <c:pt idx="1085">
                  <c:v>6.00033065903259</c:v>
                </c:pt>
                <c:pt idx="1086">
                  <c:v>6.00030723974493</c:v>
                </c:pt>
                <c:pt idx="1087">
                  <c:v>6.00028548053678</c:v>
                </c:pt>
                <c:pt idx="1088">
                  <c:v>6.00026526351797</c:v>
                </c:pt>
                <c:pt idx="1089">
                  <c:v>6.00024647920312</c:v>
                </c:pt>
                <c:pt idx="1090">
                  <c:v>6.0002290259075</c:v>
                </c:pt>
                <c:pt idx="1091">
                  <c:v>6.00021280918715</c:v>
                </c:pt>
                <c:pt idx="1092">
                  <c:v>6.0001977413195</c:v>
                </c:pt>
                <c:pt idx="1093">
                  <c:v>6.00018374082215</c:v>
                </c:pt>
                <c:pt idx="1094">
                  <c:v>6.00017073200629</c:v>
                </c:pt>
                <c:pt idx="1095">
                  <c:v>6.00015864456254</c:v>
                </c:pt>
                <c:pt idx="1096">
                  <c:v>6.00014741317683</c:v>
                </c:pt>
                <c:pt idx="1097">
                  <c:v>6.00013697717384</c:v>
                </c:pt>
                <c:pt idx="1098">
                  <c:v>6.0001272801863</c:v>
                </c:pt>
                <c:pt idx="1099">
                  <c:v>6.00011826984789</c:v>
                </c:pt>
                <c:pt idx="1100">
                  <c:v>6.00010989750819</c:v>
                </c:pt>
                <c:pt idx="1101">
                  <c:v>6.00010211796828</c:v>
                </c:pt>
                <c:pt idx="1102">
                  <c:v>6.00009488923515</c:v>
                </c:pt>
                <c:pt idx="1103">
                  <c:v>6.00008817229375</c:v>
                </c:pt>
                <c:pt idx="1104">
                  <c:v>6.00008193089528</c:v>
                </c:pt>
                <c:pt idx="1105">
                  <c:v>6.00007613136064</c:v>
                </c:pt>
                <c:pt idx="1106">
                  <c:v>6.00007074239781</c:v>
                </c:pt>
                <c:pt idx="1107">
                  <c:v>6.00006573493257</c:v>
                </c:pt>
                <c:pt idx="1108">
                  <c:v>6.00006108195086</c:v>
                </c:pt>
                <c:pt idx="1109">
                  <c:v>6.00005675835267</c:v>
                </c:pt>
                <c:pt idx="1110">
                  <c:v>6.00005274081615</c:v>
                </c:pt>
                <c:pt idx="1111">
                  <c:v>6.00004900767166</c:v>
                </c:pt>
                <c:pt idx="1112">
                  <c:v>6.00004553878439</c:v>
                </c:pt>
                <c:pt idx="1113">
                  <c:v>6.00004231544566</c:v>
                </c:pt>
                <c:pt idx="1114">
                  <c:v>6.00003932027182</c:v>
                </c:pt>
                <c:pt idx="1115">
                  <c:v>6.00003653711029</c:v>
                </c:pt>
                <c:pt idx="1116">
                  <c:v>6.00003395095226</c:v>
                </c:pt>
                <c:pt idx="1117">
                  <c:v>6.00003154785177</c:v>
                </c:pt>
                <c:pt idx="1118">
                  <c:v>6.0000293148503</c:v>
                </c:pt>
                <c:pt idx="1119">
                  <c:v>6.00002723990685</c:v>
                </c:pt>
                <c:pt idx="1120">
                  <c:v>6.00002531183297</c:v>
                </c:pt>
                <c:pt idx="1121">
                  <c:v>6.0000235202323</c:v>
                </c:pt>
                <c:pt idx="1122">
                  <c:v>6.00002185544452</c:v>
                </c:pt>
                <c:pt idx="1123">
                  <c:v>6.00002030849321</c:v>
                </c:pt>
                <c:pt idx="1124">
                  <c:v>6.00001887103745</c:v>
                </c:pt>
                <c:pt idx="1125">
                  <c:v>6.00001753532673</c:v>
                </c:pt>
                <c:pt idx="1126">
                  <c:v>6.00001629415921</c:v>
                </c:pt>
                <c:pt idx="1127">
                  <c:v>6.00001514084289</c:v>
                </c:pt>
                <c:pt idx="1128">
                  <c:v>6.00001406915942</c:v>
                </c:pt>
                <c:pt idx="1129">
                  <c:v>6.0000130733307</c:v>
                </c:pt>
                <c:pt idx="1130">
                  <c:v>6.00001214798761</c:v>
                </c:pt>
                <c:pt idx="1131">
                  <c:v>6.00001128814106</c:v>
                </c:pt>
                <c:pt idx="1132">
                  <c:v>6.0000104891551</c:v>
                </c:pt>
                <c:pt idx="1133">
                  <c:v>6.00000974672199</c:v>
                </c:pt>
                <c:pt idx="1134">
                  <c:v>6.00000905683884</c:v>
                </c:pt>
                <c:pt idx="1135">
                  <c:v>6.00000841578612</c:v>
                </c:pt>
                <c:pt idx="1136">
                  <c:v>6.00000782010759</c:v>
                </c:pt>
                <c:pt idx="1137">
                  <c:v>6.00000726659165</c:v>
                </c:pt>
                <c:pt idx="1138">
                  <c:v>6.00000675225399</c:v>
                </c:pt>
                <c:pt idx="1139">
                  <c:v>6.00000627432151</c:v>
                </c:pt>
                <c:pt idx="1140">
                  <c:v>6.00000583021748</c:v>
                </c:pt>
                <c:pt idx="1141">
                  <c:v>6.00000541754751</c:v>
                </c:pt>
                <c:pt idx="1142">
                  <c:v>6.00000503408668</c:v>
                </c:pt>
                <c:pt idx="1143">
                  <c:v>6.00000467776753</c:v>
                </c:pt>
                <c:pt idx="1144">
                  <c:v>6.00000434666895</c:v>
                </c:pt>
                <c:pt idx="1145">
                  <c:v>6.00000403900586</c:v>
                </c:pt>
                <c:pt idx="1146">
                  <c:v>6.00000375311944</c:v>
                </c:pt>
                <c:pt idx="1147">
                  <c:v>6.00000348746835</c:v>
                </c:pt>
                <c:pt idx="1148">
                  <c:v>6.00000324062033</c:v>
                </c:pt>
                <c:pt idx="1149">
                  <c:v>6.00000301124447</c:v>
                </c:pt>
                <c:pt idx="1150">
                  <c:v>6.00000279810411</c:v>
                </c:pt>
                <c:pt idx="1151">
                  <c:v>6.00000260005005</c:v>
                </c:pt>
                <c:pt idx="1152">
                  <c:v>6.00000241601452</c:v>
                </c:pt>
                <c:pt idx="1153">
                  <c:v>6.00000224500525</c:v>
                </c:pt>
                <c:pt idx="1154">
                  <c:v>6.00000208610022</c:v>
                </c:pt>
                <c:pt idx="1155">
                  <c:v>6.00000193844269</c:v>
                </c:pt>
                <c:pt idx="1156">
                  <c:v>6.00000180123658</c:v>
                </c:pt>
                <c:pt idx="1157">
                  <c:v>6.0000016737421</c:v>
                </c:pt>
                <c:pt idx="1158">
                  <c:v>6.00000155527185</c:v>
                </c:pt>
                <c:pt idx="1159">
                  <c:v>6.00000144518709</c:v>
                </c:pt>
                <c:pt idx="1160">
                  <c:v>6.00000134289429</c:v>
                </c:pt>
                <c:pt idx="1161">
                  <c:v>6.00000124784197</c:v>
                </c:pt>
                <c:pt idx="1162">
                  <c:v>6.0000011595176</c:v>
                </c:pt>
                <c:pt idx="1163">
                  <c:v>6.00000107744498</c:v>
                </c:pt>
                <c:pt idx="1164">
                  <c:v>6.0000010011816</c:v>
                </c:pt>
                <c:pt idx="1165">
                  <c:v>6.00000093031626</c:v>
                </c:pt>
                <c:pt idx="1166">
                  <c:v>6.00000086446684</c:v>
                </c:pt>
                <c:pt idx="1167">
                  <c:v>6.00000080327833</c:v>
                </c:pt>
                <c:pt idx="1168">
                  <c:v>6.00000074642082</c:v>
                </c:pt>
                <c:pt idx="1169">
                  <c:v>6.00000069358778</c:v>
                </c:pt>
                <c:pt idx="1170">
                  <c:v>6.00000064449436</c:v>
                </c:pt>
                <c:pt idx="1171">
                  <c:v>6.00000059887581</c:v>
                </c:pt>
                <c:pt idx="1172">
                  <c:v>6.00000055648626</c:v>
                </c:pt>
                <c:pt idx="1173">
                  <c:v>6.00000051709707</c:v>
                </c:pt>
                <c:pt idx="1174">
                  <c:v>6.0000004804959</c:v>
                </c:pt>
                <c:pt idx="1175">
                  <c:v>6.00000044648543</c:v>
                </c:pt>
                <c:pt idx="1176">
                  <c:v>6.0000004148823</c:v>
                </c:pt>
                <c:pt idx="1177">
                  <c:v>6.0000003855161</c:v>
                </c:pt>
                <c:pt idx="1178">
                  <c:v>6.00000035822852</c:v>
                </c:pt>
                <c:pt idx="1179">
                  <c:v>6.00000033287243</c:v>
                </c:pt>
                <c:pt idx="1180">
                  <c:v>6.0000003093111</c:v>
                </c:pt>
                <c:pt idx="1181">
                  <c:v>6.00000028741746</c:v>
                </c:pt>
                <c:pt idx="1182">
                  <c:v>6.00000026707349</c:v>
                </c:pt>
                <c:pt idx="1183">
                  <c:v>6.00000024816954</c:v>
                </c:pt>
                <c:pt idx="1184">
                  <c:v>6.00000023060365</c:v>
                </c:pt>
                <c:pt idx="1185">
                  <c:v>6.00000021428113</c:v>
                </c:pt>
                <c:pt idx="1186">
                  <c:v>6.00000019911394</c:v>
                </c:pt>
                <c:pt idx="1187">
                  <c:v>6.00000018502028</c:v>
                </c:pt>
                <c:pt idx="1188">
                  <c:v>6.00000017192423</c:v>
                </c:pt>
                <c:pt idx="1189">
                  <c:v>6.00000015975514</c:v>
                </c:pt>
                <c:pt idx="1190">
                  <c:v>6.0000001484474</c:v>
                </c:pt>
                <c:pt idx="1191">
                  <c:v>6.00000013794006</c:v>
                </c:pt>
                <c:pt idx="1192">
                  <c:v>6.00000012817647</c:v>
                </c:pt>
                <c:pt idx="1193">
                  <c:v>6.00000011910396</c:v>
                </c:pt>
                <c:pt idx="1194">
                  <c:v>6.00000011067361</c:v>
                </c:pt>
                <c:pt idx="1195">
                  <c:v>6.00000010283996</c:v>
                </c:pt>
                <c:pt idx="1196">
                  <c:v>6.00000009556079</c:v>
                </c:pt>
                <c:pt idx="1197">
                  <c:v>6.00000008879685</c:v>
                </c:pt>
                <c:pt idx="1198">
                  <c:v>6.0000000825117</c:v>
                </c:pt>
                <c:pt idx="1199">
                  <c:v>6.00000007667143</c:v>
                </c:pt>
                <c:pt idx="1200">
                  <c:v>4.96276432450262</c:v>
                </c:pt>
                <c:pt idx="1201">
                  <c:v>4.23942860802425</c:v>
                </c:pt>
                <c:pt idx="1202">
                  <c:v>4.01953371212479</c:v>
                </c:pt>
                <c:pt idx="1203">
                  <c:v>3.87385553509378</c:v>
                </c:pt>
                <c:pt idx="1204">
                  <c:v>3.7781964927503</c:v>
                </c:pt>
                <c:pt idx="1205">
                  <c:v>3.71016475975206</c:v>
                </c:pt>
                <c:pt idx="1206">
                  <c:v>3.65983297770489</c:v>
                </c:pt>
                <c:pt idx="1207">
                  <c:v>3.62181887407743</c:v>
                </c:pt>
                <c:pt idx="1208">
                  <c:v>3.59289448673475</c:v>
                </c:pt>
                <c:pt idx="1209">
                  <c:v>3.57097767948258</c:v>
                </c:pt>
                <c:pt idx="1210">
                  <c:v>3.55465105061911</c:v>
                </c:pt>
                <c:pt idx="1211">
                  <c:v>3.54290930675801</c:v>
                </c:pt>
                <c:pt idx="1212">
                  <c:v>3.53501640441943</c:v>
                </c:pt>
                <c:pt idx="1213">
                  <c:v>3.53041989581983</c:v>
                </c:pt>
                <c:pt idx="1214">
                  <c:v>3.52869708689637</c:v>
                </c:pt>
                <c:pt idx="1215">
                  <c:v>3.52951985512352</c:v>
                </c:pt>
                <c:pt idx="1216">
                  <c:v>3.53263091202094</c:v>
                </c:pt>
                <c:pt idx="1217">
                  <c:v>3.53782735801442</c:v>
                </c:pt>
                <c:pt idx="1218">
                  <c:v>3.54494904122225</c:v>
                </c:pt>
                <c:pt idx="1219">
                  <c:v>3.55387017670665</c:v>
                </c:pt>
                <c:pt idx="1220">
                  <c:v>3.56449324053751</c:v>
                </c:pt>
                <c:pt idx="1221">
                  <c:v>3.57674449378668</c:v>
                </c:pt>
                <c:pt idx="1222">
                  <c:v>3.59057070638176</c:v>
                </c:pt>
                <c:pt idx="1223">
                  <c:v>3.60593679026618</c:v>
                </c:pt>
                <c:pt idx="1224">
                  <c:v>3.6228241447241</c:v>
                </c:pt>
                <c:pt idx="1225">
                  <c:v>3.64122958141365</c:v>
                </c:pt>
                <c:pt idx="1226">
                  <c:v>3.66116474332225</c:v>
                </c:pt>
                <c:pt idx="1227">
                  <c:v>3.68265596737966</c:v>
                </c:pt>
                <c:pt idx="1228">
                  <c:v>3.70574456948731</c:v>
                </c:pt>
                <c:pt idx="1229">
                  <c:v>3.73048755664928</c:v>
                </c:pt>
                <c:pt idx="1230">
                  <c:v>3.7569587965192</c:v>
                </c:pt>
                <c:pt idx="1231">
                  <c:v>3.78525070267745</c:v>
                </c:pt>
                <c:pt idx="1232">
                  <c:v>3.81547652729545</c:v>
                </c:pt>
                <c:pt idx="1233">
                  <c:v>3.84777339529679</c:v>
                </c:pt>
                <c:pt idx="1234">
                  <c:v>3.8823062709211</c:v>
                </c:pt>
                <c:pt idx="1235">
                  <c:v>3.91927312646148</c:v>
                </c:pt>
                <c:pt idx="1236">
                  <c:v>3.95891169577196</c:v>
                </c:pt>
                <c:pt idx="1237">
                  <c:v>4.00150836086764</c:v>
                </c:pt>
                <c:pt idx="1238">
                  <c:v>4.04740996966625</c:v>
                </c:pt>
                <c:pt idx="1239">
                  <c:v>4.09703976935504</c:v>
                </c:pt>
                <c:pt idx="1240">
                  <c:v>4.15091925545009</c:v>
                </c:pt>
                <c:pt idx="1241">
                  <c:v>4.20969874985112</c:v>
                </c:pt>
                <c:pt idx="1242">
                  <c:v>4.27420125322043</c:v>
                </c:pt>
                <c:pt idx="1243">
                  <c:v>4.34548721260844</c:v>
                </c:pt>
                <c:pt idx="1244">
                  <c:v>4.4249536817942</c:v>
                </c:pt>
                <c:pt idx="1245">
                  <c:v>4.51449310037503</c:v>
                </c:pt>
                <c:pt idx="1246">
                  <c:v>4.61676258173262</c:v>
                </c:pt>
                <c:pt idx="1247">
                  <c:v>4.73567684810102</c:v>
                </c:pt>
                <c:pt idx="1248">
                  <c:v>4.87741128199585</c:v>
                </c:pt>
                <c:pt idx="1249">
                  <c:v>5.05278513301598</c:v>
                </c:pt>
                <c:pt idx="1250">
                  <c:v>5.28449679623396</c:v>
                </c:pt>
                <c:pt idx="1251">
                  <c:v>5.64157867512081</c:v>
                </c:pt>
                <c:pt idx="1252">
                  <c:v>6.98048808507017</c:v>
                </c:pt>
                <c:pt idx="1253">
                  <c:v>8.24083790513798</c:v>
                </c:pt>
                <c:pt idx="1254">
                  <c:v>8.44076512417619</c:v>
                </c:pt>
                <c:pt idx="1255">
                  <c:v>8.55231349862563</c:v>
                </c:pt>
                <c:pt idx="1256">
                  <c:v>8.61609353614175</c:v>
                </c:pt>
                <c:pt idx="1257">
                  <c:v>8.62543790523915</c:v>
                </c:pt>
                <c:pt idx="1258">
                  <c:v>8.55662635243205</c:v>
                </c:pt>
                <c:pt idx="1259">
                  <c:v>8.383884339212</c:v>
                </c:pt>
                <c:pt idx="1260">
                  <c:v>8.04167875184282</c:v>
                </c:pt>
                <c:pt idx="1261">
                  <c:v>6.73305613018075</c:v>
                </c:pt>
                <c:pt idx="1262">
                  <c:v>5.93620440152335</c:v>
                </c:pt>
                <c:pt idx="1263">
                  <c:v>5.71748959938995</c:v>
                </c:pt>
                <c:pt idx="1264">
                  <c:v>5.5713944883527</c:v>
                </c:pt>
                <c:pt idx="1265">
                  <c:v>5.47667525763908</c:v>
                </c:pt>
                <c:pt idx="1266">
                  <c:v>5.40931600307936</c:v>
                </c:pt>
                <c:pt idx="1267">
                  <c:v>5.36023349994516</c:v>
                </c:pt>
                <c:pt idx="1268">
                  <c:v>5.32555331503348</c:v>
                </c:pt>
                <c:pt idx="1269">
                  <c:v>5.30232679776374</c:v>
                </c:pt>
                <c:pt idx="1270">
                  <c:v>5.28831488497717</c:v>
                </c:pt>
                <c:pt idx="1271">
                  <c:v>5.2818292238996</c:v>
                </c:pt>
                <c:pt idx="1272">
                  <c:v>5.28156659487433</c:v>
                </c:pt>
                <c:pt idx="1273">
                  <c:v>5.28649559244481</c:v>
                </c:pt>
                <c:pt idx="1274">
                  <c:v>5.29577657056464</c:v>
                </c:pt>
                <c:pt idx="1275">
                  <c:v>5.30870610068668</c:v>
                </c:pt>
                <c:pt idx="1276">
                  <c:v>5.32467854556149</c:v>
                </c:pt>
                <c:pt idx="1277">
                  <c:v>5.34315967226712</c:v>
                </c:pt>
                <c:pt idx="1278">
                  <c:v>5.36366887770262</c:v>
                </c:pt>
                <c:pt idx="1279">
                  <c:v>5.38576765279139</c:v>
                </c:pt>
                <c:pt idx="1280">
                  <c:v>5.40905256713018</c:v>
                </c:pt>
                <c:pt idx="1281">
                  <c:v>5.43315145047038</c:v>
                </c:pt>
                <c:pt idx="1282">
                  <c:v>5.45772169063509</c:v>
                </c:pt>
                <c:pt idx="1283">
                  <c:v>5.48244973656373</c:v>
                </c:pt>
                <c:pt idx="1284">
                  <c:v>5.50705104054841</c:v>
                </c:pt>
                <c:pt idx="1285">
                  <c:v>5.53127050465204</c:v>
                </c:pt>
                <c:pt idx="1286">
                  <c:v>5.55494523793961</c:v>
                </c:pt>
                <c:pt idx="1287">
                  <c:v>5.57804050500155</c:v>
                </c:pt>
                <c:pt idx="1288">
                  <c:v>5.60052890606804</c:v>
                </c:pt>
                <c:pt idx="1289">
                  <c:v>5.62238195452504</c:v>
                </c:pt>
                <c:pt idx="1290">
                  <c:v>5.64357201989703</c:v>
                </c:pt>
                <c:pt idx="1291">
                  <c:v>5.66407282980698</c:v>
                </c:pt>
                <c:pt idx="1292">
                  <c:v>5.68386010092705</c:v>
                </c:pt>
                <c:pt idx="1293">
                  <c:v>5.70291214471648</c:v>
                </c:pt>
                <c:pt idx="1294">
                  <c:v>5.72121042920477</c:v>
                </c:pt>
                <c:pt idx="1295">
                  <c:v>5.73874007308762</c:v>
                </c:pt>
                <c:pt idx="1296">
                  <c:v>5.75549025049673</c:v>
                </c:pt>
                <c:pt idx="1297">
                  <c:v>5.77145448897776</c:v>
                </c:pt>
                <c:pt idx="1298">
                  <c:v>5.78663084860253</c:v>
                </c:pt>
                <c:pt idx="1299">
                  <c:v>5.8010219764359</c:v>
                </c:pt>
                <c:pt idx="1300">
                  <c:v>5.81463503721242</c:v>
                </c:pt>
                <c:pt idx="1301">
                  <c:v>5.82748152747276</c:v>
                </c:pt>
                <c:pt idx="1302">
                  <c:v>5.83957698602334</c:v>
                </c:pt>
                <c:pt idx="1303">
                  <c:v>5.85094061798719</c:v>
                </c:pt>
                <c:pt idx="1304">
                  <c:v>5.8615948526353</c:v>
                </c:pt>
                <c:pt idx="1305">
                  <c:v>5.87156485653079</c:v>
                </c:pt>
                <c:pt idx="1306">
                  <c:v>5.8808780233555</c:v>
                </c:pt>
                <c:pt idx="1307">
                  <c:v>5.88956346033019</c:v>
                </c:pt>
                <c:pt idx="1308">
                  <c:v>5.89765148868706</c:v>
                </c:pt>
                <c:pt idx="1309">
                  <c:v>5.90517317255066</c:v>
                </c:pt>
                <c:pt idx="1310">
                  <c:v>5.91215988716954</c:v>
                </c:pt>
                <c:pt idx="1311">
                  <c:v>5.91864293401656</c:v>
                </c:pt>
                <c:pt idx="1312">
                  <c:v>5.92465320707797</c:v>
                </c:pt>
                <c:pt idx="1313">
                  <c:v>5.93022091184789</c:v>
                </c:pt>
                <c:pt idx="1314">
                  <c:v>5.93537533622914</c:v>
                </c:pt>
                <c:pt idx="1315">
                  <c:v>5.94014467075084</c:v>
                </c:pt>
                <c:pt idx="1316">
                  <c:v>5.94455587423207</c:v>
                </c:pt>
                <c:pt idx="1317">
                  <c:v>5.94863458020328</c:v>
                </c:pt>
                <c:pt idx="1318">
                  <c:v>5.95240503897395</c:v>
                </c:pt>
                <c:pt idx="1319">
                  <c:v>5.95589009013155</c:v>
                </c:pt>
                <c:pt idx="1320">
                  <c:v>5.95911116039636</c:v>
                </c:pt>
                <c:pt idx="1321">
                  <c:v>5.9620882820679</c:v>
                </c:pt>
                <c:pt idx="1322">
                  <c:v>5.96484012772201</c:v>
                </c:pt>
                <c:pt idx="1323">
                  <c:v>5.96738405730332</c:v>
                </c:pt>
                <c:pt idx="1324">
                  <c:v>5.96973617426325</c:v>
                </c:pt>
                <c:pt idx="1325">
                  <c:v>5.9719113878966</c:v>
                </c:pt>
                <c:pt idx="1326">
                  <c:v>5.97392347950232</c:v>
                </c:pt>
                <c:pt idx="1327">
                  <c:v>5.97578517042998</c:v>
                </c:pt>
                <c:pt idx="1328">
                  <c:v>5.97750819046203</c:v>
                </c:pt>
                <c:pt idx="1329">
                  <c:v>5.97910334532186</c:v>
                </c:pt>
                <c:pt idx="1330">
                  <c:v>5.98058058238943</c:v>
                </c:pt>
                <c:pt idx="1331">
                  <c:v>5.98194905395104</c:v>
                </c:pt>
                <c:pt idx="1332">
                  <c:v>5.98321717751416</c:v>
                </c:pt>
                <c:pt idx="1333">
                  <c:v>5.984392692883</c:v>
                </c:pt>
                <c:pt idx="1334">
                  <c:v>5.98548271582317</c:v>
                </c:pt>
                <c:pt idx="1335">
                  <c:v>5.98649378824885</c:v>
                </c:pt>
                <c:pt idx="1336">
                  <c:v>5.98743192494463</c:v>
                </c:pt>
                <c:pt idx="1337">
                  <c:v>5.9883026568958</c:v>
                </c:pt>
                <c:pt idx="1338">
                  <c:v>5.98911107134403</c:v>
                </c:pt>
                <c:pt idx="1339">
                  <c:v>5.98986184871562</c:v>
                </c:pt>
                <c:pt idx="1340">
                  <c:v>5.99055929659003</c:v>
                </c:pt>
                <c:pt idx="1341">
                  <c:v>5.99120738088717</c:v>
                </c:pt>
                <c:pt idx="1342">
                  <c:v>5.99180975445751</c:v>
                </c:pt>
                <c:pt idx="1343">
                  <c:v>5.99236978325885</c:v>
                </c:pt>
                <c:pt idx="1344">
                  <c:v>5.99289057030005</c:v>
                </c:pt>
                <c:pt idx="1345">
                  <c:v>5.99337497752612</c:v>
                </c:pt>
                <c:pt idx="1346">
                  <c:v>5.99382564581058</c:v>
                </c:pt>
                <c:pt idx="1347">
                  <c:v>5.99424501321256</c:v>
                </c:pt>
                <c:pt idx="1348">
                  <c:v>5.99463533164568</c:v>
                </c:pt>
                <c:pt idx="1349">
                  <c:v>5.99499868209616</c:v>
                </c:pt>
                <c:pt idx="1350">
                  <c:v>5.99533698851719</c:v>
                </c:pt>
                <c:pt idx="1351">
                  <c:v>5.99565203051707</c:v>
                </c:pt>
                <c:pt idx="1352">
                  <c:v>5.99594545494879</c:v>
                </c:pt>
                <c:pt idx="1353">
                  <c:v>5.99621878649999</c:v>
                </c:pt>
                <c:pt idx="1354">
                  <c:v>5.99647343737365</c:v>
                </c:pt>
                <c:pt idx="1355">
                  <c:v>5.99671071614161</c:v>
                </c:pt>
                <c:pt idx="1356">
                  <c:v>5.99693183584622</c:v>
                </c:pt>
                <c:pt idx="1357">
                  <c:v>5.99713792141792</c:v>
                </c:pt>
                <c:pt idx="1358">
                  <c:v>5.99733001647088</c:v>
                </c:pt>
                <c:pt idx="1359">
                  <c:v>5.99750908953262</c:v>
                </c:pt>
                <c:pt idx="1360">
                  <c:v>5.99767603975836</c:v>
                </c:pt>
                <c:pt idx="1361">
                  <c:v>5.99783170217661</c:v>
                </c:pt>
                <c:pt idx="1362">
                  <c:v>5.99797685250725</c:v>
                </c:pt>
                <c:pt idx="1363">
                  <c:v>5.99811221159033</c:v>
                </c:pt>
                <c:pt idx="1364">
                  <c:v>5.99823844945933</c:v>
                </c:pt>
                <c:pt idx="1365">
                  <c:v>5.99835618909041</c:v>
                </c:pt>
                <c:pt idx="1366">
                  <c:v>5.99846600985529</c:v>
                </c:pt>
                <c:pt idx="1367">
                  <c:v>5.99856845070352</c:v>
                </c:pt>
                <c:pt idx="1368">
                  <c:v>5.99866401309724</c:v>
                </c:pt>
                <c:pt idx="1369">
                  <c:v>5.99875316371893</c:v>
                </c:pt>
                <c:pt idx="1370">
                  <c:v>5.99883633697198</c:v>
                </c:pt>
                <c:pt idx="1371">
                  <c:v>5.9989139372905</c:v>
                </c:pt>
                <c:pt idx="1372">
                  <c:v>5.99898634127457</c:v>
                </c:pt>
                <c:pt idx="1373">
                  <c:v>5.99905389966509</c:v>
                </c:pt>
                <c:pt idx="1374">
                  <c:v>5.99911693917132</c:v>
                </c:pt>
                <c:pt idx="1375">
                  <c:v>5.99917576416277</c:v>
                </c:pt>
                <c:pt idx="1376">
                  <c:v>5.99923065823637</c:v>
                </c:pt>
                <c:pt idx="1377">
                  <c:v>5.99928188566879</c:v>
                </c:pt>
                <c:pt idx="1378">
                  <c:v>5.99932969276294</c:v>
                </c:pt>
                <c:pt idx="1379">
                  <c:v>5.99937430909683</c:v>
                </c:pt>
                <c:pt idx="1380">
                  <c:v>5.99941594868217</c:v>
                </c:pt>
                <c:pt idx="1381">
                  <c:v>5.99945481103999</c:v>
                </c:pt>
                <c:pt idx="1382">
                  <c:v>5.99949108219945</c:v>
                </c:pt>
                <c:pt idx="1383">
                  <c:v>5.99952493562535</c:v>
                </c:pt>
                <c:pt idx="1384">
                  <c:v>5.9995565330801</c:v>
                </c:pt>
                <c:pt idx="1385">
                  <c:v>5.99958602542477</c:v>
                </c:pt>
                <c:pt idx="1386">
                  <c:v>5.99961355336396</c:v>
                </c:pt>
                <c:pt idx="1387">
                  <c:v>5.99963924813822</c:v>
                </c:pt>
                <c:pt idx="1388">
                  <c:v>5.99966323216845</c:v>
                </c:pt>
                <c:pt idx="1389">
                  <c:v>5.99968561965515</c:v>
                </c:pt>
                <c:pt idx="1390">
                  <c:v>5.99970651713642</c:v>
                </c:pt>
                <c:pt idx="1391">
                  <c:v>5.99972602400701</c:v>
                </c:pt>
                <c:pt idx="1392">
                  <c:v>5.99974423300168</c:v>
                </c:pt>
                <c:pt idx="1393">
                  <c:v>5.99976123064529</c:v>
                </c:pt>
                <c:pt idx="1394">
                  <c:v>5.9997770976721</c:v>
                </c:pt>
                <c:pt idx="1395">
                  <c:v>5.99979190941609</c:v>
                </c:pt>
                <c:pt idx="1396">
                  <c:v>5.99980573617482</c:v>
                </c:pt>
                <c:pt idx="1397">
                  <c:v>5.99981864354819</c:v>
                </c:pt>
                <c:pt idx="1398">
                  <c:v>5.99983069275441</c:v>
                </c:pt>
                <c:pt idx="1399">
                  <c:v>5.99984194092431</c:v>
                </c:pt>
                <c:pt idx="1400">
                  <c:v>5.99985244137564</c:v>
                </c:pt>
                <c:pt idx="1401">
                  <c:v>5.99986224386887</c:v>
                </c:pt>
                <c:pt idx="1402">
                  <c:v>5.99987139484556</c:v>
                </c:pt>
                <c:pt idx="1403">
                  <c:v>5.9998799376508</c:v>
                </c:pt>
                <c:pt idx="1404">
                  <c:v>5.99988791274035</c:v>
                </c:pt>
                <c:pt idx="1405">
                  <c:v>5.99989535787407</c:v>
                </c:pt>
                <c:pt idx="1406">
                  <c:v>5.99990230829618</c:v>
                </c:pt>
                <c:pt idx="1407">
                  <c:v>5.99990879690331</c:v>
                </c:pt>
                <c:pt idx="1408">
                  <c:v>5.99991485440144</c:v>
                </c:pt>
                <c:pt idx="1409">
                  <c:v>5.99992050945223</c:v>
                </c:pt>
                <c:pt idx="1410">
                  <c:v>5.99992578880935</c:v>
                </c:pt>
                <c:pt idx="1411">
                  <c:v>5.99993071744588</c:v>
                </c:pt>
                <c:pt idx="1412">
                  <c:v>5.9999353186731</c:v>
                </c:pt>
                <c:pt idx="1413">
                  <c:v>5.99993961425133</c:v>
                </c:pt>
                <c:pt idx="1414">
                  <c:v>5.99994362449327</c:v>
                </c:pt>
                <c:pt idx="1415">
                  <c:v>5.99994736836045</c:v>
                </c:pt>
                <c:pt idx="1416">
                  <c:v>5.99995086355333</c:v>
                </c:pt>
                <c:pt idx="1417">
                  <c:v>5.99995412659532</c:v>
                </c:pt>
                <c:pt idx="1418">
                  <c:v>5.99995717291109</c:v>
                </c:pt>
                <c:pt idx="1419">
                  <c:v>5.9999600168998</c:v>
                </c:pt>
                <c:pt idx="1420">
                  <c:v>5.99996267200338</c:v>
                </c:pt>
                <c:pt idx="1421">
                  <c:v>5.9999651507701</c:v>
                </c:pt>
                <c:pt idx="1422">
                  <c:v>5.9999674649143</c:v>
                </c:pt>
                <c:pt idx="1423">
                  <c:v>5.99996962537169</c:v>
                </c:pt>
                <c:pt idx="1424">
                  <c:v>5.99997164235115</c:v>
                </c:pt>
                <c:pt idx="1425">
                  <c:v>5.99997352538313</c:v>
                </c:pt>
                <c:pt idx="1426">
                  <c:v>5.99997528336477</c:v>
                </c:pt>
                <c:pt idx="1427">
                  <c:v>5.99997692460205</c:v>
                </c:pt>
                <c:pt idx="1428">
                  <c:v>5.99997845684901</c:v>
                </c:pt>
                <c:pt idx="1429">
                  <c:v>5.99997988734451</c:v>
                </c:pt>
                <c:pt idx="1430">
                  <c:v>5.99998122284658</c:v>
                </c:pt>
                <c:pt idx="1431">
                  <c:v>5.99998246966413</c:v>
                </c:pt>
                <c:pt idx="1432">
                  <c:v>5.99998363368705</c:v>
                </c:pt>
                <c:pt idx="1433">
                  <c:v>5.99998472041395</c:v>
                </c:pt>
                <c:pt idx="1434">
                  <c:v>5.9999857349782</c:v>
                </c:pt>
                <c:pt idx="1435">
                  <c:v>5.99998668217212</c:v>
                </c:pt>
                <c:pt idx="1436">
                  <c:v>5.99998756646978</c:v>
                </c:pt>
                <c:pt idx="1437">
                  <c:v>5.99998839204802</c:v>
                </c:pt>
                <c:pt idx="1438">
                  <c:v>5.99998916280624</c:v>
                </c:pt>
                <c:pt idx="1439">
                  <c:v>5.99998988238487</c:v>
                </c:pt>
                <c:pt idx="1440">
                  <c:v>5.99999055418259</c:v>
                </c:pt>
                <c:pt idx="1441">
                  <c:v>5.99999118137228</c:v>
                </c:pt>
                <c:pt idx="1442">
                  <c:v>5.99999176691617</c:v>
                </c:pt>
                <c:pt idx="1443">
                  <c:v>5.99999231357972</c:v>
                </c:pt>
                <c:pt idx="1444">
                  <c:v>5.99999282394478</c:v>
                </c:pt>
                <c:pt idx="1445">
                  <c:v>5.99999330042169</c:v>
                </c:pt>
                <c:pt idx="1446">
                  <c:v>5.99999374526072</c:v>
                </c:pt>
                <c:pt idx="1447">
                  <c:v>5.99999416056269</c:v>
                </c:pt>
                <c:pt idx="1448">
                  <c:v>5.99999454828894</c:v>
                </c:pt>
                <c:pt idx="1449">
                  <c:v>5.99999491027049</c:v>
                </c:pt>
                <c:pt idx="1450">
                  <c:v>5.99999524821685</c:v>
                </c:pt>
                <c:pt idx="1451">
                  <c:v>5.99999556372397</c:v>
                </c:pt>
                <c:pt idx="1452">
                  <c:v>5.99999585828184</c:v>
                </c:pt>
                <c:pt idx="1453">
                  <c:v>5.99999613328153</c:v>
                </c:pt>
                <c:pt idx="1454">
                  <c:v>5.9999963900217</c:v>
                </c:pt>
                <c:pt idx="1455">
                  <c:v>5.99999662971476</c:v>
                </c:pt>
                <c:pt idx="1456">
                  <c:v>5.99999685349266</c:v>
                </c:pt>
                <c:pt idx="1457">
                  <c:v>5.99999706241213</c:v>
                </c:pt>
                <c:pt idx="1458">
                  <c:v>5.99999725745975</c:v>
                </c:pt>
                <c:pt idx="1459">
                  <c:v>5.99999743955662</c:v>
                </c:pt>
                <c:pt idx="1460">
                  <c:v>5.99999760956269</c:v>
                </c:pt>
                <c:pt idx="1461">
                  <c:v>5.99999776828077</c:v>
                </c:pt>
                <c:pt idx="1462">
                  <c:v>5.99999791646035</c:v>
                </c:pt>
                <c:pt idx="1463">
                  <c:v>5.99999805480117</c:v>
                </c:pt>
                <c:pt idx="1464">
                  <c:v>5.99999818395651</c:v>
                </c:pt>
                <c:pt idx="1465">
                  <c:v>5.99999830453629</c:v>
                </c:pt>
                <c:pt idx="1466">
                  <c:v>5.99999841710988</c:v>
                </c:pt>
                <c:pt idx="1467">
                  <c:v>5.99999852220892</c:v>
                </c:pt>
                <c:pt idx="1468">
                  <c:v>5.99999862032967</c:v>
                </c:pt>
                <c:pt idx="1469">
                  <c:v>5.99999871193546</c:v>
                </c:pt>
                <c:pt idx="1470">
                  <c:v>5.99999879745893</c:v>
                </c:pt>
                <c:pt idx="1471">
                  <c:v>5.99999887730387</c:v>
                </c:pt>
                <c:pt idx="1472">
                  <c:v>5.99999895184736</c:v>
                </c:pt>
                <c:pt idx="1473">
                  <c:v>5.99999902144139</c:v>
                </c:pt>
                <c:pt idx="1474">
                  <c:v>5.99999908641455</c:v>
                </c:pt>
                <c:pt idx="1475">
                  <c:v>5.99999914707368</c:v>
                </c:pt>
                <c:pt idx="1476">
                  <c:v>5.99999920370526</c:v>
                </c:pt>
                <c:pt idx="1477">
                  <c:v>5.99999925657668</c:v>
                </c:pt>
                <c:pt idx="1478">
                  <c:v>5.9999993059376</c:v>
                </c:pt>
                <c:pt idx="1479">
                  <c:v>5.99999935202111</c:v>
                </c:pt>
                <c:pt idx="1480">
                  <c:v>5.99999939504481</c:v>
                </c:pt>
                <c:pt idx="1481">
                  <c:v>5.99999943521188</c:v>
                </c:pt>
                <c:pt idx="1482">
                  <c:v>5.99999947271195</c:v>
                </c:pt>
                <c:pt idx="1483">
                  <c:v>5.99999950772216</c:v>
                </c:pt>
                <c:pt idx="1484">
                  <c:v>5.99999954040782</c:v>
                </c:pt>
                <c:pt idx="1485">
                  <c:v>5.99999957092323</c:v>
                </c:pt>
                <c:pt idx="1486">
                  <c:v>5.99999959941251</c:v>
                </c:pt>
                <c:pt idx="1487">
                  <c:v>5.99999962601021</c:v>
                </c:pt>
                <c:pt idx="1488">
                  <c:v>5.99999965084191</c:v>
                </c:pt>
                <c:pt idx="1489">
                  <c:v>5.99999967402489</c:v>
                </c:pt>
                <c:pt idx="1490">
                  <c:v>5.99999969566857</c:v>
                </c:pt>
                <c:pt idx="1491">
                  <c:v>5.9999997158752</c:v>
                </c:pt>
                <c:pt idx="1492">
                  <c:v>5.99999973474017</c:v>
                </c:pt>
                <c:pt idx="1493">
                  <c:v>5.99999975235256</c:v>
                </c:pt>
                <c:pt idx="1494">
                  <c:v>5.99999976879554</c:v>
                </c:pt>
                <c:pt idx="1495">
                  <c:v>5.99999978414675</c:v>
                </c:pt>
                <c:pt idx="1496">
                  <c:v>5.99999979847865</c:v>
                </c:pt>
                <c:pt idx="1497">
                  <c:v>5.99999981185899</c:v>
                </c:pt>
                <c:pt idx="1498">
                  <c:v>5.99999982435089</c:v>
                </c:pt>
                <c:pt idx="1499">
                  <c:v>5.99999983601336</c:v>
                </c:pt>
                <c:pt idx="1500">
                  <c:v>5.99999984690147</c:v>
                </c:pt>
                <c:pt idx="1501">
                  <c:v>5.99999985706665</c:v>
                </c:pt>
                <c:pt idx="1502">
                  <c:v>5.99999986655693</c:v>
                </c:pt>
                <c:pt idx="1503">
                  <c:v>5.99999987541708</c:v>
                </c:pt>
                <c:pt idx="1504">
                  <c:v>5.99999988368898</c:v>
                </c:pt>
                <c:pt idx="1505">
                  <c:v>5.99999989141166</c:v>
                </c:pt>
                <c:pt idx="1506">
                  <c:v>5.99999989862162</c:v>
                </c:pt>
                <c:pt idx="1507">
                  <c:v>5.99999990535286</c:v>
                </c:pt>
                <c:pt idx="1508">
                  <c:v>5.99999991163717</c:v>
                </c:pt>
                <c:pt idx="1509">
                  <c:v>5.99999991750422</c:v>
                </c:pt>
                <c:pt idx="1510">
                  <c:v>5.99999992298172</c:v>
                </c:pt>
                <c:pt idx="1511">
                  <c:v>5.99999992809551</c:v>
                </c:pt>
                <c:pt idx="1512">
                  <c:v>5.99999993286974</c:v>
                </c:pt>
                <c:pt idx="1513">
                  <c:v>5.99999993732695</c:v>
                </c:pt>
                <c:pt idx="1514">
                  <c:v>5.99999994148823</c:v>
                </c:pt>
                <c:pt idx="1515">
                  <c:v>5.99999994537321</c:v>
                </c:pt>
                <c:pt idx="1516">
                  <c:v>5.99999994900023</c:v>
                </c:pt>
                <c:pt idx="1517">
                  <c:v>5.9999999523864</c:v>
                </c:pt>
                <c:pt idx="1518">
                  <c:v>5.99999995554776</c:v>
                </c:pt>
                <c:pt idx="1519">
                  <c:v>5.99999995849922</c:v>
                </c:pt>
                <c:pt idx="1520">
                  <c:v>5.99999996125471</c:v>
                </c:pt>
                <c:pt idx="1521">
                  <c:v>5.99999996382725</c:v>
                </c:pt>
                <c:pt idx="1522">
                  <c:v>5.99999996622901</c:v>
                </c:pt>
                <c:pt idx="1523">
                  <c:v>5.99999996847133</c:v>
                </c:pt>
                <c:pt idx="1524">
                  <c:v>5.99999997056476</c:v>
                </c:pt>
                <c:pt idx="1525">
                  <c:v>5.99999997251922</c:v>
                </c:pt>
                <c:pt idx="1526">
                  <c:v>5.99999997434388</c:v>
                </c:pt>
                <c:pt idx="1527">
                  <c:v>5.99999997604739</c:v>
                </c:pt>
                <c:pt idx="1528">
                  <c:v>5.99999997763775</c:v>
                </c:pt>
                <c:pt idx="1529">
                  <c:v>5.99999997912256</c:v>
                </c:pt>
                <c:pt idx="1530">
                  <c:v>5.99999998050875</c:v>
                </c:pt>
                <c:pt idx="1531">
                  <c:v>5.99999998180291</c:v>
                </c:pt>
                <c:pt idx="1532">
                  <c:v>5.9999999830111</c:v>
                </c:pt>
                <c:pt idx="1533">
                  <c:v>5.99999998413906</c:v>
                </c:pt>
                <c:pt idx="1534">
                  <c:v>5.99999998519214</c:v>
                </c:pt>
                <c:pt idx="1535">
                  <c:v>5.99999998617531</c:v>
                </c:pt>
                <c:pt idx="1536">
                  <c:v>5.9999999870932</c:v>
                </c:pt>
                <c:pt idx="1537">
                  <c:v>5.99999998795019</c:v>
                </c:pt>
                <c:pt idx="1538">
                  <c:v>5.99999998875029</c:v>
                </c:pt>
                <c:pt idx="1539">
                  <c:v>5.99999998949729</c:v>
                </c:pt>
                <c:pt idx="1540">
                  <c:v>5.99999999019469</c:v>
                </c:pt>
                <c:pt idx="1541">
                  <c:v>5.99999999084579</c:v>
                </c:pt>
                <c:pt idx="1542">
                  <c:v>5.99999999145366</c:v>
                </c:pt>
                <c:pt idx="1543">
                  <c:v>5.99999999202115</c:v>
                </c:pt>
                <c:pt idx="1544">
                  <c:v>5.99999999255094</c:v>
                </c:pt>
                <c:pt idx="1545">
                  <c:v>5.99999999304557</c:v>
                </c:pt>
                <c:pt idx="1546">
                  <c:v>5.99999999350736</c:v>
                </c:pt>
                <c:pt idx="1547">
                  <c:v>5.99999999393849</c:v>
                </c:pt>
                <c:pt idx="1548">
                  <c:v>5.99999999434105</c:v>
                </c:pt>
                <c:pt idx="1549">
                  <c:v>5.9999999947169</c:v>
                </c:pt>
                <c:pt idx="1550">
                  <c:v>5.99999999506775</c:v>
                </c:pt>
                <c:pt idx="1551">
                  <c:v>5.99999999539529</c:v>
                </c:pt>
                <c:pt idx="1552">
                  <c:v>5.99999999570108</c:v>
                </c:pt>
                <c:pt idx="1553">
                  <c:v>5.99999999598653</c:v>
                </c:pt>
                <c:pt idx="1554">
                  <c:v>5.99999999625302</c:v>
                </c:pt>
                <c:pt idx="1555">
                  <c:v>5.99999999650184</c:v>
                </c:pt>
                <c:pt idx="1556">
                  <c:v>5.99999999673415</c:v>
                </c:pt>
                <c:pt idx="1557">
                  <c:v>5.99999999695104</c:v>
                </c:pt>
                <c:pt idx="1558">
                  <c:v>5.99999999715353</c:v>
                </c:pt>
                <c:pt idx="1559">
                  <c:v>5.99999999734256</c:v>
                </c:pt>
                <c:pt idx="1560">
                  <c:v>5.99999999751903</c:v>
                </c:pt>
                <c:pt idx="1561">
                  <c:v>5.99999999768378</c:v>
                </c:pt>
                <c:pt idx="1562">
                  <c:v>5.9999999978376</c:v>
                </c:pt>
                <c:pt idx="1563">
                  <c:v>5.99999999798122</c:v>
                </c:pt>
                <c:pt idx="1564">
                  <c:v>5.9999999981153</c:v>
                </c:pt>
                <c:pt idx="1565">
                  <c:v>5.99999999824047</c:v>
                </c:pt>
                <c:pt idx="1566">
                  <c:v>5.99999999835735</c:v>
                </c:pt>
                <c:pt idx="1567">
                  <c:v>5.99999999846645</c:v>
                </c:pt>
                <c:pt idx="1568">
                  <c:v>5.9999999985683</c:v>
                </c:pt>
                <c:pt idx="1569">
                  <c:v>5.99999999866337</c:v>
                </c:pt>
                <c:pt idx="1570">
                  <c:v>5.99999999875213</c:v>
                </c:pt>
                <c:pt idx="1571">
                  <c:v>5.99999999883499</c:v>
                </c:pt>
                <c:pt idx="1572">
                  <c:v>5.99999999891233</c:v>
                </c:pt>
                <c:pt idx="1573">
                  <c:v>5.99999999898456</c:v>
                </c:pt>
                <c:pt idx="1574">
                  <c:v>5.99999999905202</c:v>
                </c:pt>
                <c:pt idx="1575">
                  <c:v>5.999999999115</c:v>
                </c:pt>
                <c:pt idx="1576">
                  <c:v>5.99999999917377</c:v>
                </c:pt>
                <c:pt idx="1577">
                  <c:v>5.99999999922863</c:v>
                </c:pt>
                <c:pt idx="1578">
                  <c:v>5.99999999927985</c:v>
                </c:pt>
                <c:pt idx="1579">
                  <c:v>5.99999999932768</c:v>
                </c:pt>
                <c:pt idx="1580">
                  <c:v>5.99999999937234</c:v>
                </c:pt>
                <c:pt idx="1581">
                  <c:v>5.99999999941402</c:v>
                </c:pt>
                <c:pt idx="1582">
                  <c:v>5.99999999945291</c:v>
                </c:pt>
                <c:pt idx="1583">
                  <c:v>5.99999999948924</c:v>
                </c:pt>
                <c:pt idx="1584">
                  <c:v>5.99999999952313</c:v>
                </c:pt>
                <c:pt idx="1585">
                  <c:v>5.99999999955479</c:v>
                </c:pt>
                <c:pt idx="1586">
                  <c:v>5.99999999958436</c:v>
                </c:pt>
                <c:pt idx="1587">
                  <c:v>5.99999999961196</c:v>
                </c:pt>
                <c:pt idx="1588">
                  <c:v>5.99999999963776</c:v>
                </c:pt>
                <c:pt idx="1589">
                  <c:v>5.99999999966183</c:v>
                </c:pt>
                <c:pt idx="1590">
                  <c:v>5.99999999968427</c:v>
                </c:pt>
                <c:pt idx="1591">
                  <c:v>5.99999999970525</c:v>
                </c:pt>
                <c:pt idx="1592">
                  <c:v>5.99999999972487</c:v>
                </c:pt>
                <c:pt idx="1593">
                  <c:v>5.99999999974313</c:v>
                </c:pt>
                <c:pt idx="1594">
                  <c:v>5.99999999976016</c:v>
                </c:pt>
                <c:pt idx="1595">
                  <c:v>5.99999999977607</c:v>
                </c:pt>
                <c:pt idx="1596">
                  <c:v>5.99999999979098</c:v>
                </c:pt>
                <c:pt idx="1597">
                  <c:v>5.99999999980491</c:v>
                </c:pt>
                <c:pt idx="1598">
                  <c:v>5.99999999981784</c:v>
                </c:pt>
                <c:pt idx="1599">
                  <c:v>5.99999999982987</c:v>
                </c:pt>
                <c:pt idx="1600">
                  <c:v>5.99999999984109</c:v>
                </c:pt>
                <c:pt idx="1601">
                  <c:v>5.99999999985159</c:v>
                </c:pt>
                <c:pt idx="1602">
                  <c:v>5.99999999986142</c:v>
                </c:pt>
                <c:pt idx="1603">
                  <c:v>5.99999999987066</c:v>
                </c:pt>
                <c:pt idx="1604">
                  <c:v>5.99999999987928</c:v>
                </c:pt>
                <c:pt idx="1605">
                  <c:v>5.99999999988728</c:v>
                </c:pt>
                <c:pt idx="1606">
                  <c:v>5.99999999989469</c:v>
                </c:pt>
                <c:pt idx="1607">
                  <c:v>5.99999999990156</c:v>
                </c:pt>
                <c:pt idx="1608">
                  <c:v>5.99999999990793</c:v>
                </c:pt>
                <c:pt idx="1609">
                  <c:v>5.99999999991388</c:v>
                </c:pt>
                <c:pt idx="1610">
                  <c:v>5.99999999991942</c:v>
                </c:pt>
                <c:pt idx="1611">
                  <c:v>5.9999999999246</c:v>
                </c:pt>
                <c:pt idx="1612">
                  <c:v>5.99999999992947</c:v>
                </c:pt>
                <c:pt idx="1613">
                  <c:v>5.99999999993403</c:v>
                </c:pt>
                <c:pt idx="1614">
                  <c:v>5.99999999993834</c:v>
                </c:pt>
                <c:pt idx="1615">
                  <c:v>5.99999999994241</c:v>
                </c:pt>
                <c:pt idx="1616">
                  <c:v>5.99999999994626</c:v>
                </c:pt>
                <c:pt idx="1617">
                  <c:v>5.99999999994992</c:v>
                </c:pt>
                <c:pt idx="1618">
                  <c:v>5.9999999999534</c:v>
                </c:pt>
                <c:pt idx="1619">
                  <c:v>5.9999999999566</c:v>
                </c:pt>
                <c:pt idx="1620">
                  <c:v>5.99999999995951</c:v>
                </c:pt>
                <c:pt idx="1621">
                  <c:v>5.99999999996231</c:v>
                </c:pt>
                <c:pt idx="1622">
                  <c:v>5.99999999996488</c:v>
                </c:pt>
                <c:pt idx="1623">
                  <c:v>5.9999999999672</c:v>
                </c:pt>
                <c:pt idx="1624">
                  <c:v>5.99999999996929</c:v>
                </c:pt>
                <c:pt idx="1625">
                  <c:v>5.99999999997118</c:v>
                </c:pt>
                <c:pt idx="1626">
                  <c:v>5.99999999997288</c:v>
                </c:pt>
                <c:pt idx="1627">
                  <c:v>5.99999999997442</c:v>
                </c:pt>
                <c:pt idx="1628">
                  <c:v>5.99999999997583</c:v>
                </c:pt>
                <c:pt idx="1629">
                  <c:v>5.99999999997714</c:v>
                </c:pt>
                <c:pt idx="1630">
                  <c:v>5.99999999997836</c:v>
                </c:pt>
                <c:pt idx="1631">
                  <c:v>5.99999999997947</c:v>
                </c:pt>
                <c:pt idx="1632">
                  <c:v>5.99999999998047</c:v>
                </c:pt>
                <c:pt idx="1633">
                  <c:v>5.99999999998137</c:v>
                </c:pt>
                <c:pt idx="1634">
                  <c:v>5.99999999998219</c:v>
                </c:pt>
                <c:pt idx="1635">
                  <c:v>5.99999999998293</c:v>
                </c:pt>
                <c:pt idx="1636">
                  <c:v>5.99999999998368</c:v>
                </c:pt>
                <c:pt idx="1637">
                  <c:v>5.99999999998441</c:v>
                </c:pt>
                <c:pt idx="1638">
                  <c:v>5.99999999998506</c:v>
                </c:pt>
                <c:pt idx="1639">
                  <c:v>5.99999999998566</c:v>
                </c:pt>
                <c:pt idx="1640">
                  <c:v>5.99999999998619</c:v>
                </c:pt>
                <c:pt idx="1641">
                  <c:v>5.99999999998668</c:v>
                </c:pt>
                <c:pt idx="1642">
                  <c:v>5.99999999998711</c:v>
                </c:pt>
                <c:pt idx="1643">
                  <c:v>5.99999999998751</c:v>
                </c:pt>
                <c:pt idx="1644">
                  <c:v>5.99999999998786</c:v>
                </c:pt>
                <c:pt idx="1645">
                  <c:v>5.99999999998818</c:v>
                </c:pt>
                <c:pt idx="1646">
                  <c:v>5.99999999998847</c:v>
                </c:pt>
                <c:pt idx="1647">
                  <c:v>5.99999999998873</c:v>
                </c:pt>
                <c:pt idx="1648">
                  <c:v>5.99999999998897</c:v>
                </c:pt>
                <c:pt idx="1649">
                  <c:v>5.99999999998918</c:v>
                </c:pt>
                <c:pt idx="1650">
                  <c:v>5.99999999998938</c:v>
                </c:pt>
                <c:pt idx="1651">
                  <c:v>5.99999999998955</c:v>
                </c:pt>
                <c:pt idx="1652">
                  <c:v>5.9999999999897</c:v>
                </c:pt>
                <c:pt idx="1653">
                  <c:v>5.99999999998985</c:v>
                </c:pt>
                <c:pt idx="1654">
                  <c:v>5.99999999998997</c:v>
                </c:pt>
                <c:pt idx="1655">
                  <c:v>5.99999999999009</c:v>
                </c:pt>
                <c:pt idx="1656">
                  <c:v>5.99999999999019</c:v>
                </c:pt>
                <c:pt idx="1657">
                  <c:v>5.99999999999029</c:v>
                </c:pt>
                <c:pt idx="1658">
                  <c:v>5.99999999999037</c:v>
                </c:pt>
                <c:pt idx="1659">
                  <c:v>5.99999999999045</c:v>
                </c:pt>
                <c:pt idx="1660">
                  <c:v>5.99999999999052</c:v>
                </c:pt>
                <c:pt idx="1661">
                  <c:v>5.99999999999058</c:v>
                </c:pt>
                <c:pt idx="1662">
                  <c:v>5.99999999999064</c:v>
                </c:pt>
                <c:pt idx="1663">
                  <c:v>5.99999999999069</c:v>
                </c:pt>
                <c:pt idx="1664">
                  <c:v>5.99999999999073</c:v>
                </c:pt>
                <c:pt idx="1665">
                  <c:v>5.99999999999077</c:v>
                </c:pt>
                <c:pt idx="1666">
                  <c:v>5.99999999999081</c:v>
                </c:pt>
                <c:pt idx="1667">
                  <c:v>5.99999999999084</c:v>
                </c:pt>
                <c:pt idx="1668">
                  <c:v>5.99999999999087</c:v>
                </c:pt>
                <c:pt idx="1669">
                  <c:v>5.9999999999909</c:v>
                </c:pt>
                <c:pt idx="1670">
                  <c:v>5.99999999999093</c:v>
                </c:pt>
                <c:pt idx="1671">
                  <c:v>5.99999999999095</c:v>
                </c:pt>
                <c:pt idx="1672">
                  <c:v>5.99999999999097</c:v>
                </c:pt>
                <c:pt idx="1673">
                  <c:v>5.99999999999099</c:v>
                </c:pt>
                <c:pt idx="1674">
                  <c:v>5.999999999991</c:v>
                </c:pt>
                <c:pt idx="1675">
                  <c:v>5.99999999999102</c:v>
                </c:pt>
                <c:pt idx="1676">
                  <c:v>5.99999999999103</c:v>
                </c:pt>
                <c:pt idx="1677">
                  <c:v>5.99999999999104</c:v>
                </c:pt>
                <c:pt idx="1678">
                  <c:v>5.99999999999105</c:v>
                </c:pt>
                <c:pt idx="1679">
                  <c:v>5.99999999999106</c:v>
                </c:pt>
                <c:pt idx="1680">
                  <c:v>5.99999999999107</c:v>
                </c:pt>
                <c:pt idx="1681">
                  <c:v>5.99999999999108</c:v>
                </c:pt>
                <c:pt idx="1682">
                  <c:v>5.99999999999109</c:v>
                </c:pt>
                <c:pt idx="1683">
                  <c:v>5.9999999999911</c:v>
                </c:pt>
                <c:pt idx="1684">
                  <c:v>5.9999999999911</c:v>
                </c:pt>
                <c:pt idx="1685">
                  <c:v>5.99999999999111</c:v>
                </c:pt>
                <c:pt idx="1686">
                  <c:v>5.99999999999111</c:v>
                </c:pt>
                <c:pt idx="1687">
                  <c:v>5.99999999999112</c:v>
                </c:pt>
                <c:pt idx="1688">
                  <c:v>5.99999999999112</c:v>
                </c:pt>
                <c:pt idx="1689">
                  <c:v>5.99999999999112</c:v>
                </c:pt>
                <c:pt idx="1690">
                  <c:v>5.99999999999113</c:v>
                </c:pt>
                <c:pt idx="1691">
                  <c:v>5.99999999999113</c:v>
                </c:pt>
                <c:pt idx="1692">
                  <c:v>5.99999999999113</c:v>
                </c:pt>
                <c:pt idx="1693">
                  <c:v>5.99999999999113</c:v>
                </c:pt>
                <c:pt idx="1694">
                  <c:v>5.99999999999114</c:v>
                </c:pt>
                <c:pt idx="1695">
                  <c:v>5.99999999999114</c:v>
                </c:pt>
                <c:pt idx="1696">
                  <c:v>5.99999999999114</c:v>
                </c:pt>
                <c:pt idx="1697">
                  <c:v>5.99999999999114</c:v>
                </c:pt>
                <c:pt idx="1698">
                  <c:v>5.99999999999114</c:v>
                </c:pt>
                <c:pt idx="1699">
                  <c:v>5.99999999999114</c:v>
                </c:pt>
              </c:numCache>
            </c:numRef>
          </c:yVal>
          <c:smooth val="0"/>
        </c:ser>
        <c:ser>
          <c:idx val="2"/>
          <c:order val="2"/>
          <c:tx>
            <c:strRef>
              <c:f>"Pure gain-scheduled PID"</c:f>
              <c:strCache>
                <c:ptCount val="1"/>
                <c:pt idx="0">
                  <c:v>Pure gain-scheduled PID</c:v>
                </c:pt>
              </c:strCache>
            </c:strRef>
          </c:tx>
          <c:spPr>
            <a:solidFill>
              <a:srgbClr val="ff7f0e"/>
            </a:solidFill>
            <a:ln w="18000">
              <a:solidFill>
                <a:srgbClr val="ff7f0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12_Traces!$F$5:$F$1704</c:f>
              <c:numCache>
                <c:formatCode>0.0000</c:formatCode>
                <c:ptCount val="1700"/>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pt idx="51">
                  <c:v>7</c:v>
                </c:pt>
                <c:pt idx="52">
                  <c:v>7</c:v>
                </c:pt>
                <c:pt idx="53">
                  <c:v>7</c:v>
                </c:pt>
                <c:pt idx="54">
                  <c:v>7</c:v>
                </c:pt>
                <c:pt idx="55">
                  <c:v>7</c:v>
                </c:pt>
                <c:pt idx="56">
                  <c:v>7</c:v>
                </c:pt>
                <c:pt idx="57">
                  <c:v>7</c:v>
                </c:pt>
                <c:pt idx="58">
                  <c:v>7</c:v>
                </c:pt>
                <c:pt idx="59">
                  <c:v>7</c:v>
                </c:pt>
                <c:pt idx="60">
                  <c:v>7</c:v>
                </c:pt>
                <c:pt idx="61">
                  <c:v>7</c:v>
                </c:pt>
                <c:pt idx="62">
                  <c:v>7</c:v>
                </c:pt>
                <c:pt idx="63">
                  <c:v>7</c:v>
                </c:pt>
                <c:pt idx="64">
                  <c:v>7</c:v>
                </c:pt>
                <c:pt idx="65">
                  <c:v>7</c:v>
                </c:pt>
                <c:pt idx="66">
                  <c:v>7</c:v>
                </c:pt>
                <c:pt idx="67">
                  <c:v>7</c:v>
                </c:pt>
                <c:pt idx="68">
                  <c:v>7</c:v>
                </c:pt>
                <c:pt idx="69">
                  <c:v>7</c:v>
                </c:pt>
                <c:pt idx="70">
                  <c:v>7</c:v>
                </c:pt>
                <c:pt idx="71">
                  <c:v>7</c:v>
                </c:pt>
                <c:pt idx="72">
                  <c:v>7</c:v>
                </c:pt>
                <c:pt idx="73">
                  <c:v>7</c:v>
                </c:pt>
                <c:pt idx="74">
                  <c:v>7</c:v>
                </c:pt>
                <c:pt idx="75">
                  <c:v>7</c:v>
                </c:pt>
                <c:pt idx="76">
                  <c:v>7</c:v>
                </c:pt>
                <c:pt idx="77">
                  <c:v>7</c:v>
                </c:pt>
                <c:pt idx="78">
                  <c:v>7</c:v>
                </c:pt>
                <c:pt idx="79">
                  <c:v>7</c:v>
                </c:pt>
                <c:pt idx="80">
                  <c:v>7</c:v>
                </c:pt>
                <c:pt idx="81">
                  <c:v>7</c:v>
                </c:pt>
                <c:pt idx="82">
                  <c:v>7</c:v>
                </c:pt>
                <c:pt idx="83">
                  <c:v>7</c:v>
                </c:pt>
                <c:pt idx="84">
                  <c:v>7</c:v>
                </c:pt>
                <c:pt idx="85">
                  <c:v>7</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7</c:v>
                </c:pt>
                <c:pt idx="154">
                  <c:v>7</c:v>
                </c:pt>
                <c:pt idx="155">
                  <c:v>7</c:v>
                </c:pt>
                <c:pt idx="156">
                  <c:v>7</c:v>
                </c:pt>
                <c:pt idx="157">
                  <c:v>7</c:v>
                </c:pt>
                <c:pt idx="158">
                  <c:v>7</c:v>
                </c:pt>
                <c:pt idx="159">
                  <c:v>7</c:v>
                </c:pt>
                <c:pt idx="160">
                  <c:v>7</c:v>
                </c:pt>
                <c:pt idx="161">
                  <c:v>7</c:v>
                </c:pt>
                <c:pt idx="162">
                  <c:v>7</c:v>
                </c:pt>
                <c:pt idx="163">
                  <c:v>7</c:v>
                </c:pt>
                <c:pt idx="164">
                  <c:v>7</c:v>
                </c:pt>
                <c:pt idx="165">
                  <c:v>7</c:v>
                </c:pt>
                <c:pt idx="166">
                  <c:v>7</c:v>
                </c:pt>
                <c:pt idx="167">
                  <c:v>7</c:v>
                </c:pt>
                <c:pt idx="168">
                  <c:v>7</c:v>
                </c:pt>
                <c:pt idx="169">
                  <c:v>7</c:v>
                </c:pt>
                <c:pt idx="170">
                  <c:v>7</c:v>
                </c:pt>
                <c:pt idx="171">
                  <c:v>7</c:v>
                </c:pt>
                <c:pt idx="172">
                  <c:v>7</c:v>
                </c:pt>
                <c:pt idx="173">
                  <c:v>7</c:v>
                </c:pt>
                <c:pt idx="174">
                  <c:v>7</c:v>
                </c:pt>
                <c:pt idx="175">
                  <c:v>7</c:v>
                </c:pt>
                <c:pt idx="176">
                  <c:v>7</c:v>
                </c:pt>
                <c:pt idx="177">
                  <c:v>7</c:v>
                </c:pt>
                <c:pt idx="178">
                  <c:v>7</c:v>
                </c:pt>
                <c:pt idx="179">
                  <c:v>7</c:v>
                </c:pt>
                <c:pt idx="180">
                  <c:v>7</c:v>
                </c:pt>
                <c:pt idx="181">
                  <c:v>7</c:v>
                </c:pt>
                <c:pt idx="182">
                  <c:v>7</c:v>
                </c:pt>
                <c:pt idx="183">
                  <c:v>7</c:v>
                </c:pt>
                <c:pt idx="184">
                  <c:v>7</c:v>
                </c:pt>
                <c:pt idx="185">
                  <c:v>7</c:v>
                </c:pt>
                <c:pt idx="186">
                  <c:v>7</c:v>
                </c:pt>
                <c:pt idx="187">
                  <c:v>7</c:v>
                </c:pt>
                <c:pt idx="188">
                  <c:v>7</c:v>
                </c:pt>
                <c:pt idx="189">
                  <c:v>7</c:v>
                </c:pt>
                <c:pt idx="190">
                  <c:v>7</c:v>
                </c:pt>
                <c:pt idx="191">
                  <c:v>7</c:v>
                </c:pt>
                <c:pt idx="192">
                  <c:v>7</c:v>
                </c:pt>
                <c:pt idx="193">
                  <c:v>7</c:v>
                </c:pt>
                <c:pt idx="194">
                  <c:v>7</c:v>
                </c:pt>
                <c:pt idx="195">
                  <c:v>7</c:v>
                </c:pt>
                <c:pt idx="196">
                  <c:v>7</c:v>
                </c:pt>
                <c:pt idx="197">
                  <c:v>7</c:v>
                </c:pt>
                <c:pt idx="198">
                  <c:v>7</c:v>
                </c:pt>
                <c:pt idx="199">
                  <c:v>7</c:v>
                </c:pt>
                <c:pt idx="200">
                  <c:v>5.30513804347507</c:v>
                </c:pt>
                <c:pt idx="201">
                  <c:v>4.54862234405381</c:v>
                </c:pt>
                <c:pt idx="202">
                  <c:v>4.3690458080591</c:v>
                </c:pt>
                <c:pt idx="203">
                  <c:v>4.30183635073281</c:v>
                </c:pt>
                <c:pt idx="204">
                  <c:v>4.30441316673428</c:v>
                </c:pt>
                <c:pt idx="205">
                  <c:v>4.36465886218606</c:v>
                </c:pt>
                <c:pt idx="206">
                  <c:v>4.4982932153985</c:v>
                </c:pt>
                <c:pt idx="207">
                  <c:v>4.78421166627259</c:v>
                </c:pt>
                <c:pt idx="208">
                  <c:v>8.10744797685534</c:v>
                </c:pt>
                <c:pt idx="209">
                  <c:v>9.24866642942156</c:v>
                </c:pt>
                <c:pt idx="210">
                  <c:v>9.32124512684447</c:v>
                </c:pt>
                <c:pt idx="211">
                  <c:v>9.31597015954664</c:v>
                </c:pt>
                <c:pt idx="212">
                  <c:v>9.20507835116611</c:v>
                </c:pt>
                <c:pt idx="213">
                  <c:v>8.8556697580767</c:v>
                </c:pt>
                <c:pt idx="214">
                  <c:v>5.39126398944373</c:v>
                </c:pt>
                <c:pt idx="215">
                  <c:v>4.91645208351724</c:v>
                </c:pt>
                <c:pt idx="216">
                  <c:v>4.9603081128815</c:v>
                </c:pt>
                <c:pt idx="217">
                  <c:v>5.1286906751094</c:v>
                </c:pt>
                <c:pt idx="218">
                  <c:v>5.91035472428549</c:v>
                </c:pt>
                <c:pt idx="219">
                  <c:v>8.7644164488955</c:v>
                </c:pt>
                <c:pt idx="220">
                  <c:v>8.74843089760273</c:v>
                </c:pt>
                <c:pt idx="221">
                  <c:v>8.15083845000798</c:v>
                </c:pt>
                <c:pt idx="222">
                  <c:v>5.52302572908668</c:v>
                </c:pt>
                <c:pt idx="223">
                  <c:v>5.62138232492484</c:v>
                </c:pt>
                <c:pt idx="224">
                  <c:v>8.40904286035294</c:v>
                </c:pt>
                <c:pt idx="225">
                  <c:v>8.63360406216705</c:v>
                </c:pt>
                <c:pt idx="226">
                  <c:v>7.21799661065961</c:v>
                </c:pt>
                <c:pt idx="227">
                  <c:v>5.37110695860851</c:v>
                </c:pt>
                <c:pt idx="228">
                  <c:v>5.77993754205353</c:v>
                </c:pt>
                <c:pt idx="229">
                  <c:v>8.51492964105887</c:v>
                </c:pt>
                <c:pt idx="230">
                  <c:v>8.54340429104927</c:v>
                </c:pt>
                <c:pt idx="231">
                  <c:v>5.98080283628632</c:v>
                </c:pt>
                <c:pt idx="232">
                  <c:v>5.35213870360737</c:v>
                </c:pt>
                <c:pt idx="233">
                  <c:v>6.23665910186758</c:v>
                </c:pt>
                <c:pt idx="234">
                  <c:v>8.62230273022909</c:v>
                </c:pt>
                <c:pt idx="235">
                  <c:v>8.41207117912979</c:v>
                </c:pt>
                <c:pt idx="236">
                  <c:v>5.66661259860235</c:v>
                </c:pt>
                <c:pt idx="237">
                  <c:v>5.41562133703329</c:v>
                </c:pt>
                <c:pt idx="238">
                  <c:v>7.78801194414279</c:v>
                </c:pt>
                <c:pt idx="239">
                  <c:v>8.68410675379603</c:v>
                </c:pt>
                <c:pt idx="240">
                  <c:v>8.19947487877535</c:v>
                </c:pt>
                <c:pt idx="241">
                  <c:v>5.49715969275901</c:v>
                </c:pt>
                <c:pt idx="242">
                  <c:v>5.51489145790662</c:v>
                </c:pt>
                <c:pt idx="243">
                  <c:v>8.2304481023181</c:v>
                </c:pt>
                <c:pt idx="244">
                  <c:v>8.65442430515984</c:v>
                </c:pt>
                <c:pt idx="245">
                  <c:v>7.74693999100559</c:v>
                </c:pt>
                <c:pt idx="246">
                  <c:v>5.39214941793989</c:v>
                </c:pt>
                <c:pt idx="247">
                  <c:v>5.66341112283541</c:v>
                </c:pt>
                <c:pt idx="248">
                  <c:v>8.43456836390884</c:v>
                </c:pt>
                <c:pt idx="249">
                  <c:v>8.59230742296252</c:v>
                </c:pt>
                <c:pt idx="250">
                  <c:v>6.29894223498114</c:v>
                </c:pt>
                <c:pt idx="251">
                  <c:v>5.33490797641984</c:v>
                </c:pt>
                <c:pt idx="252">
                  <c:v>5.91618149175647</c:v>
                </c:pt>
                <c:pt idx="253">
                  <c:v>8.563064143043</c:v>
                </c:pt>
                <c:pt idx="254">
                  <c:v>8.50062773460115</c:v>
                </c:pt>
                <c:pt idx="255">
                  <c:v>5.82674358501879</c:v>
                </c:pt>
                <c:pt idx="256">
                  <c:v>5.36489954289261</c:v>
                </c:pt>
                <c:pt idx="257">
                  <c:v>6.6330609392561</c:v>
                </c:pt>
                <c:pt idx="258">
                  <c:v>8.64877884161095</c:v>
                </c:pt>
                <c:pt idx="259">
                  <c:v>8.3656256536553</c:v>
                </c:pt>
                <c:pt idx="260">
                  <c:v>5.61021559240016</c:v>
                </c:pt>
                <c:pt idx="261">
                  <c:v>5.43076699007229</c:v>
                </c:pt>
                <c:pt idx="262">
                  <c:v>7.92576505554714</c:v>
                </c:pt>
                <c:pt idx="263">
                  <c:v>8.68411375037105</c:v>
                </c:pt>
                <c:pt idx="264">
                  <c:v>8.14500872375951</c:v>
                </c:pt>
                <c:pt idx="265">
                  <c:v>5.47397381426001</c:v>
                </c:pt>
                <c:pt idx="266">
                  <c:v>5.5301142683577</c:v>
                </c:pt>
                <c:pt idx="267">
                  <c:v>8.2655794190803</c:v>
                </c:pt>
                <c:pt idx="268">
                  <c:v>8.64839652342266</c:v>
                </c:pt>
                <c:pt idx="269">
                  <c:v>7.63746501042243</c:v>
                </c:pt>
                <c:pt idx="270">
                  <c:v>5.38221552067823</c:v>
                </c:pt>
                <c:pt idx="271">
                  <c:v>5.68051918513567</c:v>
                </c:pt>
                <c:pt idx="272">
                  <c:v>8.44932649603312</c:v>
                </c:pt>
                <c:pt idx="273">
                  <c:v>8.58510079264347</c:v>
                </c:pt>
                <c:pt idx="274">
                  <c:v>6.22687577371885</c:v>
                </c:pt>
                <c:pt idx="275">
                  <c:v>5.33330341147892</c:v>
                </c:pt>
                <c:pt idx="276">
                  <c:v>5.94135919142292</c:v>
                </c:pt>
                <c:pt idx="277">
                  <c:v>8.57057761271599</c:v>
                </c:pt>
                <c:pt idx="278">
                  <c:v>8.49240218768897</c:v>
                </c:pt>
                <c:pt idx="279">
                  <c:v>5.80657195975816</c:v>
                </c:pt>
                <c:pt idx="280">
                  <c:v>5.367069033128</c:v>
                </c:pt>
                <c:pt idx="281">
                  <c:v>6.72919152025038</c:v>
                </c:pt>
                <c:pt idx="282">
                  <c:v>8.65263811558855</c:v>
                </c:pt>
                <c:pt idx="283">
                  <c:v>8.35534470472549</c:v>
                </c:pt>
                <c:pt idx="284">
                  <c:v>5.60050625064617</c:v>
                </c:pt>
                <c:pt idx="285">
                  <c:v>5.43419395614684</c:v>
                </c:pt>
                <c:pt idx="286">
                  <c:v>7.94934951174998</c:v>
                </c:pt>
                <c:pt idx="287">
                  <c:v>8.68281255229017</c:v>
                </c:pt>
                <c:pt idx="288">
                  <c:v>8.12920370742485</c:v>
                </c:pt>
                <c:pt idx="289">
                  <c:v>5.46842439079669</c:v>
                </c:pt>
                <c:pt idx="290">
                  <c:v>5.53477062296984</c:v>
                </c:pt>
                <c:pt idx="291">
                  <c:v>8.2750526048602</c:v>
                </c:pt>
                <c:pt idx="292">
                  <c:v>8.64582322717466</c:v>
                </c:pt>
                <c:pt idx="293">
                  <c:v>7.5924544187081</c:v>
                </c:pt>
                <c:pt idx="294">
                  <c:v>5.37903277903754</c:v>
                </c:pt>
                <c:pt idx="295">
                  <c:v>5.68729410769116</c:v>
                </c:pt>
                <c:pt idx="296">
                  <c:v>8.45471090889694</c:v>
                </c:pt>
                <c:pt idx="297">
                  <c:v>8.58165193058793</c:v>
                </c:pt>
                <c:pt idx="298">
                  <c:v>6.19840848020703</c:v>
                </c:pt>
                <c:pt idx="299">
                  <c:v>5.33302858876439</c:v>
                </c:pt>
                <c:pt idx="300">
                  <c:v>5.95389145753789</c:v>
                </c:pt>
                <c:pt idx="301">
                  <c:v>8.57402996178887</c:v>
                </c:pt>
                <c:pt idx="302">
                  <c:v>8.4877808235005</c:v>
                </c:pt>
                <c:pt idx="303">
                  <c:v>5.7961686917095</c:v>
                </c:pt>
                <c:pt idx="304">
                  <c:v>5.36847266103592</c:v>
                </c:pt>
                <c:pt idx="305">
                  <c:v>6.79005253468705</c:v>
                </c:pt>
                <c:pt idx="306">
                  <c:v>8.65475493815084</c:v>
                </c:pt>
                <c:pt idx="307">
                  <c:v>8.34858488582424</c:v>
                </c:pt>
                <c:pt idx="308">
                  <c:v>5.59449359983308</c:v>
                </c:pt>
                <c:pt idx="309">
                  <c:v>5.43661238788273</c:v>
                </c:pt>
                <c:pt idx="310">
                  <c:v>7.96448706402297</c:v>
                </c:pt>
                <c:pt idx="311">
                  <c:v>8.68159839894576</c:v>
                </c:pt>
                <c:pt idx="312">
                  <c:v>8.11707021844242</c:v>
                </c:pt>
                <c:pt idx="313">
                  <c:v>5.46441744884653</c:v>
                </c:pt>
                <c:pt idx="314">
                  <c:v>5.53851051360304</c:v>
                </c:pt>
                <c:pt idx="315">
                  <c:v>8.28225848338565</c:v>
                </c:pt>
                <c:pt idx="316">
                  <c:v>8.64349346301769</c:v>
                </c:pt>
                <c:pt idx="317">
                  <c:v>7.55065661002887</c:v>
                </c:pt>
                <c:pt idx="318">
                  <c:v>5.37641456335833</c:v>
                </c:pt>
                <c:pt idx="319">
                  <c:v>5.69351533416211</c:v>
                </c:pt>
                <c:pt idx="320">
                  <c:v>8.45943662065837</c:v>
                </c:pt>
                <c:pt idx="321">
                  <c:v>8.57818549573466</c:v>
                </c:pt>
                <c:pt idx="322">
                  <c:v>6.17242607852014</c:v>
                </c:pt>
                <c:pt idx="323">
                  <c:v>5.33303660970661</c:v>
                </c:pt>
                <c:pt idx="324">
                  <c:v>5.96716119763974</c:v>
                </c:pt>
                <c:pt idx="325">
                  <c:v>8.57748927082264</c:v>
                </c:pt>
                <c:pt idx="326">
                  <c:v>8.48253793415407</c:v>
                </c:pt>
                <c:pt idx="327">
                  <c:v>5.78499097822726</c:v>
                </c:pt>
                <c:pt idx="328">
                  <c:v>5.37026497811083</c:v>
                </c:pt>
                <c:pt idx="329">
                  <c:v>6.8662490801815</c:v>
                </c:pt>
                <c:pt idx="330">
                  <c:v>8.65714315952993</c:v>
                </c:pt>
                <c:pt idx="331">
                  <c:v>8.33983905784537</c:v>
                </c:pt>
                <c:pt idx="332">
                  <c:v>5.58707453609293</c:v>
                </c:pt>
                <c:pt idx="333">
                  <c:v>5.43999667893673</c:v>
                </c:pt>
                <c:pt idx="334">
                  <c:v>7.98392517655065</c:v>
                </c:pt>
                <c:pt idx="335">
                  <c:v>8.67957191022786</c:v>
                </c:pt>
                <c:pt idx="336">
                  <c:v>8.09884160938487</c:v>
                </c:pt>
                <c:pt idx="337">
                  <c:v>5.4587510464359</c:v>
                </c:pt>
                <c:pt idx="338">
                  <c:v>5.54448853329831</c:v>
                </c:pt>
                <c:pt idx="339">
                  <c:v>8.29310836959227</c:v>
                </c:pt>
                <c:pt idx="340">
                  <c:v>8.63938079605426</c:v>
                </c:pt>
                <c:pt idx="341">
                  <c:v>7.47202566592519</c:v>
                </c:pt>
                <c:pt idx="342">
                  <c:v>5.37219155639052</c:v>
                </c:pt>
                <c:pt idx="343">
                  <c:v>5.70516583269651</c:v>
                </c:pt>
                <c:pt idx="344">
                  <c:v>8.46777153584931</c:v>
                </c:pt>
                <c:pt idx="345">
                  <c:v>8.57111883684872</c:v>
                </c:pt>
                <c:pt idx="346">
                  <c:v>6.12543465296468</c:v>
                </c:pt>
                <c:pt idx="347">
                  <c:v>5.33394444204876</c:v>
                </c:pt>
                <c:pt idx="348">
                  <c:v>5.99753258051165</c:v>
                </c:pt>
                <c:pt idx="349">
                  <c:v>8.5847222177787</c:v>
                </c:pt>
                <c:pt idx="350">
                  <c:v>8.46976482185788</c:v>
                </c:pt>
                <c:pt idx="351">
                  <c:v>5.75989265075832</c:v>
                </c:pt>
                <c:pt idx="352">
                  <c:v>5.37578661185129</c:v>
                </c:pt>
                <c:pt idx="353">
                  <c:v>7.08266509160345</c:v>
                </c:pt>
                <c:pt idx="354">
                  <c:v>8.66304329761782</c:v>
                </c:pt>
                <c:pt idx="355">
                  <c:v>8.31336144451391</c:v>
                </c:pt>
                <c:pt idx="356">
                  <c:v>5.56653555544365</c:v>
                </c:pt>
                <c:pt idx="357">
                  <c:v>5.45272786580505</c:v>
                </c:pt>
                <c:pt idx="358">
                  <c:v>8.04410549431344</c:v>
                </c:pt>
                <c:pt idx="359">
                  <c:v>8.67115184237633</c:v>
                </c:pt>
                <c:pt idx="360">
                  <c:v>8.02549721947327</c:v>
                </c:pt>
                <c:pt idx="361">
                  <c:v>5.43920577187392</c:v>
                </c:pt>
                <c:pt idx="362">
                  <c:v>5.57486508715185</c:v>
                </c:pt>
                <c:pt idx="363">
                  <c:v>8.33904868088185</c:v>
                </c:pt>
                <c:pt idx="364">
                  <c:v>8.61987406486377</c:v>
                </c:pt>
                <c:pt idx="365">
                  <c:v>6.93673051056601</c:v>
                </c:pt>
                <c:pt idx="366">
                  <c:v>5.3549633077376</c:v>
                </c:pt>
                <c:pt idx="367">
                  <c:v>5.78967185641366</c:v>
                </c:pt>
                <c:pt idx="368">
                  <c:v>8.51469324661085</c:v>
                </c:pt>
                <c:pt idx="369">
                  <c:v>8.53256389998282</c:v>
                </c:pt>
                <c:pt idx="370">
                  <c:v>5.93598826612155</c:v>
                </c:pt>
                <c:pt idx="371">
                  <c:v>5.35620225662745</c:v>
                </c:pt>
                <c:pt idx="372">
                  <c:v>6.31891278501468</c:v>
                </c:pt>
                <c:pt idx="373">
                  <c:v>8.62915892448462</c:v>
                </c:pt>
                <c:pt idx="374">
                  <c:v>8.39893157229672</c:v>
                </c:pt>
                <c:pt idx="375">
                  <c:v>5.64842277684236</c:v>
                </c:pt>
                <c:pt idx="376">
                  <c:v>5.4203389373856</c:v>
                </c:pt>
                <c:pt idx="377">
                  <c:v>7.83548117156458</c:v>
                </c:pt>
                <c:pt idx="378">
                  <c:v>8.68484027591241</c:v>
                </c:pt>
                <c:pt idx="379">
                  <c:v>8.18445989219545</c:v>
                </c:pt>
                <c:pt idx="380">
                  <c:v>5.48999864851195</c:v>
                </c:pt>
                <c:pt idx="381">
                  <c:v>5.51907206186614</c:v>
                </c:pt>
                <c:pt idx="382">
                  <c:v>8.24068259244977</c:v>
                </c:pt>
                <c:pt idx="383">
                  <c:v>8.65305613661096</c:v>
                </c:pt>
                <c:pt idx="384">
                  <c:v>7.72081770782731</c:v>
                </c:pt>
                <c:pt idx="385">
                  <c:v>5.38942128641072</c:v>
                </c:pt>
                <c:pt idx="386">
                  <c:v>5.66758495908559</c:v>
                </c:pt>
                <c:pt idx="387">
                  <c:v>8.43831816873526</c:v>
                </c:pt>
                <c:pt idx="388">
                  <c:v>8.59071992148777</c:v>
                </c:pt>
                <c:pt idx="389">
                  <c:v>6.28117568485698</c:v>
                </c:pt>
                <c:pt idx="390">
                  <c:v>5.33441546419527</c:v>
                </c:pt>
                <c:pt idx="391">
                  <c:v>5.92167464958667</c:v>
                </c:pt>
                <c:pt idx="392">
                  <c:v>8.5647692138746</c:v>
                </c:pt>
                <c:pt idx="393">
                  <c:v>8.49894636055181</c:v>
                </c:pt>
                <c:pt idx="394">
                  <c:v>5.82241606827614</c:v>
                </c:pt>
                <c:pt idx="395">
                  <c:v>5.36531212036906</c:v>
                </c:pt>
                <c:pt idx="396">
                  <c:v>6.65159865176538</c:v>
                </c:pt>
                <c:pt idx="397">
                  <c:v>8.64958025508545</c:v>
                </c:pt>
                <c:pt idx="398">
                  <c:v>8.36367681587344</c:v>
                </c:pt>
                <c:pt idx="399">
                  <c:v>5.60831566035</c:v>
                </c:pt>
                <c:pt idx="400">
                  <c:v>5.43139688854617</c:v>
                </c:pt>
                <c:pt idx="401">
                  <c:v>7.93030778820101</c:v>
                </c:pt>
                <c:pt idx="402">
                  <c:v>8.68391408131141</c:v>
                </c:pt>
                <c:pt idx="403">
                  <c:v>8.14222331264786</c:v>
                </c:pt>
                <c:pt idx="404">
                  <c:v>5.47296590085541</c:v>
                </c:pt>
                <c:pt idx="405">
                  <c:v>5.53092016422556</c:v>
                </c:pt>
                <c:pt idx="406">
                  <c:v>8.26726084741445</c:v>
                </c:pt>
                <c:pt idx="407">
                  <c:v>8.64797826514876</c:v>
                </c:pt>
                <c:pt idx="408">
                  <c:v>7.63018132129251</c:v>
                </c:pt>
                <c:pt idx="409">
                  <c:v>5.38167178918897</c:v>
                </c:pt>
                <c:pt idx="410">
                  <c:v>5.68162298053298</c:v>
                </c:pt>
                <c:pt idx="411">
                  <c:v>8.45022127957</c:v>
                </c:pt>
                <c:pt idx="412">
                  <c:v>8.58456323723583</c:v>
                </c:pt>
                <c:pt idx="413">
                  <c:v>6.2222374042413</c:v>
                </c:pt>
                <c:pt idx="414">
                  <c:v>5.33324154084388</c:v>
                </c:pt>
                <c:pt idx="415">
                  <c:v>5.94327973128375</c:v>
                </c:pt>
                <c:pt idx="416">
                  <c:v>8.57111880503813</c:v>
                </c:pt>
                <c:pt idx="417">
                  <c:v>8.49171673077085</c:v>
                </c:pt>
                <c:pt idx="418">
                  <c:v>5.80499218139485</c:v>
                </c:pt>
                <c:pt idx="419">
                  <c:v>5.36726794978038</c:v>
                </c:pt>
                <c:pt idx="420">
                  <c:v>6.73787359829166</c:v>
                </c:pt>
                <c:pt idx="421">
                  <c:v>8.65295363561308</c:v>
                </c:pt>
                <c:pt idx="422">
                  <c:v>8.35439274757384</c:v>
                </c:pt>
                <c:pt idx="423">
                  <c:v>5.59964329414511</c:v>
                </c:pt>
                <c:pt idx="424">
                  <c:v>5.43452560250047</c:v>
                </c:pt>
                <c:pt idx="425">
                  <c:v>7.95149372284404</c:v>
                </c:pt>
                <c:pt idx="426">
                  <c:v>8.68265961495938</c:v>
                </c:pt>
                <c:pt idx="427">
                  <c:v>8.12758755392057</c:v>
                </c:pt>
                <c:pt idx="428">
                  <c:v>5.46787877678762</c:v>
                </c:pt>
                <c:pt idx="429">
                  <c:v>5.53525945407514</c:v>
                </c:pt>
                <c:pt idx="430">
                  <c:v>8.27601411935548</c:v>
                </c:pt>
                <c:pt idx="431">
                  <c:v>8.64553143772919</c:v>
                </c:pt>
                <c:pt idx="432">
                  <c:v>7.58729351368681</c:v>
                </c:pt>
                <c:pt idx="433">
                  <c:v>5.37869317364019</c:v>
                </c:pt>
                <c:pt idx="434">
                  <c:v>5.68806496877705</c:v>
                </c:pt>
                <c:pt idx="435">
                  <c:v>8.45530754805931</c:v>
                </c:pt>
                <c:pt idx="436">
                  <c:v>8.58123727368058</c:v>
                </c:pt>
                <c:pt idx="437">
                  <c:v>6.19517473904634</c:v>
                </c:pt>
                <c:pt idx="438">
                  <c:v>5.33301468307915</c:v>
                </c:pt>
                <c:pt idx="439">
                  <c:v>5.95543768925557</c:v>
                </c:pt>
                <c:pt idx="440">
                  <c:v>8.5744431915506</c:v>
                </c:pt>
                <c:pt idx="441">
                  <c:v>8.48718715134837</c:v>
                </c:pt>
                <c:pt idx="442">
                  <c:v>5.79487189830258</c:v>
                </c:pt>
                <c:pt idx="443">
                  <c:v>5.36866425548275</c:v>
                </c:pt>
                <c:pt idx="444">
                  <c:v>6.79828505634022</c:v>
                </c:pt>
                <c:pt idx="445">
                  <c:v>8.65502560000764</c:v>
                </c:pt>
                <c:pt idx="446">
                  <c:v>8.34765501106592</c:v>
                </c:pt>
                <c:pt idx="447">
                  <c:v>5.59368650919802</c:v>
                </c:pt>
                <c:pt idx="448">
                  <c:v>5.43695750258221</c:v>
                </c:pt>
                <c:pt idx="449">
                  <c:v>7.96655737102321</c:v>
                </c:pt>
                <c:pt idx="450">
                  <c:v>8.6814075652017</c:v>
                </c:pt>
                <c:pt idx="451">
                  <c:v>8.11527460986653</c:v>
                </c:pt>
                <c:pt idx="452">
                  <c:v>5.46384127303713</c:v>
                </c:pt>
                <c:pt idx="453">
                  <c:v>5.53907877480513</c:v>
                </c:pt>
                <c:pt idx="454">
                  <c:v>8.28332398147899</c:v>
                </c:pt>
                <c:pt idx="455">
                  <c:v>8.64312094332623</c:v>
                </c:pt>
                <c:pt idx="456">
                  <c:v>7.54382365472639</c:v>
                </c:pt>
                <c:pt idx="457">
                  <c:v>5.37601357208476</c:v>
                </c:pt>
                <c:pt idx="458">
                  <c:v>5.69452882168109</c:v>
                </c:pt>
                <c:pt idx="459">
                  <c:v>8.46018757831898</c:v>
                </c:pt>
                <c:pt idx="460">
                  <c:v>8.57759652289872</c:v>
                </c:pt>
                <c:pt idx="461">
                  <c:v>6.16822978044407</c:v>
                </c:pt>
                <c:pt idx="462">
                  <c:v>5.33306604818162</c:v>
                </c:pt>
                <c:pt idx="463">
                  <c:v>5.96950339806801</c:v>
                </c:pt>
                <c:pt idx="464">
                  <c:v>8.57807992441495</c:v>
                </c:pt>
                <c:pt idx="465">
                  <c:v>8.4815813519771</c:v>
                </c:pt>
                <c:pt idx="466">
                  <c:v>5.7830139708391</c:v>
                </c:pt>
                <c:pt idx="467">
                  <c:v>5.37061804446309</c:v>
                </c:pt>
                <c:pt idx="468">
                  <c:v>6.88101486538483</c:v>
                </c:pt>
                <c:pt idx="469">
                  <c:v>8.65757938255701</c:v>
                </c:pt>
                <c:pt idx="470">
                  <c:v>8.33810856098579</c:v>
                </c:pt>
                <c:pt idx="471">
                  <c:v>5.58564944053158</c:v>
                </c:pt>
                <c:pt idx="472">
                  <c:v>5.44070625696162</c:v>
                </c:pt>
                <c:pt idx="473">
                  <c:v>7.98777417678333</c:v>
                </c:pt>
                <c:pt idx="474">
                  <c:v>8.67911061067693</c:v>
                </c:pt>
                <c:pt idx="475">
                  <c:v>8.09486396242387</c:v>
                </c:pt>
                <c:pt idx="476">
                  <c:v>5.45756534050531</c:v>
                </c:pt>
                <c:pt idx="477">
                  <c:v>5.5458608561906</c:v>
                </c:pt>
                <c:pt idx="478">
                  <c:v>8.29549330849863</c:v>
                </c:pt>
                <c:pt idx="479">
                  <c:v>8.63839066557514</c:v>
                </c:pt>
                <c:pt idx="480">
                  <c:v>7.45184119495312</c:v>
                </c:pt>
                <c:pt idx="481">
                  <c:v>5.37123037313415</c:v>
                </c:pt>
                <c:pt idx="482">
                  <c:v>5.70816240627037</c:v>
                </c:pt>
                <c:pt idx="483">
                  <c:v>8.46981572579568</c:v>
                </c:pt>
                <c:pt idx="484">
                  <c:v>8.56923670366734</c:v>
                </c:pt>
                <c:pt idx="485">
                  <c:v>6.113971906974</c:v>
                </c:pt>
                <c:pt idx="486">
                  <c:v>5.33439934263191</c:v>
                </c:pt>
                <c:pt idx="487">
                  <c:v>6.00664704598302</c:v>
                </c:pt>
                <c:pt idx="488">
                  <c:v>8.58672595272591</c:v>
                </c:pt>
                <c:pt idx="489">
                  <c:v>8.4659265667369</c:v>
                </c:pt>
                <c:pt idx="490">
                  <c:v>5.75281881128991</c:v>
                </c:pt>
                <c:pt idx="491">
                  <c:v>5.37784032214501</c:v>
                </c:pt>
                <c:pt idx="492">
                  <c:v>7.15284241847949</c:v>
                </c:pt>
                <c:pt idx="493">
                  <c:v>8.66486092182458</c:v>
                </c:pt>
                <c:pt idx="494">
                  <c:v>8.304267789298</c:v>
                </c:pt>
                <c:pt idx="495">
                  <c:v>5.56000494518799</c:v>
                </c:pt>
                <c:pt idx="496">
                  <c:v>5.45818292596296</c:v>
                </c:pt>
                <c:pt idx="497">
                  <c:v>8.06562212223932</c:v>
                </c:pt>
                <c:pt idx="498">
                  <c:v>8.66826069872815</c:v>
                </c:pt>
                <c:pt idx="499">
                  <c:v>7.99636529590884</c:v>
                </c:pt>
                <c:pt idx="500">
                  <c:v>5.43253528264776</c:v>
                </c:pt>
                <c:pt idx="501">
                  <c:v>5.5895350020826</c:v>
                </c:pt>
                <c:pt idx="502">
                  <c:v>8.35758508968251</c:v>
                </c:pt>
                <c:pt idx="503">
                  <c:v>8.61382865170907</c:v>
                </c:pt>
                <c:pt idx="504">
                  <c:v>6.7412543214289</c:v>
                </c:pt>
                <c:pt idx="505">
                  <c:v>5.3497704490645</c:v>
                </c:pt>
                <c:pt idx="506">
                  <c:v>5.82395242187798</c:v>
                </c:pt>
                <c:pt idx="507">
                  <c:v>8.52956446861089</c:v>
                </c:pt>
                <c:pt idx="508">
                  <c:v>8.52373625099179</c:v>
                </c:pt>
                <c:pt idx="509">
                  <c:v>5.90079938138529</c:v>
                </c:pt>
                <c:pt idx="510">
                  <c:v>5.35956551621522</c:v>
                </c:pt>
                <c:pt idx="511">
                  <c:v>6.40656227160615</c:v>
                </c:pt>
                <c:pt idx="512">
                  <c:v>8.63601958964306</c:v>
                </c:pt>
                <c:pt idx="513">
                  <c:v>8.38911517710708</c:v>
                </c:pt>
                <c:pt idx="514">
                  <c:v>5.63595154620326</c:v>
                </c:pt>
                <c:pt idx="515">
                  <c:v>5.42355150874052</c:v>
                </c:pt>
                <c:pt idx="516">
                  <c:v>7.86602207723993</c:v>
                </c:pt>
                <c:pt idx="517">
                  <c:v>8.68510108534562</c:v>
                </c:pt>
                <c:pt idx="518">
                  <c:v>8.17360990492999</c:v>
                </c:pt>
                <c:pt idx="519">
                  <c:v>5.48522775014659</c:v>
                </c:pt>
                <c:pt idx="520">
                  <c:v>5.52208505129973</c:v>
                </c:pt>
                <c:pt idx="521">
                  <c:v>8.24781494048312</c:v>
                </c:pt>
                <c:pt idx="522">
                  <c:v>8.65196791467538</c:v>
                </c:pt>
                <c:pt idx="523">
                  <c:v>7.70064386788686</c:v>
                </c:pt>
                <c:pt idx="524">
                  <c:v>5.38748983366598</c:v>
                </c:pt>
                <c:pt idx="525">
                  <c:v>5.67077715950435</c:v>
                </c:pt>
                <c:pt idx="526">
                  <c:v>8.44112464567779</c:v>
                </c:pt>
                <c:pt idx="527">
                  <c:v>8.58944292417976</c:v>
                </c:pt>
                <c:pt idx="528">
                  <c:v>6.26775699170461</c:v>
                </c:pt>
                <c:pt idx="529">
                  <c:v>5.33408229872258</c:v>
                </c:pt>
                <c:pt idx="530">
                  <c:v>5.92611258226587</c:v>
                </c:pt>
                <c:pt idx="531">
                  <c:v>8.56612064669591</c:v>
                </c:pt>
                <c:pt idx="532">
                  <c:v>8.49754565788654</c:v>
                </c:pt>
                <c:pt idx="533">
                  <c:v>5.81889793164408</c:v>
                </c:pt>
                <c:pt idx="534">
                  <c:v>5.36566788293052</c:v>
                </c:pt>
                <c:pt idx="535">
                  <c:v>6.66746020480253</c:v>
                </c:pt>
                <c:pt idx="536">
                  <c:v>8.65024304262751</c:v>
                </c:pt>
                <c:pt idx="537">
                  <c:v>8.36199810332636</c:v>
                </c:pt>
                <c:pt idx="538">
                  <c:v>5.6067028064133</c:v>
                </c:pt>
                <c:pt idx="539">
                  <c:v>5.43194646946481</c:v>
                </c:pt>
                <c:pt idx="540">
                  <c:v>7.93419127939532</c:v>
                </c:pt>
                <c:pt idx="541">
                  <c:v>8.68372510840994</c:v>
                </c:pt>
                <c:pt idx="542">
                  <c:v>8.13975040410557</c:v>
                </c:pt>
                <c:pt idx="543">
                  <c:v>5.47208229604699</c:v>
                </c:pt>
                <c:pt idx="544">
                  <c:v>5.53164054390613</c:v>
                </c:pt>
                <c:pt idx="545">
                  <c:v>8.26874873642295</c:v>
                </c:pt>
                <c:pt idx="546">
                  <c:v>8.6475947452263</c:v>
                </c:pt>
                <c:pt idx="547">
                  <c:v>7.62349933068752</c:v>
                </c:pt>
                <c:pt idx="548">
                  <c:v>5.38118319810271</c:v>
                </c:pt>
                <c:pt idx="549">
                  <c:v>5.68263277553563</c:v>
                </c:pt>
                <c:pt idx="550">
                  <c:v>8.45103381411329</c:v>
                </c:pt>
                <c:pt idx="551">
                  <c:v>8.58406310934437</c:v>
                </c:pt>
                <c:pt idx="552">
                  <c:v>6.21799315550936</c:v>
                </c:pt>
                <c:pt idx="553">
                  <c:v>5.3331903992006</c:v>
                </c:pt>
                <c:pt idx="554">
                  <c:v>5.94507606393788</c:v>
                </c:pt>
                <c:pt idx="555">
                  <c:v>8.57162097553891</c:v>
                </c:pt>
                <c:pt idx="556">
                  <c:v>8.49106801990885</c:v>
                </c:pt>
                <c:pt idx="557">
                  <c:v>5.80350943497182</c:v>
                </c:pt>
                <c:pt idx="558">
                  <c:v>5.36745906012452</c:v>
                </c:pt>
                <c:pt idx="559">
                  <c:v>6.74619714602719</c:v>
                </c:pt>
                <c:pt idx="560">
                  <c:v>8.65325164872621</c:v>
                </c:pt>
                <c:pt idx="561">
                  <c:v>8.35347625173272</c:v>
                </c:pt>
                <c:pt idx="562">
                  <c:v>5.59881768717563</c:v>
                </c:pt>
                <c:pt idx="563">
                  <c:v>5.43484750968534</c:v>
                </c:pt>
                <c:pt idx="564">
                  <c:v>7.95355347267892</c:v>
                </c:pt>
                <c:pt idx="565">
                  <c:v>8.68250688151786</c:v>
                </c:pt>
                <c:pt idx="566">
                  <c:v>8.12600415003174</c:v>
                </c:pt>
                <c:pt idx="567">
                  <c:v>5.46734787316429</c:v>
                </c:pt>
                <c:pt idx="568">
                  <c:v>5.53574099191173</c:v>
                </c:pt>
                <c:pt idx="569">
                  <c:v>8.2769553904228</c:v>
                </c:pt>
                <c:pt idx="570">
                  <c:v>8.64524013048299</c:v>
                </c:pt>
                <c:pt idx="571">
                  <c:v>7.58212310570908</c:v>
                </c:pt>
                <c:pt idx="572">
                  <c:v>5.37835775961193</c:v>
                </c:pt>
                <c:pt idx="573">
                  <c:v>5.68883633267764</c:v>
                </c:pt>
                <c:pt idx="574">
                  <c:v>8.45590138650472</c:v>
                </c:pt>
                <c:pt idx="575">
                  <c:v>8.58081797221169</c:v>
                </c:pt>
                <c:pt idx="576">
                  <c:v>6.19194170023843</c:v>
                </c:pt>
                <c:pt idx="577">
                  <c:v>5.33300473892959</c:v>
                </c:pt>
                <c:pt idx="578">
                  <c:v>5.95701155240998</c:v>
                </c:pt>
                <c:pt idx="579">
                  <c:v>8.57486100939104</c:v>
                </c:pt>
                <c:pt idx="580">
                  <c:v>8.48657789436815</c:v>
                </c:pt>
                <c:pt idx="581">
                  <c:v>5.79354974233737</c:v>
                </c:pt>
                <c:pt idx="582">
                  <c:v>5.3688637511497</c:v>
                </c:pt>
                <c:pt idx="583">
                  <c:v>6.80683663679473</c:v>
                </c:pt>
                <c:pt idx="584">
                  <c:v>8.65530321431235</c:v>
                </c:pt>
                <c:pt idx="585">
                  <c:v>8.34668521005573</c:v>
                </c:pt>
                <c:pt idx="586">
                  <c:v>5.59284961144952</c:v>
                </c:pt>
                <c:pt idx="587">
                  <c:v>5.43732093096995</c:v>
                </c:pt>
                <c:pt idx="588">
                  <c:v>7.96871474844468</c:v>
                </c:pt>
                <c:pt idx="589">
                  <c:v>8.68120228748618</c:v>
                </c:pt>
                <c:pt idx="590">
                  <c:v>8.11336716245313</c:v>
                </c:pt>
                <c:pt idx="591">
                  <c:v>5.46323371418279</c:v>
                </c:pt>
                <c:pt idx="592">
                  <c:v>5.53968700442331</c:v>
                </c:pt>
                <c:pt idx="593">
                  <c:v>8.28445615467407</c:v>
                </c:pt>
                <c:pt idx="594">
                  <c:v>8.64271729520525</c:v>
                </c:pt>
                <c:pt idx="595">
                  <c:v>7.5363638803842</c:v>
                </c:pt>
                <c:pt idx="596">
                  <c:v>5.3755838231711</c:v>
                </c:pt>
                <c:pt idx="597">
                  <c:v>5.69563460945824</c:v>
                </c:pt>
                <c:pt idx="598">
                  <c:v>8.46100107460868</c:v>
                </c:pt>
                <c:pt idx="599">
                  <c:v>8.57694699212487</c:v>
                </c:pt>
                <c:pt idx="600">
                  <c:v>6.16366815199605</c:v>
                </c:pt>
                <c:pt idx="601">
                  <c:v>5.39373207334298</c:v>
                </c:pt>
                <c:pt idx="602">
                  <c:v>8.4529244041539</c:v>
                </c:pt>
                <c:pt idx="603">
                  <c:v>8.95887110446613</c:v>
                </c:pt>
                <c:pt idx="604">
                  <c:v>8.90801417790386</c:v>
                </c:pt>
                <c:pt idx="605">
                  <c:v>8.7744154333133</c:v>
                </c:pt>
                <c:pt idx="606">
                  <c:v>8.54059047758984</c:v>
                </c:pt>
                <c:pt idx="607">
                  <c:v>8.03601499672853</c:v>
                </c:pt>
                <c:pt idx="608">
                  <c:v>6.22636985612853</c:v>
                </c:pt>
                <c:pt idx="609">
                  <c:v>7.98508557198165</c:v>
                </c:pt>
                <c:pt idx="610">
                  <c:v>8.77250465753722</c:v>
                </c:pt>
                <c:pt idx="611">
                  <c:v>8.71254897565984</c:v>
                </c:pt>
                <c:pt idx="612">
                  <c:v>8.48157262295321</c:v>
                </c:pt>
                <c:pt idx="613">
                  <c:v>7.98914526980367</c:v>
                </c:pt>
                <c:pt idx="614">
                  <c:v>6.40585273745625</c:v>
                </c:pt>
                <c:pt idx="615">
                  <c:v>8.05615685156699</c:v>
                </c:pt>
                <c:pt idx="616">
                  <c:v>8.72742249628279</c:v>
                </c:pt>
                <c:pt idx="617">
                  <c:v>8.65372743126996</c:v>
                </c:pt>
                <c:pt idx="618">
                  <c:v>8.39799944318343</c:v>
                </c:pt>
                <c:pt idx="619">
                  <c:v>7.81353366750941</c:v>
                </c:pt>
                <c:pt idx="620">
                  <c:v>6.43926405498889</c:v>
                </c:pt>
                <c:pt idx="621">
                  <c:v>8.29112306752777</c:v>
                </c:pt>
                <c:pt idx="622">
                  <c:v>8.70393144252435</c:v>
                </c:pt>
                <c:pt idx="623">
                  <c:v>8.58318971038405</c:v>
                </c:pt>
                <c:pt idx="624">
                  <c:v>8.27428378766438</c:v>
                </c:pt>
                <c:pt idx="625">
                  <c:v>7.43749370240754</c:v>
                </c:pt>
                <c:pt idx="626">
                  <c:v>6.66453228023477</c:v>
                </c:pt>
                <c:pt idx="627">
                  <c:v>8.50910480529492</c:v>
                </c:pt>
                <c:pt idx="628">
                  <c:v>8.67171082916242</c:v>
                </c:pt>
                <c:pt idx="629">
                  <c:v>8.4905233774671</c:v>
                </c:pt>
                <c:pt idx="630">
                  <c:v>8.08840727874684</c:v>
                </c:pt>
                <c:pt idx="631">
                  <c:v>6.78767828538267</c:v>
                </c:pt>
                <c:pt idx="632">
                  <c:v>7.72597576441207</c:v>
                </c:pt>
                <c:pt idx="633">
                  <c:v>8.64372519545988</c:v>
                </c:pt>
                <c:pt idx="634">
                  <c:v>8.6155286797197</c:v>
                </c:pt>
                <c:pt idx="635">
                  <c:v>8.36491522009087</c:v>
                </c:pt>
                <c:pt idx="636">
                  <c:v>7.78594823631049</c:v>
                </c:pt>
                <c:pt idx="637">
                  <c:v>6.57156806919155</c:v>
                </c:pt>
                <c:pt idx="638">
                  <c:v>8.30057886490596</c:v>
                </c:pt>
                <c:pt idx="639">
                  <c:v>8.66354379569444</c:v>
                </c:pt>
                <c:pt idx="640">
                  <c:v>8.52903089995608</c:v>
                </c:pt>
                <c:pt idx="641">
                  <c:v>8.18728301912052</c:v>
                </c:pt>
                <c:pt idx="642">
                  <c:v>7.18077787690386</c:v>
                </c:pt>
                <c:pt idx="643">
                  <c:v>7.21300919750082</c:v>
                </c:pt>
                <c:pt idx="644">
                  <c:v>8.57184950497191</c:v>
                </c:pt>
                <c:pt idx="645">
                  <c:v>8.62723420081627</c:v>
                </c:pt>
                <c:pt idx="646">
                  <c:v>8.40780294034909</c:v>
                </c:pt>
                <c:pt idx="647">
                  <c:v>7.91362790278263</c:v>
                </c:pt>
                <c:pt idx="648">
                  <c:v>6.62738674023311</c:v>
                </c:pt>
                <c:pt idx="649">
                  <c:v>8.14130546752886</c:v>
                </c:pt>
                <c:pt idx="650">
                  <c:v>9.15771255398233</c:v>
                </c:pt>
                <c:pt idx="651">
                  <c:v>9.77815214652129</c:v>
                </c:pt>
                <c:pt idx="652">
                  <c:v>9.98499688642809</c:v>
                </c:pt>
                <c:pt idx="653">
                  <c:v>10.0911712357494</c:v>
                </c:pt>
                <c:pt idx="654">
                  <c:v>10.1524042406044</c:v>
                </c:pt>
                <c:pt idx="655">
                  <c:v>10.1869042545819</c:v>
                </c:pt>
                <c:pt idx="656">
                  <c:v>10.202540832293</c:v>
                </c:pt>
                <c:pt idx="657">
                  <c:v>10.2031567338502</c:v>
                </c:pt>
                <c:pt idx="658">
                  <c:v>10.1905389615415</c:v>
                </c:pt>
                <c:pt idx="659">
                  <c:v>10.1651338501404</c:v>
                </c:pt>
                <c:pt idx="660">
                  <c:v>10.1262313767594</c:v>
                </c:pt>
                <c:pt idx="661">
                  <c:v>10.0717772680824</c:v>
                </c:pt>
                <c:pt idx="662">
                  <c:v>9.9976849189249</c:v>
                </c:pt>
                <c:pt idx="663">
                  <c:v>9.89605073073149</c:v>
                </c:pt>
                <c:pt idx="664">
                  <c:v>9.75005158240305</c:v>
                </c:pt>
                <c:pt idx="665">
                  <c:v>9.51432452107601</c:v>
                </c:pt>
                <c:pt idx="666">
                  <c:v>8.95071993476934</c:v>
                </c:pt>
                <c:pt idx="667">
                  <c:v>4.87686429054462</c:v>
                </c:pt>
                <c:pt idx="668">
                  <c:v>4.61374936280179</c:v>
                </c:pt>
                <c:pt idx="669">
                  <c:v>4.58432216196103</c:v>
                </c:pt>
                <c:pt idx="670">
                  <c:v>4.6701502949978</c:v>
                </c:pt>
                <c:pt idx="671">
                  <c:v>5.00784180035702</c:v>
                </c:pt>
                <c:pt idx="672">
                  <c:v>8.81185603933382</c:v>
                </c:pt>
                <c:pt idx="673">
                  <c:v>9.30548210217352</c:v>
                </c:pt>
                <c:pt idx="674">
                  <c:v>9.3753163868446</c:v>
                </c:pt>
                <c:pt idx="675">
                  <c:v>9.39382209223759</c:v>
                </c:pt>
                <c:pt idx="676">
                  <c:v>9.35232053828041</c:v>
                </c:pt>
                <c:pt idx="677">
                  <c:v>9.24288990625009</c:v>
                </c:pt>
                <c:pt idx="678">
                  <c:v>9.02430660165153</c:v>
                </c:pt>
                <c:pt idx="679">
                  <c:v>8.45057047246725</c:v>
                </c:pt>
                <c:pt idx="680">
                  <c:v>5.40317611820368</c:v>
                </c:pt>
                <c:pt idx="681">
                  <c:v>5.38113504842514</c:v>
                </c:pt>
                <c:pt idx="682">
                  <c:v>8.24082559317143</c:v>
                </c:pt>
                <c:pt idx="683">
                  <c:v>8.82791430475902</c:v>
                </c:pt>
                <c:pt idx="684">
                  <c:v>8.67346131359925</c:v>
                </c:pt>
                <c:pt idx="685">
                  <c:v>8.25271334508865</c:v>
                </c:pt>
                <c:pt idx="686">
                  <c:v>6.17153429221612</c:v>
                </c:pt>
                <c:pt idx="687">
                  <c:v>6.37381005111784</c:v>
                </c:pt>
                <c:pt idx="688">
                  <c:v>8.73237755930996</c:v>
                </c:pt>
                <c:pt idx="689">
                  <c:v>8.79438229719782</c:v>
                </c:pt>
                <c:pt idx="690">
                  <c:v>8.61065938156584</c:v>
                </c:pt>
                <c:pt idx="691">
                  <c:v>8.2426651013239</c:v>
                </c:pt>
                <c:pt idx="692">
                  <c:v>6.74240230858493</c:v>
                </c:pt>
                <c:pt idx="693">
                  <c:v>6.53913495899396</c:v>
                </c:pt>
                <c:pt idx="694">
                  <c:v>8.65894616018678</c:v>
                </c:pt>
                <c:pt idx="695">
                  <c:v>8.74451916962392</c:v>
                </c:pt>
                <c:pt idx="696">
                  <c:v>8.56172798278757</c:v>
                </c:pt>
                <c:pt idx="697">
                  <c:v>8.18727318920343</c:v>
                </c:pt>
                <c:pt idx="698">
                  <c:v>6.80976267997146</c:v>
                </c:pt>
                <c:pt idx="699">
                  <c:v>7.08347441257747</c:v>
                </c:pt>
                <c:pt idx="700">
                  <c:v>8.65658554921465</c:v>
                </c:pt>
                <c:pt idx="701">
                  <c:v>8.6982117228019</c:v>
                </c:pt>
                <c:pt idx="702">
                  <c:v>8.49512490685985</c:v>
                </c:pt>
                <c:pt idx="703">
                  <c:v>8.06541397485041</c:v>
                </c:pt>
                <c:pt idx="704">
                  <c:v>6.60223476657107</c:v>
                </c:pt>
                <c:pt idx="705">
                  <c:v>7.8267066161681</c:v>
                </c:pt>
                <c:pt idx="706">
                  <c:v>8.68834223062491</c:v>
                </c:pt>
                <c:pt idx="707">
                  <c:v>8.64738485207482</c:v>
                </c:pt>
                <c:pt idx="708">
                  <c:v>8.40436040596712</c:v>
                </c:pt>
                <c:pt idx="709">
                  <c:v>7.85617961014025</c:v>
                </c:pt>
                <c:pt idx="710">
                  <c:v>6.48207009741667</c:v>
                </c:pt>
                <c:pt idx="711">
                  <c:v>8.23829917381037</c:v>
                </c:pt>
                <c:pt idx="712">
                  <c:v>8.69391199231818</c:v>
                </c:pt>
                <c:pt idx="713">
                  <c:v>8.58299428528107</c:v>
                </c:pt>
                <c:pt idx="714">
                  <c:v>8.28105559940236</c:v>
                </c:pt>
                <c:pt idx="715">
                  <c:v>7.4757778012352</c:v>
                </c:pt>
                <c:pt idx="716">
                  <c:v>6.63866316940535</c:v>
                </c:pt>
                <c:pt idx="717">
                  <c:v>8.49473092869935</c:v>
                </c:pt>
                <c:pt idx="718">
                  <c:v>8.6742951093841</c:v>
                </c:pt>
                <c:pt idx="719">
                  <c:v>8.49949803256641</c:v>
                </c:pt>
                <c:pt idx="720">
                  <c:v>8.10840593238775</c:v>
                </c:pt>
                <c:pt idx="721">
                  <c:v>6.82129837185417</c:v>
                </c:pt>
                <c:pt idx="722">
                  <c:v>7.63630915991106</c:v>
                </c:pt>
                <c:pt idx="723">
                  <c:v>8.64284625447405</c:v>
                </c:pt>
                <c:pt idx="724">
                  <c:v>8.62956130818152</c:v>
                </c:pt>
                <c:pt idx="725">
                  <c:v>8.39052552194041</c:v>
                </c:pt>
                <c:pt idx="726">
                  <c:v>7.84722485210364</c:v>
                </c:pt>
                <c:pt idx="727">
                  <c:v>6.54108853265286</c:v>
                </c:pt>
                <c:pt idx="728">
                  <c:v>8.23963721631326</c:v>
                </c:pt>
                <c:pt idx="729">
                  <c:v>8.67541475033159</c:v>
                </c:pt>
                <c:pt idx="730">
                  <c:v>8.55945333366902</c:v>
                </c:pt>
                <c:pt idx="731">
                  <c:v>8.24445707956519</c:v>
                </c:pt>
                <c:pt idx="732">
                  <c:v>7.37108900095556</c:v>
                </c:pt>
                <c:pt idx="733">
                  <c:v>6.81912740795802</c:v>
                </c:pt>
                <c:pt idx="734">
                  <c:v>8.527593027618</c:v>
                </c:pt>
                <c:pt idx="735">
                  <c:v>8.65580881832127</c:v>
                </c:pt>
                <c:pt idx="736">
                  <c:v>8.46457243123055</c:v>
                </c:pt>
                <c:pt idx="737">
                  <c:v>8.03779737851407</c:v>
                </c:pt>
                <c:pt idx="738">
                  <c:v>6.70131690685052</c:v>
                </c:pt>
                <c:pt idx="739">
                  <c:v>7.88691211794164</c:v>
                </c:pt>
                <c:pt idx="740">
                  <c:v>8.65426464910666</c:v>
                </c:pt>
                <c:pt idx="741">
                  <c:v>8.6022373146057</c:v>
                </c:pt>
                <c:pt idx="742">
                  <c:v>8.33841786644455</c:v>
                </c:pt>
                <c:pt idx="743">
                  <c:v>7.70781502891642</c:v>
                </c:pt>
                <c:pt idx="744">
                  <c:v>6.57311445387022</c:v>
                </c:pt>
                <c:pt idx="745">
                  <c:v>8.36630887568572</c:v>
                </c:pt>
                <c:pt idx="746">
                  <c:v>8.66752794585626</c:v>
                </c:pt>
                <c:pt idx="747">
                  <c:v>8.52084863032902</c:v>
                </c:pt>
                <c:pt idx="748">
                  <c:v>8.16622623966023</c:v>
                </c:pt>
                <c:pt idx="749">
                  <c:v>7.06594168114071</c:v>
                </c:pt>
                <c:pt idx="750">
                  <c:v>7.32340260201052</c:v>
                </c:pt>
                <c:pt idx="751">
                  <c:v>8.59843149696649</c:v>
                </c:pt>
                <c:pt idx="752">
                  <c:v>8.63361455725407</c:v>
                </c:pt>
                <c:pt idx="753">
                  <c:v>8.41143340779508</c:v>
                </c:pt>
                <c:pt idx="754">
                  <c:v>7.91226210883611</c:v>
                </c:pt>
                <c:pt idx="755">
                  <c:v>6.58616330427953</c:v>
                </c:pt>
                <c:pt idx="756">
                  <c:v>8.14836729794397</c:v>
                </c:pt>
                <c:pt idx="757">
                  <c:v>8.66570829089866</c:v>
                </c:pt>
                <c:pt idx="758">
                  <c:v>8.5664002481253</c:v>
                </c:pt>
                <c:pt idx="759">
                  <c:v>8.26461091579641</c:v>
                </c:pt>
                <c:pt idx="760">
                  <c:v>7.46490457647686</c:v>
                </c:pt>
                <c:pt idx="761">
                  <c:v>6.7464264602104</c:v>
                </c:pt>
                <c:pt idx="762">
                  <c:v>8.49401931260708</c:v>
                </c:pt>
                <c:pt idx="763">
                  <c:v>8.65471978769941</c:v>
                </c:pt>
                <c:pt idx="764">
                  <c:v>8.47168659290051</c:v>
                </c:pt>
                <c:pt idx="765">
                  <c:v>8.05832498634378</c:v>
                </c:pt>
                <c:pt idx="766">
                  <c:v>6.75233861004914</c:v>
                </c:pt>
                <c:pt idx="767">
                  <c:v>7.82211516393969</c:v>
                </c:pt>
                <c:pt idx="768">
                  <c:v>8.64542722869063</c:v>
                </c:pt>
                <c:pt idx="769">
                  <c:v>8.60383370749604</c:v>
                </c:pt>
                <c:pt idx="770">
                  <c:v>8.34505210083012</c:v>
                </c:pt>
                <c:pt idx="771">
                  <c:v>7.73232299734324</c:v>
                </c:pt>
                <c:pt idx="772">
                  <c:v>6.57524766416826</c:v>
                </c:pt>
                <c:pt idx="773">
                  <c:v>8.34658743034448</c:v>
                </c:pt>
                <c:pt idx="774">
                  <c:v>8.66553236332152</c:v>
                </c:pt>
                <c:pt idx="775">
                  <c:v>8.52278848201608</c:v>
                </c:pt>
                <c:pt idx="776">
                  <c:v>8.17228103049691</c:v>
                </c:pt>
                <c:pt idx="777">
                  <c:v>7.09787081280693</c:v>
                </c:pt>
                <c:pt idx="778">
                  <c:v>7.28646802913498</c:v>
                </c:pt>
                <c:pt idx="779">
                  <c:v>8.59175980853286</c:v>
                </c:pt>
                <c:pt idx="780">
                  <c:v>8.63337338713516</c:v>
                </c:pt>
                <c:pt idx="781">
                  <c:v>8.41304998196057</c:v>
                </c:pt>
                <c:pt idx="782">
                  <c:v>7.91799866342698</c:v>
                </c:pt>
                <c:pt idx="783">
                  <c:v>6.59323072139033</c:v>
                </c:pt>
                <c:pt idx="784">
                  <c:v>8.13871319255718</c:v>
                </c:pt>
                <c:pt idx="785">
                  <c:v>8.66411499694524</c:v>
                </c:pt>
                <c:pt idx="786">
                  <c:v>8.56643976385711</c:v>
                </c:pt>
                <c:pt idx="787">
                  <c:v>8.26562290171386</c:v>
                </c:pt>
                <c:pt idx="788">
                  <c:v>7.47108793243965</c:v>
                </c:pt>
                <c:pt idx="789">
                  <c:v>6.7451267262362</c:v>
                </c:pt>
                <c:pt idx="790">
                  <c:v>8.49138376320887</c:v>
                </c:pt>
                <c:pt idx="791">
                  <c:v>8.65408751073757</c:v>
                </c:pt>
                <c:pt idx="792">
                  <c:v>8.47145632676188</c:v>
                </c:pt>
                <c:pt idx="793">
                  <c:v>8.05845871179158</c:v>
                </c:pt>
                <c:pt idx="794">
                  <c:v>6.75494807118438</c:v>
                </c:pt>
                <c:pt idx="795">
                  <c:v>7.82132778182372</c:v>
                </c:pt>
                <c:pt idx="796">
                  <c:v>8.64472981983273</c:v>
                </c:pt>
                <c:pt idx="797">
                  <c:v>8.60325014698217</c:v>
                </c:pt>
                <c:pt idx="798">
                  <c:v>8.34430733667243</c:v>
                </c:pt>
                <c:pt idx="799">
                  <c:v>7.73086095441293</c:v>
                </c:pt>
                <c:pt idx="800">
                  <c:v>6.57713494239919</c:v>
                </c:pt>
                <c:pt idx="801">
                  <c:v>8.21271126323328</c:v>
                </c:pt>
                <c:pt idx="802">
                  <c:v>7.89623029087362</c:v>
                </c:pt>
                <c:pt idx="803">
                  <c:v>5.4848056285295</c:v>
                </c:pt>
                <c:pt idx="804">
                  <c:v>5.62307287015928</c:v>
                </c:pt>
                <c:pt idx="805">
                  <c:v>8.34630308904531</c:v>
                </c:pt>
                <c:pt idx="806">
                  <c:v>8.58539691996914</c:v>
                </c:pt>
                <c:pt idx="807">
                  <c:v>6.32198699492211</c:v>
                </c:pt>
                <c:pt idx="808">
                  <c:v>5.33008549014868</c:v>
                </c:pt>
                <c:pt idx="809">
                  <c:v>5.87059644838425</c:v>
                </c:pt>
                <c:pt idx="810">
                  <c:v>8.5466460950981</c:v>
                </c:pt>
                <c:pt idx="811">
                  <c:v>8.51179187829192</c:v>
                </c:pt>
                <c:pt idx="812">
                  <c:v>5.85553675558902</c:v>
                </c:pt>
                <c:pt idx="813">
                  <c:v>5.35849259933033</c:v>
                </c:pt>
                <c:pt idx="814">
                  <c:v>6.45324513581654</c:v>
                </c:pt>
                <c:pt idx="815">
                  <c:v>8.6404389350247</c:v>
                </c:pt>
                <c:pt idx="816">
                  <c:v>8.38913020978691</c:v>
                </c:pt>
                <c:pt idx="817">
                  <c:v>5.633314133533</c:v>
                </c:pt>
                <c:pt idx="818">
                  <c:v>5.41981121606187</c:v>
                </c:pt>
                <c:pt idx="819">
                  <c:v>7.84395310773058</c:v>
                </c:pt>
                <c:pt idx="820">
                  <c:v>8.68685844344962</c:v>
                </c:pt>
                <c:pt idx="821">
                  <c:v>8.19197171827745</c:v>
                </c:pt>
                <c:pt idx="822">
                  <c:v>5.49144819791878</c:v>
                </c:pt>
                <c:pt idx="823">
                  <c:v>5.5120664151967</c:v>
                </c:pt>
                <c:pt idx="824">
                  <c:v>8.2271667491423</c:v>
                </c:pt>
                <c:pt idx="825">
                  <c:v>8.65744749487141</c:v>
                </c:pt>
                <c:pt idx="826">
                  <c:v>7.78276806214207</c:v>
                </c:pt>
                <c:pt idx="827">
                  <c:v>5.39431586741199</c:v>
                </c:pt>
                <c:pt idx="828">
                  <c:v>5.65003656524562</c:v>
                </c:pt>
                <c:pt idx="829">
                  <c:v>8.42420290822476</c:v>
                </c:pt>
                <c:pt idx="830">
                  <c:v>8.59984666992615</c:v>
                </c:pt>
                <c:pt idx="831">
                  <c:v>6.38678448891276</c:v>
                </c:pt>
                <c:pt idx="832">
                  <c:v>5.33570256627216</c:v>
                </c:pt>
                <c:pt idx="833">
                  <c:v>5.88013965449736</c:v>
                </c:pt>
                <c:pt idx="834">
                  <c:v>8.55277616324687</c:v>
                </c:pt>
                <c:pt idx="835">
                  <c:v>8.51477586831201</c:v>
                </c:pt>
                <c:pt idx="836">
                  <c:v>5.86421501861445</c:v>
                </c:pt>
                <c:pt idx="837">
                  <c:v>5.35923150338662</c:v>
                </c:pt>
                <c:pt idx="838">
                  <c:v>6.45464984012921</c:v>
                </c:pt>
                <c:pt idx="839">
                  <c:v>8.64099495606708</c:v>
                </c:pt>
                <c:pt idx="840">
                  <c:v>8.3904762709254</c:v>
                </c:pt>
                <c:pt idx="841">
                  <c:v>5.6350991747067</c:v>
                </c:pt>
                <c:pt idx="842">
                  <c:v>5.41973902389079</c:v>
                </c:pt>
                <c:pt idx="843">
                  <c:v>7.84252295949988</c:v>
                </c:pt>
                <c:pt idx="844">
                  <c:v>8.68693892933566</c:v>
                </c:pt>
                <c:pt idx="845">
                  <c:v>8.19296682319521</c:v>
                </c:pt>
                <c:pt idx="846">
                  <c:v>5.49195649021486</c:v>
                </c:pt>
                <c:pt idx="847">
                  <c:v>5.51186985137979</c:v>
                </c:pt>
                <c:pt idx="848">
                  <c:v>8.22665981319634</c:v>
                </c:pt>
                <c:pt idx="849">
                  <c:v>8.65752466258601</c:v>
                </c:pt>
                <c:pt idx="850">
                  <c:v>7.78409508958011</c:v>
                </c:pt>
                <c:pt idx="851">
                  <c:v>5.39448521164909</c:v>
                </c:pt>
                <c:pt idx="852">
                  <c:v>5.64982855876053</c:v>
                </c:pt>
                <c:pt idx="853">
                  <c:v>8.42400278557735</c:v>
                </c:pt>
                <c:pt idx="854">
                  <c:v>8.59991398881966</c:v>
                </c:pt>
                <c:pt idx="855">
                  <c:v>6.38783200322448</c:v>
                </c:pt>
                <c:pt idx="856">
                  <c:v>5.33574135503222</c:v>
                </c:pt>
                <c:pt idx="857">
                  <c:v>5.87990927000798</c:v>
                </c:pt>
                <c:pt idx="858">
                  <c:v>8.55269436312852</c:v>
                </c:pt>
                <c:pt idx="859">
                  <c:v>8.51483236845362</c:v>
                </c:pt>
                <c:pt idx="860">
                  <c:v>5.86439784200086</c:v>
                </c:pt>
                <c:pt idx="861">
                  <c:v>5.35921946420884</c:v>
                </c:pt>
                <c:pt idx="862">
                  <c:v>6.45416111293583</c:v>
                </c:pt>
                <c:pt idx="863">
                  <c:v>8.64096318974712</c:v>
                </c:pt>
                <c:pt idx="864">
                  <c:v>8.39052515965959</c:v>
                </c:pt>
                <c:pt idx="865">
                  <c:v>5.63515815120308</c:v>
                </c:pt>
                <c:pt idx="866">
                  <c:v>5.41972367700381</c:v>
                </c:pt>
                <c:pt idx="867">
                  <c:v>7.84237261609817</c:v>
                </c:pt>
                <c:pt idx="868">
                  <c:v>8.68693672187832</c:v>
                </c:pt>
                <c:pt idx="869">
                  <c:v>8.19301481568421</c:v>
                </c:pt>
                <c:pt idx="870">
                  <c:v>5.49197883696547</c:v>
                </c:pt>
                <c:pt idx="871">
                  <c:v>5.51185589325647</c:v>
                </c:pt>
                <c:pt idx="872">
                  <c:v>8.22662435170503</c:v>
                </c:pt>
                <c:pt idx="873">
                  <c:v>8.65752815553135</c:v>
                </c:pt>
                <c:pt idx="874">
                  <c:v>7.78416594463166</c:v>
                </c:pt>
                <c:pt idx="875">
                  <c:v>5.39449378991157</c:v>
                </c:pt>
                <c:pt idx="876">
                  <c:v>5.64981589195259</c:v>
                </c:pt>
                <c:pt idx="877">
                  <c:v>8.42399043208537</c:v>
                </c:pt>
                <c:pt idx="878">
                  <c:v>8.59991766599789</c:v>
                </c:pt>
                <c:pt idx="879">
                  <c:v>6.38789037560837</c:v>
                </c:pt>
                <c:pt idx="880">
                  <c:v>5.33574341317966</c:v>
                </c:pt>
                <c:pt idx="881">
                  <c:v>5.87989581614784</c:v>
                </c:pt>
                <c:pt idx="882">
                  <c:v>8.552689539758</c:v>
                </c:pt>
                <c:pt idx="883">
                  <c:v>8.51483556184986</c:v>
                </c:pt>
                <c:pt idx="884">
                  <c:v>5.86440818771623</c:v>
                </c:pt>
                <c:pt idx="885">
                  <c:v>5.35921875511062</c:v>
                </c:pt>
                <c:pt idx="886">
                  <c:v>6.45413295480947</c:v>
                </c:pt>
                <c:pt idx="887">
                  <c:v>8.64096134902736</c:v>
                </c:pt>
                <c:pt idx="888">
                  <c:v>8.39052794621954</c:v>
                </c:pt>
                <c:pt idx="889">
                  <c:v>5.63516151008798</c:v>
                </c:pt>
                <c:pt idx="890">
                  <c:v>5.41972279497289</c:v>
                </c:pt>
                <c:pt idx="891">
                  <c:v>7.84236398845172</c:v>
                </c:pt>
                <c:pt idx="892">
                  <c:v>8.68693659289166</c:v>
                </c:pt>
                <c:pt idx="893">
                  <c:v>8.19301755763713</c:v>
                </c:pt>
                <c:pt idx="894">
                  <c:v>5.49198011295447</c:v>
                </c:pt>
                <c:pt idx="895">
                  <c:v>5.51185509383003</c:v>
                </c:pt>
                <c:pt idx="896">
                  <c:v>8.22662232073577</c:v>
                </c:pt>
                <c:pt idx="897">
                  <c:v>8.65752835495961</c:v>
                </c:pt>
                <c:pt idx="898">
                  <c:v>7.78416999546865</c:v>
                </c:pt>
                <c:pt idx="899">
                  <c:v>5.39449428021998</c:v>
                </c:pt>
                <c:pt idx="900">
                  <c:v>5.64981516713542</c:v>
                </c:pt>
                <c:pt idx="901">
                  <c:v>8.42398972511968</c:v>
                </c:pt>
                <c:pt idx="902">
                  <c:v>8.59991787625629</c:v>
                </c:pt>
                <c:pt idx="903">
                  <c:v>6.38789371407927</c:v>
                </c:pt>
                <c:pt idx="904">
                  <c:v>5.3357435308577</c:v>
                </c:pt>
                <c:pt idx="905">
                  <c:v>5.87989504651373</c:v>
                </c:pt>
                <c:pt idx="906">
                  <c:v>8.55268926381315</c:v>
                </c:pt>
                <c:pt idx="907">
                  <c:v>8.51483574448853</c:v>
                </c:pt>
                <c:pt idx="908">
                  <c:v>5.86440877943728</c:v>
                </c:pt>
                <c:pt idx="909">
                  <c:v>5.35921871454497</c:v>
                </c:pt>
                <c:pt idx="910">
                  <c:v>6.45413134419157</c:v>
                </c:pt>
                <c:pt idx="911">
                  <c:v>8.64096124373321</c:v>
                </c:pt>
                <c:pt idx="912">
                  <c:v>8.39052810559854</c:v>
                </c:pt>
                <c:pt idx="913">
                  <c:v>5.63516170220319</c:v>
                </c:pt>
                <c:pt idx="914">
                  <c:v>5.41972274452174</c:v>
                </c:pt>
                <c:pt idx="915">
                  <c:v>7.84236349495908</c:v>
                </c:pt>
                <c:pt idx="916">
                  <c:v>8.6869365855123</c:v>
                </c:pt>
                <c:pt idx="917">
                  <c:v>8.19301771446682</c:v>
                </c:pt>
                <c:pt idx="918">
                  <c:v>5.49198018593674</c:v>
                </c:pt>
                <c:pt idx="919">
                  <c:v>5.51185504810494</c:v>
                </c:pt>
                <c:pt idx="920">
                  <c:v>8.22662220456928</c:v>
                </c:pt>
                <c:pt idx="921">
                  <c:v>8.65752836636605</c:v>
                </c:pt>
                <c:pt idx="922">
                  <c:v>7.78417022716197</c:v>
                </c:pt>
                <c:pt idx="923">
                  <c:v>5.39449430826403</c:v>
                </c:pt>
                <c:pt idx="924">
                  <c:v>5.64981512567816</c:v>
                </c:pt>
                <c:pt idx="925">
                  <c:v>8.42398968468335</c:v>
                </c:pt>
                <c:pt idx="926">
                  <c:v>8.59991788828233</c:v>
                </c:pt>
                <c:pt idx="927">
                  <c:v>6.38789390502911</c:v>
                </c:pt>
                <c:pt idx="928">
                  <c:v>5.3357435375885</c:v>
                </c:pt>
                <c:pt idx="929">
                  <c:v>5.87989500249323</c:v>
                </c:pt>
                <c:pt idx="930">
                  <c:v>8.55268924802998</c:v>
                </c:pt>
                <c:pt idx="931">
                  <c:v>8.5148357549348</c:v>
                </c:pt>
                <c:pt idx="932">
                  <c:v>5.86440881328175</c:v>
                </c:pt>
                <c:pt idx="933">
                  <c:v>5.35921871222477</c:v>
                </c:pt>
                <c:pt idx="934">
                  <c:v>6.45413125207001</c:v>
                </c:pt>
                <c:pt idx="935">
                  <c:v>8.64096123771076</c:v>
                </c:pt>
                <c:pt idx="936">
                  <c:v>8.39052811471443</c:v>
                </c:pt>
                <c:pt idx="937">
                  <c:v>5.63516171319147</c:v>
                </c:pt>
                <c:pt idx="938">
                  <c:v>5.41972274163611</c:v>
                </c:pt>
                <c:pt idx="939">
                  <c:v>7.84236346673289</c:v>
                </c:pt>
                <c:pt idx="940">
                  <c:v>8.68693658509017</c:v>
                </c:pt>
                <c:pt idx="941">
                  <c:v>8.19301772343686</c:v>
                </c:pt>
                <c:pt idx="942">
                  <c:v>5.49198019011102</c:v>
                </c:pt>
                <c:pt idx="943">
                  <c:v>5.5118550454896</c:v>
                </c:pt>
                <c:pt idx="944">
                  <c:v>8.22662219792486</c:v>
                </c:pt>
                <c:pt idx="945">
                  <c:v>8.65752836701843</c:v>
                </c:pt>
                <c:pt idx="946">
                  <c:v>7.78417024041386</c:v>
                </c:pt>
                <c:pt idx="947">
                  <c:v>5.39449430986803</c:v>
                </c:pt>
                <c:pt idx="948">
                  <c:v>5.64981512330694</c:v>
                </c:pt>
                <c:pt idx="949">
                  <c:v>8.42398968237055</c:v>
                </c:pt>
                <c:pt idx="950">
                  <c:v>8.59991788897015</c:v>
                </c:pt>
                <c:pt idx="951">
                  <c:v>6.3878939159511</c:v>
                </c:pt>
                <c:pt idx="952">
                  <c:v>5.33574353797352</c:v>
                </c:pt>
                <c:pt idx="953">
                  <c:v>5.87989499997548</c:v>
                </c:pt>
                <c:pt idx="954">
                  <c:v>8.5526892471273</c:v>
                </c:pt>
                <c:pt idx="955">
                  <c:v>8.51483575553232</c:v>
                </c:pt>
                <c:pt idx="956">
                  <c:v>5.86440881521759</c:v>
                </c:pt>
                <c:pt idx="957">
                  <c:v>5.35921871209205</c:v>
                </c:pt>
                <c:pt idx="958">
                  <c:v>6.45413124680077</c:v>
                </c:pt>
                <c:pt idx="959">
                  <c:v>8.64096123736629</c:v>
                </c:pt>
                <c:pt idx="960">
                  <c:v>8.39052811523589</c:v>
                </c:pt>
                <c:pt idx="961">
                  <c:v>5.63516171382007</c:v>
                </c:pt>
                <c:pt idx="962">
                  <c:v>5.41972274147107</c:v>
                </c:pt>
                <c:pt idx="963">
                  <c:v>7.84236346511849</c:v>
                </c:pt>
                <c:pt idx="964">
                  <c:v>8.68693658506602</c:v>
                </c:pt>
                <c:pt idx="965">
                  <c:v>8.19301772394995</c:v>
                </c:pt>
                <c:pt idx="966">
                  <c:v>5.49198019034981</c:v>
                </c:pt>
                <c:pt idx="967">
                  <c:v>5.51185504534004</c:v>
                </c:pt>
                <c:pt idx="968">
                  <c:v>8.22662219754492</c:v>
                </c:pt>
                <c:pt idx="969">
                  <c:v>8.65752836705571</c:v>
                </c:pt>
                <c:pt idx="970">
                  <c:v>7.78417024117205</c:v>
                </c:pt>
                <c:pt idx="971">
                  <c:v>5.39449430995981</c:v>
                </c:pt>
                <c:pt idx="972">
                  <c:v>5.6498151231713</c:v>
                </c:pt>
                <c:pt idx="973">
                  <c:v>8.42398968223826</c:v>
                </c:pt>
                <c:pt idx="974">
                  <c:v>8.59991788900953</c:v>
                </c:pt>
                <c:pt idx="975">
                  <c:v>6.38789391657598</c:v>
                </c:pt>
                <c:pt idx="976">
                  <c:v>5.33574353799553</c:v>
                </c:pt>
                <c:pt idx="977">
                  <c:v>5.87989499983132</c:v>
                </c:pt>
                <c:pt idx="978">
                  <c:v>8.55268924707558</c:v>
                </c:pt>
                <c:pt idx="979">
                  <c:v>8.51483575556651</c:v>
                </c:pt>
                <c:pt idx="980">
                  <c:v>5.86440881532835</c:v>
                </c:pt>
                <c:pt idx="981">
                  <c:v>5.35921871208447</c:v>
                </c:pt>
                <c:pt idx="982">
                  <c:v>6.4541312464996</c:v>
                </c:pt>
                <c:pt idx="983">
                  <c:v>8.64096123734665</c:v>
                </c:pt>
                <c:pt idx="984">
                  <c:v>8.39052811526572</c:v>
                </c:pt>
                <c:pt idx="985">
                  <c:v>5.63516171385603</c:v>
                </c:pt>
                <c:pt idx="986">
                  <c:v>5.41972274146163</c:v>
                </c:pt>
                <c:pt idx="987">
                  <c:v>7.84236346502622</c:v>
                </c:pt>
                <c:pt idx="988">
                  <c:v>8.68693658506468</c:v>
                </c:pt>
                <c:pt idx="989">
                  <c:v>8.19301772397935</c:v>
                </c:pt>
                <c:pt idx="990">
                  <c:v>5.49198019036348</c:v>
                </c:pt>
                <c:pt idx="991">
                  <c:v>5.51185504533147</c:v>
                </c:pt>
                <c:pt idx="992">
                  <c:v>8.22662219752317</c:v>
                </c:pt>
                <c:pt idx="993">
                  <c:v>8.65752836705788</c:v>
                </c:pt>
                <c:pt idx="994">
                  <c:v>7.7841702412156</c:v>
                </c:pt>
                <c:pt idx="995">
                  <c:v>5.39449430996509</c:v>
                </c:pt>
                <c:pt idx="996">
                  <c:v>5.64981512316356</c:v>
                </c:pt>
                <c:pt idx="997">
                  <c:v>8.42398968223069</c:v>
                </c:pt>
                <c:pt idx="998">
                  <c:v>8.5999178890118</c:v>
                </c:pt>
                <c:pt idx="999">
                  <c:v>6.38789391661183</c:v>
                </c:pt>
                <c:pt idx="1000">
                  <c:v>5.3357435379968</c:v>
                </c:pt>
                <c:pt idx="1001">
                  <c:v>5.7209196339115</c:v>
                </c:pt>
                <c:pt idx="1002">
                  <c:v>6.60473088468941</c:v>
                </c:pt>
                <c:pt idx="1003">
                  <c:v>7.20107407612129</c:v>
                </c:pt>
                <c:pt idx="1004">
                  <c:v>5.48614330691589</c:v>
                </c:pt>
                <c:pt idx="1005">
                  <c:v>5.35095807263869</c:v>
                </c:pt>
                <c:pt idx="1006">
                  <c:v>5.5371611270689</c:v>
                </c:pt>
                <c:pt idx="1007">
                  <c:v>5.94724227023542</c:v>
                </c:pt>
                <c:pt idx="1008">
                  <c:v>7.13254419979029</c:v>
                </c:pt>
                <c:pt idx="1009">
                  <c:v>6.20580519176502</c:v>
                </c:pt>
                <c:pt idx="1010">
                  <c:v>5.40177351150855</c:v>
                </c:pt>
                <c:pt idx="1011">
                  <c:v>5.44333391149805</c:v>
                </c:pt>
                <c:pt idx="1012">
                  <c:v>5.71455510915933</c:v>
                </c:pt>
                <c:pt idx="1013">
                  <c:v>6.35864883654132</c:v>
                </c:pt>
                <c:pt idx="1014">
                  <c:v>7.18880777850027</c:v>
                </c:pt>
                <c:pt idx="1015">
                  <c:v>5.63268711694245</c:v>
                </c:pt>
                <c:pt idx="1016">
                  <c:v>5.40392562113473</c:v>
                </c:pt>
                <c:pt idx="1017">
                  <c:v>5.57728428405989</c:v>
                </c:pt>
                <c:pt idx="1018">
                  <c:v>5.99265123342438</c:v>
                </c:pt>
                <c:pt idx="1019">
                  <c:v>7.09693807567189</c:v>
                </c:pt>
                <c:pt idx="1020">
                  <c:v>6.10829984485523</c:v>
                </c:pt>
                <c:pt idx="1021">
                  <c:v>5.42845080879787</c:v>
                </c:pt>
                <c:pt idx="1022">
                  <c:v>5.48985307604799</c:v>
                </c:pt>
                <c:pt idx="1023">
                  <c:v>5.78600849977397</c:v>
                </c:pt>
                <c:pt idx="1024">
                  <c:v>6.51556344176067</c:v>
                </c:pt>
                <c:pt idx="1025">
                  <c:v>6.88172387998241</c:v>
                </c:pt>
                <c:pt idx="1026">
                  <c:v>5.5639211494399</c:v>
                </c:pt>
                <c:pt idx="1027">
                  <c:v>5.44141105068485</c:v>
                </c:pt>
                <c:pt idx="1028">
                  <c:v>5.65066558763697</c:v>
                </c:pt>
                <c:pt idx="1029">
                  <c:v>6.13950595798052</c:v>
                </c:pt>
                <c:pt idx="1030">
                  <c:v>7.15596936584399</c:v>
                </c:pt>
                <c:pt idx="1031">
                  <c:v>5.85510514890071</c:v>
                </c:pt>
                <c:pt idx="1032">
                  <c:v>5.43446183714717</c:v>
                </c:pt>
                <c:pt idx="1033">
                  <c:v>5.5567171145294</c:v>
                </c:pt>
                <c:pt idx="1034">
                  <c:v>5.91520476351939</c:v>
                </c:pt>
                <c:pt idx="1035">
                  <c:v>6.84357312915062</c:v>
                </c:pt>
                <c:pt idx="1036">
                  <c:v>6.33819623759815</c:v>
                </c:pt>
                <c:pt idx="1037">
                  <c:v>5.48428509299853</c:v>
                </c:pt>
                <c:pt idx="1038">
                  <c:v>5.49308488322769</c:v>
                </c:pt>
                <c:pt idx="1039">
                  <c:v>5.76308930830491</c:v>
                </c:pt>
                <c:pt idx="1040">
                  <c:v>6.40555175707077</c:v>
                </c:pt>
                <c:pt idx="1041">
                  <c:v>6.93431787489957</c:v>
                </c:pt>
                <c:pt idx="1042">
                  <c:v>5.62884874466053</c:v>
                </c:pt>
                <c:pt idx="1043">
                  <c:v>5.45837295969577</c:v>
                </c:pt>
                <c:pt idx="1044">
                  <c:v>5.65366745764301</c:v>
                </c:pt>
                <c:pt idx="1045">
                  <c:v>6.12154651441549</c:v>
                </c:pt>
                <c:pt idx="1046">
                  <c:v>7.08649429027831</c:v>
                </c:pt>
                <c:pt idx="1047">
                  <c:v>5.89064971119169</c:v>
                </c:pt>
                <c:pt idx="1048">
                  <c:v>5.45656837213534</c:v>
                </c:pt>
                <c:pt idx="1049">
                  <c:v>5.57337351872857</c:v>
                </c:pt>
                <c:pt idx="1050">
                  <c:v>5.93232475024166</c:v>
                </c:pt>
                <c:pt idx="1051">
                  <c:v>6.8316520288679</c:v>
                </c:pt>
                <c:pt idx="1052">
                  <c:v>6.28765336327512</c:v>
                </c:pt>
                <c:pt idx="1053">
                  <c:v>5.4981514808384</c:v>
                </c:pt>
                <c:pt idx="1054">
                  <c:v>5.51600747033864</c:v>
                </c:pt>
                <c:pt idx="1055">
                  <c:v>5.79569574035382</c:v>
                </c:pt>
                <c:pt idx="1056">
                  <c:v>6.46426203380075</c:v>
                </c:pt>
                <c:pt idx="1057">
                  <c:v>6.78468545088818</c:v>
                </c:pt>
                <c:pt idx="1058">
                  <c:v>5.60760632729641</c:v>
                </c:pt>
                <c:pt idx="1059">
                  <c:v>5.4807674606755</c:v>
                </c:pt>
                <c:pt idx="1060">
                  <c:v>5.69290701062357</c:v>
                </c:pt>
                <c:pt idx="1061">
                  <c:v>6.19666692737652</c:v>
                </c:pt>
                <c:pt idx="1062">
                  <c:v>7.0398828195978</c:v>
                </c:pt>
                <c:pt idx="1063">
                  <c:v>5.80429754354911</c:v>
                </c:pt>
                <c:pt idx="1064">
                  <c:v>5.47009055231712</c:v>
                </c:pt>
                <c:pt idx="1065">
                  <c:v>5.61416882767344</c:v>
                </c:pt>
                <c:pt idx="1066">
                  <c:v>6.00941669046703</c:v>
                </c:pt>
                <c:pt idx="1067">
                  <c:v>6.93613757335105</c:v>
                </c:pt>
                <c:pt idx="1068">
                  <c:v>6.09675260568938</c:v>
                </c:pt>
                <c:pt idx="1069">
                  <c:v>5.48977289673389</c:v>
                </c:pt>
                <c:pt idx="1070">
                  <c:v>5.55472081948918</c:v>
                </c:pt>
                <c:pt idx="1071">
                  <c:v>5.87065256052129</c:v>
                </c:pt>
                <c:pt idx="1072">
                  <c:v>6.63626623086079</c:v>
                </c:pt>
                <c:pt idx="1073">
                  <c:v>6.48617847812079</c:v>
                </c:pt>
                <c:pt idx="1074">
                  <c:v>5.55250938982551</c:v>
                </c:pt>
                <c:pt idx="1075">
                  <c:v>5.51301400520671</c:v>
                </c:pt>
                <c:pt idx="1076">
                  <c:v>5.76422238533668</c:v>
                </c:pt>
                <c:pt idx="1077">
                  <c:v>6.35581309914235</c:v>
                </c:pt>
                <c:pt idx="1078">
                  <c:v>6.86902256945178</c:v>
                </c:pt>
                <c:pt idx="1079">
                  <c:v>5.67607486302942</c:v>
                </c:pt>
                <c:pt idx="1080">
                  <c:v>5.48958062247286</c:v>
                </c:pt>
                <c:pt idx="1081">
                  <c:v>5.68082184376562</c:v>
                </c:pt>
                <c:pt idx="1082">
                  <c:v>6.1491677426938</c:v>
                </c:pt>
                <c:pt idx="1083">
                  <c:v>6.99624297529557</c:v>
                </c:pt>
                <c:pt idx="1084">
                  <c:v>5.86806601286133</c:v>
                </c:pt>
                <c:pt idx="1085">
                  <c:v>5.48685097522342</c:v>
                </c:pt>
                <c:pt idx="1086">
                  <c:v>5.61520987530085</c:v>
                </c:pt>
                <c:pt idx="1087">
                  <c:v>5.995216539559</c:v>
                </c:pt>
                <c:pt idx="1088">
                  <c:v>6.87173630745461</c:v>
                </c:pt>
                <c:pt idx="1089">
                  <c:v>6.13254500555686</c:v>
                </c:pt>
                <c:pt idx="1090">
                  <c:v>5.50949038202906</c:v>
                </c:pt>
                <c:pt idx="1091">
                  <c:v>5.56457210000638</c:v>
                </c:pt>
                <c:pt idx="1092">
                  <c:v>5.87615215366541</c:v>
                </c:pt>
                <c:pt idx="1093">
                  <c:v>6.61833863396867</c:v>
                </c:pt>
                <c:pt idx="1094">
                  <c:v>6.46228470264438</c:v>
                </c:pt>
                <c:pt idx="1095">
                  <c:v>5.56638444400674</c:v>
                </c:pt>
                <c:pt idx="1096">
                  <c:v>5.52807562552692</c:v>
                </c:pt>
                <c:pt idx="1097">
                  <c:v>5.78182787074447</c:v>
                </c:pt>
                <c:pt idx="1098">
                  <c:v>6.37829613051764</c:v>
                </c:pt>
                <c:pt idx="1099">
                  <c:v>6.78848647992294</c:v>
                </c:pt>
                <c:pt idx="1100">
                  <c:v>5.66965399629347</c:v>
                </c:pt>
                <c:pt idx="1101">
                  <c:v>5.50640597245903</c:v>
                </c:pt>
                <c:pt idx="1102">
                  <c:v>5.70627577542863</c:v>
                </c:pt>
                <c:pt idx="1103">
                  <c:v>6.19192344327142</c:v>
                </c:pt>
                <c:pt idx="1104">
                  <c:v>6.9436024440676</c:v>
                </c:pt>
                <c:pt idx="1105">
                  <c:v>5.82404052817327</c:v>
                </c:pt>
                <c:pt idx="1106">
                  <c:v>5.50106283711708</c:v>
                </c:pt>
                <c:pt idx="1107">
                  <c:v>5.64578035302506</c:v>
                </c:pt>
                <c:pt idx="1108">
                  <c:v>6.04869918437978</c:v>
                </c:pt>
                <c:pt idx="1109">
                  <c:v>6.89575188526167</c:v>
                </c:pt>
                <c:pt idx="1110">
                  <c:v>6.02910023263156</c:v>
                </c:pt>
                <c:pt idx="1111">
                  <c:v>5.51444605307293</c:v>
                </c:pt>
                <c:pt idx="1112">
                  <c:v>5.59807193573295</c:v>
                </c:pt>
                <c:pt idx="1113">
                  <c:v>5.93620968194263</c:v>
                </c:pt>
                <c:pt idx="1114">
                  <c:v>6.71730489979625</c:v>
                </c:pt>
                <c:pt idx="1115">
                  <c:v>6.27898990410556</c:v>
                </c:pt>
                <c:pt idx="1116">
                  <c:v>5.55068092954853</c:v>
                </c:pt>
                <c:pt idx="1117">
                  <c:v>5.56212390777029</c:v>
                </c:pt>
                <c:pt idx="1118">
                  <c:v>5.84628555496445</c:v>
                </c:pt>
                <c:pt idx="1119">
                  <c:v>6.5080088866438</c:v>
                </c:pt>
                <c:pt idx="1120">
                  <c:v>6.55028179043714</c:v>
                </c:pt>
                <c:pt idx="1121">
                  <c:v>5.61548017790659</c:v>
                </c:pt>
                <c:pt idx="1122">
                  <c:v>5.53779830320637</c:v>
                </c:pt>
                <c:pt idx="1123">
                  <c:v>5.77387766199763</c:v>
                </c:pt>
                <c:pt idx="1124">
                  <c:v>6.32846112020956</c:v>
                </c:pt>
                <c:pt idx="1125">
                  <c:v>6.77357472264213</c:v>
                </c:pt>
                <c:pt idx="1126">
                  <c:v>5.71294431049446</c:v>
                </c:pt>
                <c:pt idx="1127">
                  <c:v>5.52558474673346</c:v>
                </c:pt>
                <c:pt idx="1128">
                  <c:v>5.7157981048931</c:v>
                </c:pt>
                <c:pt idx="1129">
                  <c:v>6.18639815204877</c:v>
                </c:pt>
                <c:pt idx="1130">
                  <c:v>6.86786530125214</c:v>
                </c:pt>
                <c:pt idx="1131">
                  <c:v>5.84077605478278</c:v>
                </c:pt>
                <c:pt idx="1132">
                  <c:v>5.52619368049654</c:v>
                </c:pt>
                <c:pt idx="1133">
                  <c:v>5.67013532709859</c:v>
                </c:pt>
                <c:pt idx="1134">
                  <c:v>6.07528166748974</c:v>
                </c:pt>
                <c:pt idx="1135">
                  <c:v>6.83616176155982</c:v>
                </c:pt>
                <c:pt idx="1136">
                  <c:v>5.99187525052778</c:v>
                </c:pt>
                <c:pt idx="1137">
                  <c:v>5.54016072166736</c:v>
                </c:pt>
                <c:pt idx="1138">
                  <c:v>5.63565494983856</c:v>
                </c:pt>
                <c:pt idx="1139">
                  <c:v>5.9885031871253</c:v>
                </c:pt>
                <c:pt idx="1140">
                  <c:v>6.72708874890873</c:v>
                </c:pt>
                <c:pt idx="1141">
                  <c:v>6.15400850349971</c:v>
                </c:pt>
                <c:pt idx="1142">
                  <c:v>5.56757783713117</c:v>
                </c:pt>
                <c:pt idx="1143">
                  <c:v>5.61154394585884</c:v>
                </c:pt>
                <c:pt idx="1144">
                  <c:v>5.92131036592039</c:v>
                </c:pt>
                <c:pt idx="1145">
                  <c:v>6.59430951031756</c:v>
                </c:pt>
                <c:pt idx="1146">
                  <c:v>6.30967915739852</c:v>
                </c:pt>
                <c:pt idx="1147">
                  <c:v>5.60753401406472</c:v>
                </c:pt>
                <c:pt idx="1148">
                  <c:v>5.59719962531144</c:v>
                </c:pt>
                <c:pt idx="1149">
                  <c:v>5.87048515166315</c:v>
                </c:pt>
                <c:pt idx="1150">
                  <c:v>6.47336906133112</c:v>
                </c:pt>
                <c:pt idx="1151">
                  <c:v>6.43851217175625</c:v>
                </c:pt>
                <c:pt idx="1152">
                  <c:v>5.65734791970028</c:v>
                </c:pt>
                <c:pt idx="1153">
                  <c:v>5.59200650903636</c:v>
                </c:pt>
                <c:pt idx="1154">
                  <c:v>5.83383553117692</c:v>
                </c:pt>
                <c:pt idx="1155">
                  <c:v>6.37639280922464</c:v>
                </c:pt>
                <c:pt idx="1156">
                  <c:v>6.52362302569958</c:v>
                </c:pt>
                <c:pt idx="1157">
                  <c:v>5.71211719147375</c:v>
                </c:pt>
                <c:pt idx="1158">
                  <c:v>5.59512541684334</c:v>
                </c:pt>
                <c:pt idx="1159">
                  <c:v>5.80979666716648</c:v>
                </c:pt>
                <c:pt idx="1160">
                  <c:v>6.3038561666421</c:v>
                </c:pt>
                <c:pt idx="1161">
                  <c:v>6.56071505761446</c:v>
                </c:pt>
                <c:pt idx="1162">
                  <c:v>5.76553625440892</c:v>
                </c:pt>
                <c:pt idx="1163">
                  <c:v>5.60539309289836</c:v>
                </c:pt>
                <c:pt idx="1164">
                  <c:v>5.7971415751089</c:v>
                </c:pt>
                <c:pt idx="1165">
                  <c:v>6.25294706382064</c:v>
                </c:pt>
                <c:pt idx="1166">
                  <c:v>6.55827075025182</c:v>
                </c:pt>
                <c:pt idx="1167">
                  <c:v>5.81162658288644</c:v>
                </c:pt>
                <c:pt idx="1168">
                  <c:v>5.62137429054403</c:v>
                </c:pt>
                <c:pt idx="1169">
                  <c:v>5.79477002140431</c:v>
                </c:pt>
                <c:pt idx="1170">
                  <c:v>6.22033258228676</c:v>
                </c:pt>
                <c:pt idx="1171">
                  <c:v>6.5292974325823</c:v>
                </c:pt>
                <c:pt idx="1172">
                  <c:v>5.84629921787262</c:v>
                </c:pt>
                <c:pt idx="1173">
                  <c:v>5.64154402834448</c:v>
                </c:pt>
                <c:pt idx="1174">
                  <c:v>5.80156848308605</c:v>
                </c:pt>
                <c:pt idx="1175">
                  <c:v>6.20268052498946</c:v>
                </c:pt>
                <c:pt idx="1176">
                  <c:v>6.48469048750247</c:v>
                </c:pt>
                <c:pt idx="1177">
                  <c:v>5.86816600472888</c:v>
                </c:pt>
                <c:pt idx="1178">
                  <c:v>5.66452814621191</c:v>
                </c:pt>
                <c:pt idx="1179">
                  <c:v>5.81632751107757</c:v>
                </c:pt>
                <c:pt idx="1180">
                  <c:v>6.1965679715345</c:v>
                </c:pt>
                <c:pt idx="1181">
                  <c:v>6.43138415323035</c:v>
                </c:pt>
                <c:pt idx="1182">
                  <c:v>5.87843268674176</c:v>
                </c:pt>
                <c:pt idx="1183">
                  <c:v>5.68930305608153</c:v>
                </c:pt>
                <c:pt idx="1184">
                  <c:v>5.83771109263424</c:v>
                </c:pt>
                <c:pt idx="1185">
                  <c:v>6.1983393909819</c:v>
                </c:pt>
                <c:pt idx="1186">
                  <c:v>6.37333470377889</c:v>
                </c:pt>
                <c:pt idx="1187">
                  <c:v>5.88005372567782</c:v>
                </c:pt>
                <c:pt idx="1188">
                  <c:v>5.71525675737779</c:v>
                </c:pt>
                <c:pt idx="1189">
                  <c:v>5.86425401412489</c:v>
                </c:pt>
                <c:pt idx="1190">
                  <c:v>6.20410133726313</c:v>
                </c:pt>
                <c:pt idx="1191">
                  <c:v>6.31312969964074</c:v>
                </c:pt>
                <c:pt idx="1192">
                  <c:v>5.87662916228172</c:v>
                </c:pt>
                <c:pt idx="1193">
                  <c:v>5.74210184781838</c:v>
                </c:pt>
                <c:pt idx="1194">
                  <c:v>5.89437327067352</c:v>
                </c:pt>
                <c:pt idx="1195">
                  <c:v>6.20994601920823</c:v>
                </c:pt>
                <c:pt idx="1196">
                  <c:v>6.25305982156267</c:v>
                </c:pt>
                <c:pt idx="1197">
                  <c:v>5.87148375627634</c:v>
                </c:pt>
                <c:pt idx="1198">
                  <c:v>5.76970497467503</c:v>
                </c:pt>
                <c:pt idx="1199">
                  <c:v>5.92638589281728</c:v>
                </c:pt>
                <c:pt idx="1200">
                  <c:v>4.97872436805541</c:v>
                </c:pt>
                <c:pt idx="1201">
                  <c:v>4.24220976452681</c:v>
                </c:pt>
                <c:pt idx="1202">
                  <c:v>4.02634680753879</c:v>
                </c:pt>
                <c:pt idx="1203">
                  <c:v>3.91770968483305</c:v>
                </c:pt>
                <c:pt idx="1204">
                  <c:v>3.85566299309107</c:v>
                </c:pt>
                <c:pt idx="1205">
                  <c:v>3.8212136935539</c:v>
                </c:pt>
                <c:pt idx="1206">
                  <c:v>3.80626550159893</c:v>
                </c:pt>
                <c:pt idx="1207">
                  <c:v>3.80690587044434</c:v>
                </c:pt>
                <c:pt idx="1208">
                  <c:v>3.82135284707575</c:v>
                </c:pt>
                <c:pt idx="1209">
                  <c:v>3.8492256113197</c:v>
                </c:pt>
                <c:pt idx="1210">
                  <c:v>3.89137764300181</c:v>
                </c:pt>
                <c:pt idx="1211">
                  <c:v>3.95014118061956</c:v>
                </c:pt>
                <c:pt idx="1212">
                  <c:v>4.03016013284204</c:v>
                </c:pt>
                <c:pt idx="1213">
                  <c:v>4.14058725485299</c:v>
                </c:pt>
                <c:pt idx="1214">
                  <c:v>4.30167763515168</c:v>
                </c:pt>
                <c:pt idx="1215">
                  <c:v>4.57285704395995</c:v>
                </c:pt>
                <c:pt idx="1216">
                  <c:v>5.42062145316611</c:v>
                </c:pt>
                <c:pt idx="1217">
                  <c:v>9.22165254181988</c:v>
                </c:pt>
                <c:pt idx="1218">
                  <c:v>9.3728451826944</c:v>
                </c:pt>
                <c:pt idx="1219">
                  <c:v>9.38060086404835</c:v>
                </c:pt>
                <c:pt idx="1220">
                  <c:v>9.2666033730512</c:v>
                </c:pt>
                <c:pt idx="1221">
                  <c:v>8.8091668500945</c:v>
                </c:pt>
                <c:pt idx="1222">
                  <c:v>5.0123193097178</c:v>
                </c:pt>
                <c:pt idx="1223">
                  <c:v>4.68201168210592</c:v>
                </c:pt>
                <c:pt idx="1224">
                  <c:v>4.61843888298484</c:v>
                </c:pt>
                <c:pt idx="1225">
                  <c:v>4.61422701274088</c:v>
                </c:pt>
                <c:pt idx="1226">
                  <c:v>4.67328613774414</c:v>
                </c:pt>
                <c:pt idx="1227">
                  <c:v>4.80662757191023</c:v>
                </c:pt>
                <c:pt idx="1228">
                  <c:v>5.07605645714869</c:v>
                </c:pt>
                <c:pt idx="1229">
                  <c:v>6.1017064941454</c:v>
                </c:pt>
                <c:pt idx="1230">
                  <c:v>8.68553578519149</c:v>
                </c:pt>
                <c:pt idx="1231">
                  <c:v>8.21447449771445</c:v>
                </c:pt>
                <c:pt idx="1232">
                  <c:v>5.28946589880963</c:v>
                </c:pt>
                <c:pt idx="1233">
                  <c:v>5.17167151043295</c:v>
                </c:pt>
                <c:pt idx="1234">
                  <c:v>5.38706259906614</c:v>
                </c:pt>
                <c:pt idx="1235">
                  <c:v>5.88682815030463</c:v>
                </c:pt>
                <c:pt idx="1236">
                  <c:v>7.86576118946179</c:v>
                </c:pt>
                <c:pt idx="1237">
                  <c:v>6.23556640320575</c:v>
                </c:pt>
                <c:pt idx="1238">
                  <c:v>5.21735852303069</c:v>
                </c:pt>
                <c:pt idx="1239">
                  <c:v>5.26250230818057</c:v>
                </c:pt>
                <c:pt idx="1240">
                  <c:v>5.48853843701398</c:v>
                </c:pt>
                <c:pt idx="1241">
                  <c:v>5.98149193802507</c:v>
                </c:pt>
                <c:pt idx="1242">
                  <c:v>7.6065700872779</c:v>
                </c:pt>
                <c:pt idx="1243">
                  <c:v>6.01260186531513</c:v>
                </c:pt>
                <c:pt idx="1244">
                  <c:v>5.27741120373835</c:v>
                </c:pt>
                <c:pt idx="1245">
                  <c:v>5.34691293217879</c:v>
                </c:pt>
                <c:pt idx="1246">
                  <c:v>5.60278953127318</c:v>
                </c:pt>
                <c:pt idx="1247">
                  <c:v>6.18898818727075</c:v>
                </c:pt>
                <c:pt idx="1248">
                  <c:v>7.51439598609157</c:v>
                </c:pt>
                <c:pt idx="1249">
                  <c:v>5.73235607549906</c:v>
                </c:pt>
                <c:pt idx="1250">
                  <c:v>5.32180743586454</c:v>
                </c:pt>
                <c:pt idx="1251">
                  <c:v>5.44782965530251</c:v>
                </c:pt>
                <c:pt idx="1252">
                  <c:v>5.77184083896853</c:v>
                </c:pt>
                <c:pt idx="1253">
                  <c:v>6.6457484227175</c:v>
                </c:pt>
                <c:pt idx="1254">
                  <c:v>7.05150790503428</c:v>
                </c:pt>
                <c:pt idx="1255">
                  <c:v>5.48978249420358</c:v>
                </c:pt>
                <c:pt idx="1256">
                  <c:v>5.3813397414342</c:v>
                </c:pt>
                <c:pt idx="1257">
                  <c:v>5.58710624726712</c:v>
                </c:pt>
                <c:pt idx="1258">
                  <c:v>6.05003922898088</c:v>
                </c:pt>
                <c:pt idx="1259">
                  <c:v>7.24849919521227</c:v>
                </c:pt>
                <c:pt idx="1260">
                  <c:v>5.96664240097926</c:v>
                </c:pt>
                <c:pt idx="1261">
                  <c:v>5.39498198180547</c:v>
                </c:pt>
                <c:pt idx="1262">
                  <c:v>5.48588107070527</c:v>
                </c:pt>
                <c:pt idx="1263">
                  <c:v>5.79918259586456</c:v>
                </c:pt>
                <c:pt idx="1264">
                  <c:v>6.59231247050938</c:v>
                </c:pt>
                <c:pt idx="1265">
                  <c:v>6.82367847938505</c:v>
                </c:pt>
                <c:pt idx="1266">
                  <c:v>5.52902766763105</c:v>
                </c:pt>
                <c:pt idx="1267">
                  <c:v>5.43543349631737</c:v>
                </c:pt>
                <c:pt idx="1268">
                  <c:v>5.65485378507228</c:v>
                </c:pt>
                <c:pt idx="1269">
                  <c:v>6.16047688319725</c:v>
                </c:pt>
                <c:pt idx="1270">
                  <c:v>7.16827194352952</c:v>
                </c:pt>
                <c:pt idx="1271">
                  <c:v>5.82433990835444</c:v>
                </c:pt>
                <c:pt idx="1272">
                  <c:v>5.43201723840387</c:v>
                </c:pt>
                <c:pt idx="1273">
                  <c:v>5.56348140900116</c:v>
                </c:pt>
                <c:pt idx="1274">
                  <c:v>5.93218534622998</c:v>
                </c:pt>
                <c:pt idx="1275">
                  <c:v>6.87561865537828</c:v>
                </c:pt>
                <c:pt idx="1276">
                  <c:v>6.27844881950608</c:v>
                </c:pt>
                <c:pt idx="1277">
                  <c:v>5.48251430913271</c:v>
                </c:pt>
                <c:pt idx="1278">
                  <c:v>5.5060970979438</c:v>
                </c:pt>
                <c:pt idx="1279">
                  <c:v>5.78758777739995</c:v>
                </c:pt>
                <c:pt idx="1280">
                  <c:v>6.45803911156964</c:v>
                </c:pt>
                <c:pt idx="1281">
                  <c:v>6.81330669867974</c:v>
                </c:pt>
                <c:pt idx="1282">
                  <c:v>5.60748979577205</c:v>
                </c:pt>
                <c:pt idx="1283">
                  <c:v>5.47630356867934</c:v>
                </c:pt>
                <c:pt idx="1284">
                  <c:v>5.68802568345103</c:v>
                </c:pt>
                <c:pt idx="1285">
                  <c:v>6.18864091480432</c:v>
                </c:pt>
                <c:pt idx="1286">
                  <c:v>7.03512843531821</c:v>
                </c:pt>
                <c:pt idx="1287">
                  <c:v>5.81248768110309</c:v>
                </c:pt>
                <c:pt idx="1288">
                  <c:v>5.47336289027444</c:v>
                </c:pt>
                <c:pt idx="1289">
                  <c:v>5.61734302005994</c:v>
                </c:pt>
                <c:pt idx="1290">
                  <c:v>6.01335841378102</c:v>
                </c:pt>
                <c:pt idx="1291">
                  <c:v>6.91920620413874</c:v>
                </c:pt>
                <c:pt idx="1292">
                  <c:v>6.08727995551293</c:v>
                </c:pt>
                <c:pt idx="1293">
                  <c:v>5.49860371200478</c:v>
                </c:pt>
                <c:pt idx="1294">
                  <c:v>5.56762949617696</c:v>
                </c:pt>
                <c:pt idx="1295">
                  <c:v>5.89002024448807</c:v>
                </c:pt>
                <c:pt idx="1296">
                  <c:v>6.65613418470934</c:v>
                </c:pt>
                <c:pt idx="1297">
                  <c:v>6.40978244835133</c:v>
                </c:pt>
                <c:pt idx="1298">
                  <c:v>5.55640398112848</c:v>
                </c:pt>
                <c:pt idx="1299">
                  <c:v>5.53515291944548</c:v>
                </c:pt>
                <c:pt idx="1300">
                  <c:v>5.79941403131105</c:v>
                </c:pt>
                <c:pt idx="1301">
                  <c:v>6.41669139369215</c:v>
                </c:pt>
                <c:pt idx="1302">
                  <c:v>6.71247027920871</c:v>
                </c:pt>
                <c:pt idx="1303">
                  <c:v>5.65135037548269</c:v>
                </c:pt>
                <c:pt idx="1304">
                  <c:v>5.51840701674101</c:v>
                </c:pt>
                <c:pt idx="1305">
                  <c:v>5.73169456631102</c:v>
                </c:pt>
                <c:pt idx="1306">
                  <c:v>6.2407971923436</c:v>
                </c:pt>
                <c:pt idx="1307">
                  <c:v>6.87397916649862</c:v>
                </c:pt>
                <c:pt idx="1308">
                  <c:v>5.7798222494466</c:v>
                </c:pt>
                <c:pt idx="1309">
                  <c:v>5.51675182744116</c:v>
                </c:pt>
                <c:pt idx="1310">
                  <c:v>5.68147639185216</c:v>
                </c:pt>
                <c:pt idx="1311">
                  <c:v>6.11301846815849</c:v>
                </c:pt>
                <c:pt idx="1312">
                  <c:v>6.87345159032332</c:v>
                </c:pt>
                <c:pt idx="1313">
                  <c:v>5.93078627186539</c:v>
                </c:pt>
                <c:pt idx="1314">
                  <c:v>5.52974367824074</c:v>
                </c:pt>
                <c:pt idx="1315">
                  <c:v>5.64584166769934</c:v>
                </c:pt>
                <c:pt idx="1316">
                  <c:v>6.01940378209279</c:v>
                </c:pt>
                <c:pt idx="1317">
                  <c:v>6.77475111428924</c:v>
                </c:pt>
                <c:pt idx="1318">
                  <c:v>6.08831857986559</c:v>
                </c:pt>
                <c:pt idx="1319">
                  <c:v>5.55660361806231</c:v>
                </c:pt>
                <c:pt idx="1320">
                  <c:v>5.62325822585097</c:v>
                </c:pt>
                <c:pt idx="1321">
                  <c:v>5.95172137063935</c:v>
                </c:pt>
                <c:pt idx="1322">
                  <c:v>6.64515780235895</c:v>
                </c:pt>
                <c:pt idx="1323">
                  <c:v>6.23131592807557</c:v>
                </c:pt>
                <c:pt idx="1324">
                  <c:v>5.59485306696146</c:v>
                </c:pt>
                <c:pt idx="1325">
                  <c:v>5.61249307484669</c:v>
                </c:pt>
                <c:pt idx="1326">
                  <c:v>5.90492779768384</c:v>
                </c:pt>
                <c:pt idx="1327">
                  <c:v>6.52853352113038</c:v>
                </c:pt>
                <c:pt idx="1328">
                  <c:v>6.33967107716734</c:v>
                </c:pt>
                <c:pt idx="1329">
                  <c:v>5.64004211170184</c:v>
                </c:pt>
                <c:pt idx="1330">
                  <c:v>5.6123093856193</c:v>
                </c:pt>
                <c:pt idx="1331">
                  <c:v>5.8757127693195</c:v>
                </c:pt>
                <c:pt idx="1332">
                  <c:v>6.43927412890501</c:v>
                </c:pt>
                <c:pt idx="1333">
                  <c:v>6.40164512010396</c:v>
                </c:pt>
                <c:pt idx="1334">
                  <c:v>5.6862222303781</c:v>
                </c:pt>
                <c:pt idx="1335">
                  <c:v>5.62126047426424</c:v>
                </c:pt>
                <c:pt idx="1336">
                  <c:v>5.86167538900792</c:v>
                </c:pt>
                <c:pt idx="1337">
                  <c:v>6.37692802791124</c:v>
                </c:pt>
                <c:pt idx="1338">
                  <c:v>6.41824719549367</c:v>
                </c:pt>
                <c:pt idx="1339">
                  <c:v>5.72756390511046</c:v>
                </c:pt>
                <c:pt idx="1340">
                  <c:v>5.63767621361397</c:v>
                </c:pt>
                <c:pt idx="1341">
                  <c:v>5.86080326529713</c:v>
                </c:pt>
                <c:pt idx="1342">
                  <c:v>6.33673624991985</c:v>
                </c:pt>
                <c:pt idx="1343">
                  <c:v>6.39958269559591</c:v>
                </c:pt>
                <c:pt idx="1344">
                  <c:v>5.76022552382812</c:v>
                </c:pt>
                <c:pt idx="1345">
                  <c:v>5.65983853955653</c:v>
                </c:pt>
                <c:pt idx="1346">
                  <c:v>5.87115570037906</c:v>
                </c:pt>
                <c:pt idx="1347">
                  <c:v>6.31297369406274</c:v>
                </c:pt>
                <c:pt idx="1348">
                  <c:v>6.35771910988817</c:v>
                </c:pt>
                <c:pt idx="1349">
                  <c:v>5.78323034034246</c:v>
                </c:pt>
                <c:pt idx="1350">
                  <c:v>5.68621103025645</c:v>
                </c:pt>
                <c:pt idx="1351">
                  <c:v>5.89068414846562</c:v>
                </c:pt>
                <c:pt idx="1352">
                  <c:v>6.29963322557348</c:v>
                </c:pt>
                <c:pt idx="1353">
                  <c:v>6.30270181459776</c:v>
                </c:pt>
                <c:pt idx="1354">
                  <c:v>5.79808974910443</c:v>
                </c:pt>
                <c:pt idx="1355">
                  <c:v>5.71558877651327</c:v>
                </c:pt>
                <c:pt idx="1356">
                  <c:v>5.91715516101689</c:v>
                </c:pt>
                <c:pt idx="1357">
                  <c:v>6.29070770830103</c:v>
                </c:pt>
                <c:pt idx="1358">
                  <c:v>6.24200977945858</c:v>
                </c:pt>
                <c:pt idx="1359">
                  <c:v>5.8076617631118</c:v>
                </c:pt>
                <c:pt idx="1360">
                  <c:v>5.7470924276759</c:v>
                </c:pt>
                <c:pt idx="1361">
                  <c:v>5.94813716785938</c:v>
                </c:pt>
                <c:pt idx="1362">
                  <c:v>6.28074718860971</c:v>
                </c:pt>
                <c:pt idx="1363">
                  <c:v>6.18118896881355</c:v>
                </c:pt>
                <c:pt idx="1364">
                  <c:v>5.8149629862893</c:v>
                </c:pt>
                <c:pt idx="1365">
                  <c:v>5.78004205155423</c:v>
                </c:pt>
                <c:pt idx="1366">
                  <c:v>5.98103911045714</c:v>
                </c:pt>
                <c:pt idx="1367">
                  <c:v>6.26570462398219</c:v>
                </c:pt>
                <c:pt idx="1368">
                  <c:v>6.12432893536989</c:v>
                </c:pt>
                <c:pt idx="1369">
                  <c:v>5.82239336084917</c:v>
                </c:pt>
                <c:pt idx="1370">
                  <c:v>5.81380033537872</c:v>
                </c:pt>
                <c:pt idx="1371">
                  <c:v>6.01321102567452</c:v>
                </c:pt>
                <c:pt idx="1372">
                  <c:v>6.24367182508266</c:v>
                </c:pt>
                <c:pt idx="1373">
                  <c:v>6.07421520116183</c:v>
                </c:pt>
                <c:pt idx="1374">
                  <c:v>5.83145649100514</c:v>
                </c:pt>
                <c:pt idx="1375">
                  <c:v>5.84766387625711</c:v>
                </c:pt>
                <c:pt idx="1376">
                  <c:v>6.0421327921109</c:v>
                </c:pt>
                <c:pt idx="1377">
                  <c:v>6.215025407235</c:v>
                </c:pt>
                <c:pt idx="1378">
                  <c:v>6.03239718538569</c:v>
                </c:pt>
                <c:pt idx="1379">
                  <c:v>5.84281585359593</c:v>
                </c:pt>
                <c:pt idx="1380">
                  <c:v>5.88082465669897</c:v>
                </c:pt>
                <c:pt idx="1381">
                  <c:v>6.06568124837006</c:v>
                </c:pt>
                <c:pt idx="1382">
                  <c:v>6.18183663744016</c:v>
                </c:pt>
                <c:pt idx="1383">
                  <c:v>5.99935018501589</c:v>
                </c:pt>
                <c:pt idx="1384">
                  <c:v>5.85650121262678</c:v>
                </c:pt>
                <c:pt idx="1385">
                  <c:v>5.91239573914281</c:v>
                </c:pt>
                <c:pt idx="1386">
                  <c:v>6.08241738657303</c:v>
                </c:pt>
                <c:pt idx="1387">
                  <c:v>6.14689146325994</c:v>
                </c:pt>
                <c:pt idx="1388">
                  <c:v>5.97474205279986</c:v>
                </c:pt>
                <c:pt idx="1389">
                  <c:v>5.87213336713315</c:v>
                </c:pt>
                <c:pt idx="1390">
                  <c:v>5.94147954110957</c:v>
                </c:pt>
                <c:pt idx="1391">
                  <c:v>6.0917871018232</c:v>
                </c:pt>
                <c:pt idx="1392">
                  <c:v>6.1128185280634</c:v>
                </c:pt>
                <c:pt idx="1393">
                  <c:v>5.95773114182999</c:v>
                </c:pt>
                <c:pt idx="1394">
                  <c:v>5.88910866786292</c:v>
                </c:pt>
                <c:pt idx="1395">
                  <c:v>5.96725841295445</c:v>
                </c:pt>
                <c:pt idx="1396">
                  <c:v>6.0941413449816</c:v>
                </c:pt>
                <c:pt idx="1397">
                  <c:v>6.08159786445543</c:v>
                </c:pt>
                <c:pt idx="1398">
                  <c:v>5.94722257993198</c:v>
                </c:pt>
                <c:pt idx="1399">
                  <c:v>5.90673107147456</c:v>
                </c:pt>
                <c:pt idx="1400">
                  <c:v>5.9890878030356</c:v>
                </c:pt>
                <c:pt idx="1401">
                  <c:v>6.09055738056429</c:v>
                </c:pt>
                <c:pt idx="1402">
                  <c:v>6.05443592623584</c:v>
                </c:pt>
                <c:pt idx="1403">
                  <c:v>5.94205033899845</c:v>
                </c:pt>
                <c:pt idx="1404">
                  <c:v>5.92430096305348</c:v>
                </c:pt>
                <c:pt idx="1405">
                  <c:v>6.00657319043507</c:v>
                </c:pt>
                <c:pt idx="1406">
                  <c:v>6.08253416141927</c:v>
                </c:pt>
                <c:pt idx="1407">
                  <c:v>6.03186095913723</c:v>
                </c:pt>
                <c:pt idx="1408">
                  <c:v>5.94108736102446</c:v>
                </c:pt>
                <c:pt idx="1409">
                  <c:v>5.9411739445419</c:v>
                </c:pt>
                <c:pt idx="1410">
                  <c:v>6.01961283117951</c:v>
                </c:pt>
                <c:pt idx="1411">
                  <c:v>6.07167366202303</c:v>
                </c:pt>
                <c:pt idx="1412">
                  <c:v>6.01390035503995</c:v>
                </c:pt>
                <c:pt idx="1413">
                  <c:v>5.94330280752632</c:v>
                </c:pt>
                <c:pt idx="1414">
                  <c:v>5.95680056213224</c:v>
                </c:pt>
                <c:pt idx="1415">
                  <c:v>6.02839620978518</c:v>
                </c:pt>
                <c:pt idx="1416">
                  <c:v>6.05943617255166</c:v>
                </c:pt>
                <c:pt idx="1417">
                  <c:v>6.00025749426571</c:v>
                </c:pt>
                <c:pt idx="1418">
                  <c:v>5.94778640681319</c:v>
                </c:pt>
                <c:pt idx="1419">
                  <c:v>5.97075280689566</c:v>
                </c:pt>
                <c:pt idx="1420">
                  <c:v>6.03335951830067</c:v>
                </c:pt>
                <c:pt idx="1421">
                  <c:v>6.04700239938934</c:v>
                </c:pt>
                <c:pt idx="1422">
                  <c:v>5.99045362085409</c:v>
                </c:pt>
                <c:pt idx="1423">
                  <c:v>5.95375493858393</c:v>
                </c:pt>
                <c:pt idx="1424">
                  <c:v>5.9827393622809</c:v>
                </c:pt>
                <c:pt idx="1425">
                  <c:v>6.03511088696617</c:v>
                </c:pt>
                <c:pt idx="1426">
                  <c:v>6.03523012064607</c:v>
                </c:pt>
                <c:pt idx="1427">
                  <c:v>5.98392849824335</c:v>
                </c:pt>
                <c:pt idx="1428">
                  <c:v>5.96055031381123</c:v>
                </c:pt>
                <c:pt idx="1429">
                  <c:v>5.99260965549088</c:v>
                </c:pt>
                <c:pt idx="1430">
                  <c:v>6.0343442100239</c:v>
                </c:pt>
                <c:pt idx="1431">
                  <c:v>6.02467365133309</c:v>
                </c:pt>
                <c:pt idx="1432">
                  <c:v>5.98010595654743</c:v>
                </c:pt>
                <c:pt idx="1433">
                  <c:v>5.96763424287725</c:v>
                </c:pt>
                <c:pt idx="1434">
                  <c:v>6.00034661898581</c:v>
                </c:pt>
                <c:pt idx="1435">
                  <c:v>6.03175947098004</c:v>
                </c:pt>
                <c:pt idx="1436">
                  <c:v>6.01563468542904</c:v>
                </c:pt>
                <c:pt idx="1437">
                  <c:v>5.97843360334876</c:v>
                </c:pt>
                <c:pt idx="1438">
                  <c:v>5.9745815617218</c:v>
                </c:pt>
                <c:pt idx="1439">
                  <c:v>6.00604923554527</c:v>
                </c:pt>
                <c:pt idx="1440">
                  <c:v>6.0280014241496</c:v>
                </c:pt>
                <c:pt idx="1441">
                  <c:v>6.00822212670714</c:v>
                </c:pt>
                <c:pt idx="1442">
                  <c:v>5.9784051877443</c:v>
                </c:pt>
                <c:pt idx="1443">
                  <c:v>5.98107267204536</c:v>
                </c:pt>
                <c:pt idx="1444">
                  <c:v>6.00990743616538</c:v>
                </c:pt>
                <c:pt idx="1445">
                  <c:v>6.02362099929932</c:v>
                </c:pt>
                <c:pt idx="1446">
                  <c:v>6.00240823881156</c:v>
                </c:pt>
                <c:pt idx="1447">
                  <c:v>5.97957199717063</c:v>
                </c:pt>
                <c:pt idx="1448">
                  <c:v>5.98688483579216</c:v>
                </c:pt>
                <c:pt idx="1449">
                  <c:v>6.01217299663189</c:v>
                </c:pt>
                <c:pt idx="1450">
                  <c:v>6.01905785023417</c:v>
                </c:pt>
                <c:pt idx="1451">
                  <c:v>5.9980756281255</c:v>
                </c:pt>
                <c:pt idx="1452">
                  <c:v>5.98154756596342</c:v>
                </c:pt>
                <c:pt idx="1453">
                  <c:v>5.99188196536009</c:v>
                </c:pt>
                <c:pt idx="1454">
                  <c:v>6.01313031457908</c:v>
                </c:pt>
                <c:pt idx="1455">
                  <c:v>6.01463923058297</c:v>
                </c:pt>
                <c:pt idx="1456">
                  <c:v>5.9950538578004</c:v>
                </c:pt>
                <c:pt idx="1457">
                  <c:v>5.98400833336442</c:v>
                </c:pt>
                <c:pt idx="1458">
                  <c:v>5.9960028030416</c:v>
                </c:pt>
                <c:pt idx="1459">
                  <c:v>6.013070344607</c:v>
                </c:pt>
                <c:pt idx="1460">
                  <c:v>6.0105895525578</c:v>
                </c:pt>
                <c:pt idx="1461">
                  <c:v>5.99314659328295</c:v>
                </c:pt>
                <c:pt idx="1462">
                  <c:v>5.98669176746562</c:v>
                </c:pt>
                <c:pt idx="1463">
                  <c:v>5.99924776417498</c:v>
                </c:pt>
                <c:pt idx="1464">
                  <c:v>6.01226983440484</c:v>
                </c:pt>
                <c:pt idx="1465">
                  <c:v>6.00704565053628</c:v>
                </c:pt>
                <c:pt idx="1466">
                  <c:v>5.99215094129549</c:v>
                </c:pt>
                <c:pt idx="1467">
                  <c:v>5.98939278664785</c:v>
                </c:pt>
                <c:pt idx="1468">
                  <c:v>6.00166505884186</c:v>
                </c:pt>
                <c:pt idx="1469">
                  <c:v>6.01097674639558</c:v>
                </c:pt>
                <c:pt idx="1470">
                  <c:v>6.00407404792702</c:v>
                </c:pt>
                <c:pt idx="1471">
                  <c:v>5.99187070628456</c:v>
                </c:pt>
                <c:pt idx="1472">
                  <c:v>5.99195894407078</c:v>
                </c:pt>
                <c:pt idx="1473">
                  <c:v>6.00333690252011</c:v>
                </c:pt>
                <c:pt idx="1474">
                  <c:v>6.00940169044209</c:v>
                </c:pt>
                <c:pt idx="1475">
                  <c:v>6.00168783234329</c:v>
                </c:pt>
                <c:pt idx="1476">
                  <c:v>5.99212505268852</c:v>
                </c:pt>
                <c:pt idx="1477">
                  <c:v>5.9942846839856</c:v>
                </c:pt>
                <c:pt idx="1478">
                  <c:v>6.00436664239022</c:v>
                </c:pt>
                <c:pt idx="1479">
                  <c:v>6.00771449391343</c:v>
                </c:pt>
                <c:pt idx="1480">
                  <c:v>5.99986180532466</c:v>
                </c:pt>
                <c:pt idx="1481">
                  <c:v>5.9927537473394</c:v>
                </c:pt>
                <c:pt idx="1482">
                  <c:v>5.99630494109497</c:v>
                </c:pt>
                <c:pt idx="1483">
                  <c:v>6.00486748706296</c:v>
                </c:pt>
                <c:pt idx="1484">
                  <c:v>6.00604470644725</c:v>
                </c:pt>
                <c:pt idx="1485">
                  <c:v>5.99854531947926</c:v>
                </c:pt>
                <c:pt idx="1486">
                  <c:v>5.99361986692761</c:v>
                </c:pt>
                <c:pt idx="1487">
                  <c:v>5.99798836799908</c:v>
                </c:pt>
                <c:pt idx="1488">
                  <c:v>6.00495329241965</c:v>
                </c:pt>
                <c:pt idx="1489">
                  <c:v>6.00448479815204</c:v>
                </c:pt>
                <c:pt idx="1490">
                  <c:v>5.9976726832951</c:v>
                </c:pt>
                <c:pt idx="1491">
                  <c:v>5.99461062763681</c:v>
                </c:pt>
                <c:pt idx="1492">
                  <c:v>5.99933049480993</c:v>
                </c:pt>
                <c:pt idx="1493">
                  <c:v>6.00473159252565</c:v>
                </c:pt>
                <c:pt idx="1494">
                  <c:v>6.00309495258711</c:v>
                </c:pt>
                <c:pt idx="1495">
                  <c:v>5.99717127302845</c:v>
                </c:pt>
                <c:pt idx="1496">
                  <c:v>5.99563683102298</c:v>
                </c:pt>
                <c:pt idx="1497">
                  <c:v>6.00034712329377</c:v>
                </c:pt>
                <c:pt idx="1498">
                  <c:v>6.00429882756499</c:v>
                </c:pt>
                <c:pt idx="1499">
                  <c:v>6.0019085817537</c:v>
                </c:pt>
                <c:pt idx="1500">
                  <c:v>5.99696761254157</c:v>
                </c:pt>
                <c:pt idx="1501">
                  <c:v>5.99663131039485</c:v>
                </c:pt>
                <c:pt idx="1502">
                  <c:v>6.00106822634552</c:v>
                </c:pt>
                <c:pt idx="1503">
                  <c:v>6.00373754360817</c:v>
                </c:pt>
                <c:pt idx="1504">
                  <c:v>6.00093793017574</c:v>
                </c:pt>
                <c:pt idx="1505">
                  <c:v>5.99699172145311</c:v>
                </c:pt>
                <c:pt idx="1506">
                  <c:v>5.99754668939435</c:v>
                </c:pt>
                <c:pt idx="1507">
                  <c:v>6.0015325655006</c:v>
                </c:pt>
                <c:pt idx="1508">
                  <c:v>6.00311523250397</c:v>
                </c:pt>
                <c:pt idx="1509">
                  <c:v>6.00017934925428</c:v>
                </c:pt>
                <c:pt idx="1510">
                  <c:v>5.99718002799623</c:v>
                </c:pt>
                <c:pt idx="1511">
                  <c:v>5.99835271421878</c:v>
                </c:pt>
                <c:pt idx="1512">
                  <c:v>6.00178316488909</c:v>
                </c:pt>
                <c:pt idx="1513">
                  <c:v>6.00248443831842</c:v>
                </c:pt>
                <c:pt idx="1514">
                  <c:v>5.99961799471968</c:v>
                </c:pt>
                <c:pt idx="1515">
                  <c:v>5.99747711940206</c:v>
                </c:pt>
                <c:pt idx="1516">
                  <c:v>5.99903338142172</c:v>
                </c:pt>
                <c:pt idx="1517">
                  <c:v>6.00186370195988</c:v>
                </c:pt>
                <c:pt idx="1518">
                  <c:v>6.00188376450944</c:v>
                </c:pt>
                <c:pt idx="1519">
                  <c:v>5.99923182709228</c:v>
                </c:pt>
                <c:pt idx="1520">
                  <c:v>5.9978365726447</c:v>
                </c:pt>
                <c:pt idx="1521">
                  <c:v>5.99958404710802</c:v>
                </c:pt>
                <c:pt idx="1522">
                  <c:v>6.0018158043509</c:v>
                </c:pt>
                <c:pt idx="1523">
                  <c:v>6.00133945590623</c:v>
                </c:pt>
                <c:pt idx="1524">
                  <c:v>5.99899488303584</c:v>
                </c:pt>
                <c:pt idx="1525">
                  <c:v>5.99822107822136</c:v>
                </c:pt>
                <c:pt idx="1526">
                  <c:v>6.0000086670364</c:v>
                </c:pt>
                <c:pt idx="1527">
                  <c:v>6.00167718578498</c:v>
                </c:pt>
                <c:pt idx="1528">
                  <c:v>6.0008672858423</c:v>
                </c:pt>
                <c:pt idx="1529">
                  <c:v>5.99887984256149</c:v>
                </c:pt>
                <c:pt idx="1530">
                  <c:v>5.99860204151928</c:v>
                </c:pt>
                <c:pt idx="1531">
                  <c:v>6.00031728004091</c:v>
                </c:pt>
                <c:pt idx="1532">
                  <c:v>6.00148051512853</c:v>
                </c:pt>
                <c:pt idx="1533">
                  <c:v>6.0004745395442</c:v>
                </c:pt>
                <c:pt idx="1534">
                  <c:v>5.99885995136143</c:v>
                </c:pt>
                <c:pt idx="1535">
                  <c:v>5.9989588204279</c:v>
                </c:pt>
                <c:pt idx="1536">
                  <c:v>6.00052381048876</c:v>
                </c:pt>
                <c:pt idx="1537">
                  <c:v>6.00125289164946</c:v>
                </c:pt>
                <c:pt idx="1538">
                  <c:v>6.00016194234463</c:v>
                </c:pt>
                <c:pt idx="1539">
                  <c:v>5.9989103760108</c:v>
                </c:pt>
                <c:pt idx="1540">
                  <c:v>5.99927773370522</c:v>
                </c:pt>
                <c:pt idx="1541">
                  <c:v>6.00064423117938</c:v>
                </c:pt>
                <c:pt idx="1542">
                  <c:v>6.00101579356982</c:v>
                </c:pt>
                <c:pt idx="1543">
                  <c:v>5.99992543121404</c:v>
                </c:pt>
                <c:pt idx="1544">
                  <c:v>5.99900907755426</c:v>
                </c:pt>
                <c:pt idx="1545">
                  <c:v>5.99955095166279</c:v>
                </c:pt>
                <c:pt idx="1546">
                  <c:v>6.00069509809747</c:v>
                </c:pt>
                <c:pt idx="1547">
                  <c:v>6.00078537261755</c:v>
                </c:pt>
                <c:pt idx="1548">
                  <c:v>5.99975770886892</c:v>
                </c:pt>
                <c:pt idx="1549">
                  <c:v>5.99913728980354</c:v>
                </c:pt>
                <c:pt idx="1550">
                  <c:v>5.99977535880787</c:v>
                </c:pt>
                <c:pt idx="1551">
                  <c:v>6.0006924441629</c:v>
                </c:pt>
                <c:pt idx="1552">
                  <c:v>6.00057298057768</c:v>
                </c:pt>
                <c:pt idx="1553">
                  <c:v>5.99964955131057</c:v>
                </c:pt>
                <c:pt idx="1554">
                  <c:v>5.99927968498085</c:v>
                </c:pt>
                <c:pt idx="1555">
                  <c:v>5.99995145728012</c:v>
                </c:pt>
                <c:pt idx="1556">
                  <c:v>6.0006510012164</c:v>
                </c:pt>
                <c:pt idx="1557">
                  <c:v>6.00038583137791</c:v>
                </c:pt>
                <c:pt idx="1558">
                  <c:v>5.99959086299337</c:v>
                </c:pt>
                <c:pt idx="1559">
                  <c:v>5.99942430280521</c:v>
                </c:pt>
                <c:pt idx="1560">
                  <c:v>6.00008236062039</c:v>
                </c:pt>
                <c:pt idx="1561">
                  <c:v>6.00058370786803</c:v>
                </c:pt>
                <c:pt idx="1562">
                  <c:v>6.00022772127509</c:v>
                </c:pt>
                <c:pt idx="1563">
                  <c:v>5.99957149019263</c:v>
                </c:pt>
                <c:pt idx="1564">
                  <c:v>5.99956231082489</c:v>
                </c:pt>
                <c:pt idx="1565">
                  <c:v>6.00017291007134</c:v>
                </c:pt>
                <c:pt idx="1566">
                  <c:v>6.00050145487263</c:v>
                </c:pt>
                <c:pt idx="1567">
                  <c:v>6.00009974828546</c:v>
                </c:pt>
                <c:pt idx="1568">
                  <c:v>5.99958181388516</c:v>
                </c:pt>
                <c:pt idx="1569">
                  <c:v>5.999687654527</c:v>
                </c:pt>
                <c:pt idx="1570">
                  <c:v>6.00022893065313</c:v>
                </c:pt>
                <c:pt idx="1571">
                  <c:v>6.00041301838786</c:v>
                </c:pt>
                <c:pt idx="1572">
                  <c:v>6.00000098887883</c:v>
                </c:pt>
                <c:pt idx="1573">
                  <c:v>5.99961314978454</c:v>
                </c:pt>
                <c:pt idx="1574">
                  <c:v>5.99979664608259</c:v>
                </c:pt>
                <c:pt idx="1575">
                  <c:v>6.00025663197008</c:v>
                </c:pt>
                <c:pt idx="1576">
                  <c:v>6.00032513368065</c:v>
                </c:pt>
                <c:pt idx="1577">
                  <c:v>5.9999291044824</c:v>
                </c:pt>
                <c:pt idx="1578">
                  <c:v>5.99965798614627</c:v>
                </c:pt>
                <c:pt idx="1579">
                  <c:v>5.99988753098188</c:v>
                </c:pt>
                <c:pt idx="1580">
                  <c:v>6.00026214917696</c:v>
                </c:pt>
                <c:pt idx="1581">
                  <c:v>6.00024266644988</c:v>
                </c:pt>
                <c:pt idx="1582">
                  <c:v>5.99988086226477</c:v>
                </c:pt>
                <c:pt idx="1583">
                  <c:v>5.99971009044182</c:v>
                </c:pt>
                <c:pt idx="1584">
                  <c:v>5.99996006266871</c:v>
                </c:pt>
                <c:pt idx="1585">
                  <c:v>6.00025121269334</c:v>
                </c:pt>
                <c:pt idx="1586">
                  <c:v>6.00016884494404</c:v>
                </c:pt>
                <c:pt idx="1587">
                  <c:v>5.99985256403936</c:v>
                </c:pt>
                <c:pt idx="1588">
                  <c:v>5.9997645146888</c:v>
                </c:pt>
                <c:pt idx="1589">
                  <c:v>6.00001510689373</c:v>
                </c:pt>
                <c:pt idx="1590">
                  <c:v>6.00022893085137</c:v>
                </c:pt>
                <c:pt idx="1591">
                  <c:v>6.00010552265824</c:v>
                </c:pt>
                <c:pt idx="1592">
                  <c:v>5.99984038414372</c:v>
                </c:pt>
                <c:pt idx="1593">
                  <c:v>5.99981752669842</c:v>
                </c:pt>
                <c:pt idx="1594">
                  <c:v>6.00005429010605</c:v>
                </c:pt>
                <c:pt idx="1595">
                  <c:v>6.00019966735537</c:v>
                </c:pt>
                <c:pt idx="1596">
                  <c:v>6.00005344798326</c:v>
                </c:pt>
                <c:pt idx="1597">
                  <c:v>5.99984062210652</c:v>
                </c:pt>
                <c:pt idx="1598">
                  <c:v>5.99986649120351</c:v>
                </c:pt>
                <c:pt idx="1599">
                  <c:v>6.00007969992821</c:v>
                </c:pt>
                <c:pt idx="1600">
                  <c:v>6.00016699481926</c:v>
                </c:pt>
                <c:pt idx="1601">
                  <c:v>6.00001252333792</c:v>
                </c:pt>
                <c:pt idx="1602">
                  <c:v>5.99984987913906</c:v>
                </c:pt>
                <c:pt idx="1603">
                  <c:v>5.99990972114171</c:v>
                </c:pt>
                <c:pt idx="1604">
                  <c:v>6.00009364067255</c:v>
                </c:pt>
                <c:pt idx="1605">
                  <c:v>6.00013370631496</c:v>
                </c:pt>
                <c:pt idx="1606">
                  <c:v>5.99998204177524</c:v>
                </c:pt>
                <c:pt idx="1607">
                  <c:v>5.99986516929853</c:v>
                </c:pt>
                <c:pt idx="1608">
                  <c:v>5.99994631556229</c:v>
                </c:pt>
                <c:pt idx="1609">
                  <c:v>6.00009844293369</c:v>
                </c:pt>
                <c:pt idx="1610">
                  <c:v>6.00010186842473</c:v>
                </c:pt>
                <c:pt idx="1611">
                  <c:v>5.99996089368368</c:v>
                </c:pt>
                <c:pt idx="1612">
                  <c:v>5.99988397687424</c:v>
                </c:pt>
                <c:pt idx="1613">
                  <c:v>5.99997599694012</c:v>
                </c:pt>
                <c:pt idx="1614">
                  <c:v>6.00009632346755</c:v>
                </c:pt>
                <c:pt idx="1615">
                  <c:v>6.00007290139947</c:v>
                </c:pt>
                <c:pt idx="1616">
                  <c:v>5.99994773996268</c:v>
                </c:pt>
                <c:pt idx="1617">
                  <c:v>5.99990427141431</c:v>
                </c:pt>
                <c:pt idx="1618">
                  <c:v>5.99999895727033</c:v>
                </c:pt>
                <c:pt idx="1619">
                  <c:v>6.00008928971022</c:v>
                </c:pt>
                <c:pt idx="1620">
                  <c:v>6.0000476744036</c:v>
                </c:pt>
                <c:pt idx="1621">
                  <c:v>5.99994115097333</c:v>
                </c:pt>
                <c:pt idx="1622">
                  <c:v>5.99992449108335</c:v>
                </c:pt>
                <c:pt idx="1623">
                  <c:v>6.00001571929628</c:v>
                </c:pt>
                <c:pt idx="1624">
                  <c:v>6.00007908225968</c:v>
                </c:pt>
                <c:pt idx="1625">
                  <c:v>6.00002660625587</c:v>
                </c:pt>
                <c:pt idx="1626">
                  <c:v>5.99993971270976</c:v>
                </c:pt>
                <c:pt idx="1627">
                  <c:v>5.99994350391259</c:v>
                </c:pt>
                <c:pt idx="1628">
                  <c:v>6.00002701664999</c:v>
                </c:pt>
                <c:pt idx="1629">
                  <c:v>6.00006714827437</c:v>
                </c:pt>
                <c:pt idx="1630">
                  <c:v>6.0000097643895</c:v>
                </c:pt>
                <c:pt idx="1631">
                  <c:v>5.99994210310534</c:v>
                </c:pt>
                <c:pt idx="1632">
                  <c:v>5.99996055515493</c:v>
                </c:pt>
                <c:pt idx="1633">
                  <c:v>6.00003369459289</c:v>
                </c:pt>
                <c:pt idx="1634">
                  <c:v>6.00005463888675</c:v>
                </c:pt>
                <c:pt idx="1635">
                  <c:v>5.99999695685764</c:v>
                </c:pt>
                <c:pt idx="1636">
                  <c:v>5.99994714228942</c:v>
                </c:pt>
                <c:pt idx="1637">
                  <c:v>5.99997520751208</c:v>
                </c:pt>
                <c:pt idx="1638">
                  <c:v>6.00003663141386</c:v>
                </c:pt>
                <c:pt idx="1639">
                  <c:v>6.00004242423003</c:v>
                </c:pt>
                <c:pt idx="1640">
                  <c:v>5.9999878140266</c:v>
                </c:pt>
                <c:pt idx="1641">
                  <c:v>5.99995382104429</c:v>
                </c:pt>
                <c:pt idx="1642">
                  <c:v>5.99998727956697</c:v>
                </c:pt>
                <c:pt idx="1643">
                  <c:v>6.00003667934758</c:v>
                </c:pt>
                <c:pt idx="1644">
                  <c:v>6.00003112041231</c:v>
                </c:pt>
                <c:pt idx="1645">
                  <c:v>5.99998185811063</c:v>
                </c:pt>
                <c:pt idx="1646">
                  <c:v>5.99996131178828</c:v>
                </c:pt>
                <c:pt idx="1647">
                  <c:v>5.99999678640982</c:v>
                </c:pt>
                <c:pt idx="1648">
                  <c:v>6.00003462307403</c:v>
                </c:pt>
                <c:pt idx="1649">
                  <c:v>6.00002112363583</c:v>
                </c:pt>
                <c:pt idx="1650">
                  <c:v>5.9999785599018</c:v>
                </c:pt>
                <c:pt idx="1651">
                  <c:v>5.99996896622291</c:v>
                </c:pt>
                <c:pt idx="1652">
                  <c:v>6.00000388523912</c:v>
                </c:pt>
                <c:pt idx="1653">
                  <c:v>6.00003115337912</c:v>
                </c:pt>
                <c:pt idx="1654">
                  <c:v>6.00001264756038</c:v>
                </c:pt>
                <c:pt idx="1655">
                  <c:v>5.99997738295737</c:v>
                </c:pt>
                <c:pt idx="1656">
                  <c:v>5.99997630341275</c:v>
                </c:pt>
                <c:pt idx="1657">
                  <c:v>6.00000882768106</c:v>
                </c:pt>
                <c:pt idx="1658">
                  <c:v>6.00002685335062</c:v>
                </c:pt>
                <c:pt idx="1659">
                  <c:v>6.00000576089123</c:v>
                </c:pt>
                <c:pt idx="1660">
                  <c:v>5.99997781614922</c:v>
                </c:pt>
                <c:pt idx="1661">
                  <c:v>5.99998299158146</c:v>
                </c:pt>
                <c:pt idx="1662">
                  <c:v>6.00001191971546</c:v>
                </c:pt>
                <c:pt idx="1663">
                  <c:v>6.00002219448127</c:v>
                </c:pt>
                <c:pt idx="1664">
                  <c:v>6.00000042298395</c:v>
                </c:pt>
                <c:pt idx="1665">
                  <c:v>5.99997939589479</c:v>
                </c:pt>
                <c:pt idx="1666">
                  <c:v>5.99998882637003</c:v>
                </c:pt>
                <c:pt idx="1667">
                  <c:v>6.00001348941944</c:v>
                </c:pt>
                <c:pt idx="1668">
                  <c:v>6.00001754020079</c:v>
                </c:pt>
                <c:pt idx="1669">
                  <c:v>5.99999651597588</c:v>
                </c:pt>
                <c:pt idx="1670">
                  <c:v>5.9999817196189</c:v>
                </c:pt>
                <c:pt idx="1671">
                  <c:v>5.99999370776084</c:v>
                </c:pt>
                <c:pt idx="1672">
                  <c:v>6.000013862241</c:v>
                </c:pt>
                <c:pt idx="1673">
                  <c:v>6.00001315460941</c:v>
                </c:pt>
                <c:pt idx="1674">
                  <c:v>5.99999387255787</c:v>
                </c:pt>
                <c:pt idx="1675">
                  <c:v>5.99998445206892</c:v>
                </c:pt>
                <c:pt idx="1676">
                  <c:v>5.99999761734297</c:v>
                </c:pt>
                <c:pt idx="1677">
                  <c:v>6.00001334316008</c:v>
                </c:pt>
                <c:pt idx="1678">
                  <c:v>6.00000921449604</c:v>
                </c:pt>
                <c:pt idx="1679">
                  <c:v>5.99999229899298</c:v>
                </c:pt>
                <c:pt idx="1680">
                  <c:v>5.99998732607318</c:v>
                </c:pt>
                <c:pt idx="1681">
                  <c:v>6.00000059712168</c:v>
                </c:pt>
                <c:pt idx="1682">
                  <c:v>6.00001220487835</c:v>
                </c:pt>
                <c:pt idx="1683">
                  <c:v>6.00000582306008</c:v>
                </c:pt>
                <c:pt idx="1684">
                  <c:v>5.99999159336539</c:v>
                </c:pt>
                <c:pt idx="1685">
                  <c:v>5.99999013921275</c:v>
                </c:pt>
                <c:pt idx="1686">
                  <c:v>6.00000273065874</c:v>
                </c:pt>
                <c:pt idx="1687">
                  <c:v>6.0000106810688</c:v>
                </c:pt>
                <c:pt idx="1688">
                  <c:v>6.00000302408805</c:v>
                </c:pt>
                <c:pt idx="1689">
                  <c:v>5.99999155932016</c:v>
                </c:pt>
                <c:pt idx="1690">
                  <c:v>5.99999274771034</c:v>
                </c:pt>
                <c:pt idx="1691">
                  <c:v>6.00000412698273</c:v>
                </c:pt>
                <c:pt idx="1692">
                  <c:v>6.00000896369027</c:v>
                </c:pt>
                <c:pt idx="1693">
                  <c:v>6.0000008156535</c:v>
                </c:pt>
                <c:pt idx="1694">
                  <c:v>5.99999201574053</c:v>
                </c:pt>
                <c:pt idx="1695">
                  <c:v>5.99999505864263</c:v>
                </c:pt>
                <c:pt idx="1696">
                  <c:v>6.00000490743275</c:v>
                </c:pt>
                <c:pt idx="1697">
                  <c:v>6.00000720341362</c:v>
                </c:pt>
                <c:pt idx="1698">
                  <c:v>5.99999916268865</c:v>
                </c:pt>
                <c:pt idx="1699">
                  <c:v>5.99999280291862</c:v>
                </c:pt>
              </c:numCache>
            </c:numRef>
          </c:yVal>
          <c:smooth val="0"/>
        </c:ser>
        <c:axId val="9880711"/>
        <c:axId val="84296894"/>
      </c:scatterChart>
      <c:valAx>
        <c:axId val="9880711"/>
        <c:scaling>
          <c:orientation val="minMax"/>
          <c:max val="170000"/>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Time (s)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96894"/>
        <c:crosses val="min"/>
        <c:crossBetween val="midCat"/>
      </c:valAx>
      <c:valAx>
        <c:axId val="84296894"/>
        <c:scaling>
          <c:orientation val="minMax"/>
          <c:max val="10.8"/>
          <c:min val="2.9"/>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pH</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071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Manipulated variable — base flow Qb</a:t>
            </a:r>
          </a:p>
        </c:rich>
      </c:tx>
      <c:overlay val="0"/>
      <c:spPr>
        <a:noFill/>
        <a:ln w="0">
          <a:noFill/>
        </a:ln>
      </c:spPr>
    </c:title>
    <c:autoTitleDeleted val="0"/>
    <c:plotArea>
      <c:scatterChart>
        <c:scatterStyle val="line"/>
        <c:varyColors val="0"/>
        <c:ser>
          <c:idx val="0"/>
          <c:order val="0"/>
          <c:tx>
            <c:strRef>
              <c:f>"Conventional PI"</c:f>
              <c:strCache>
                <c:ptCount val="1"/>
                <c:pt idx="0">
                  <c:v>Conventional PI</c:v>
                </c:pt>
              </c:strCache>
            </c:strRef>
          </c:tx>
          <c:spPr>
            <a:solidFill>
              <a:srgbClr val="1f77b4"/>
            </a:solidFill>
            <a:ln w="18000">
              <a:solidFill>
                <a:srgbClr val="1f77b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12_Traces!$G$5:$G$1704</c:f>
              <c:numCache>
                <c:formatCode>0.0000</c:formatCode>
                <c:ptCount val="170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5.33401770372767</c:v>
                </c:pt>
                <c:pt idx="202">
                  <c:v>5.41242168593341</c:v>
                </c:pt>
                <c:pt idx="203">
                  <c:v>5.44148599815815</c:v>
                </c:pt>
                <c:pt idx="204">
                  <c:v>5.00665654808704</c:v>
                </c:pt>
                <c:pt idx="205">
                  <c:v>4.90615232296873</c:v>
                </c:pt>
                <c:pt idx="206">
                  <c:v>5.41168233567619</c:v>
                </c:pt>
                <c:pt idx="207">
                  <c:v>5.51713936482026</c:v>
                </c:pt>
                <c:pt idx="208">
                  <c:v>5.50344211773932</c:v>
                </c:pt>
                <c:pt idx="209">
                  <c:v>4.99382969489907</c:v>
                </c:pt>
                <c:pt idx="210">
                  <c:v>4.93912233052475</c:v>
                </c:pt>
                <c:pt idx="211">
                  <c:v>5.44072030132256</c:v>
                </c:pt>
                <c:pt idx="212">
                  <c:v>5.54209253546255</c:v>
                </c:pt>
                <c:pt idx="213">
                  <c:v>5.21192396287066</c:v>
                </c:pt>
                <c:pt idx="214">
                  <c:v>4.97130365994939</c:v>
                </c:pt>
                <c:pt idx="215">
                  <c:v>4.95952757142641</c:v>
                </c:pt>
                <c:pt idx="216">
                  <c:v>5.4793701001144</c:v>
                </c:pt>
                <c:pt idx="217">
                  <c:v>5.55155739423313</c:v>
                </c:pt>
                <c:pt idx="218">
                  <c:v>5.09001789300374</c:v>
                </c:pt>
                <c:pt idx="219">
                  <c:v>4.95905558620294</c:v>
                </c:pt>
                <c:pt idx="220">
                  <c:v>5.00336843180763</c:v>
                </c:pt>
                <c:pt idx="221">
                  <c:v>5.50681278573008</c:v>
                </c:pt>
                <c:pt idx="222">
                  <c:v>5.55089881871399</c:v>
                </c:pt>
                <c:pt idx="223">
                  <c:v>5.05042127763052</c:v>
                </c:pt>
                <c:pt idx="224">
                  <c:v>4.95176156649682</c:v>
                </c:pt>
                <c:pt idx="225">
                  <c:v>5.34235552320169</c:v>
                </c:pt>
                <c:pt idx="226">
                  <c:v>5.52996937401851</c:v>
                </c:pt>
                <c:pt idx="227">
                  <c:v>5.53963961883838</c:v>
                </c:pt>
                <c:pt idx="228">
                  <c:v>5.01981914173904</c:v>
                </c:pt>
                <c:pt idx="229">
                  <c:v>4.94785064383504</c:v>
                </c:pt>
                <c:pt idx="230">
                  <c:v>5.41078427267974</c:v>
                </c:pt>
                <c:pt idx="231">
                  <c:v>5.54089354090756</c:v>
                </c:pt>
                <c:pt idx="232">
                  <c:v>5.4975914066782</c:v>
                </c:pt>
                <c:pt idx="233">
                  <c:v>4.99334748474975</c:v>
                </c:pt>
                <c:pt idx="234">
                  <c:v>4.94917239430774</c:v>
                </c:pt>
                <c:pt idx="235">
                  <c:v>5.44963878580917</c:v>
                </c:pt>
                <c:pt idx="236">
                  <c:v>5.54837062461023</c:v>
                </c:pt>
                <c:pt idx="237">
                  <c:v>5.15752799534233</c:v>
                </c:pt>
                <c:pt idx="238">
                  <c:v>4.97019072507718</c:v>
                </c:pt>
                <c:pt idx="239">
                  <c:v>4.96041357808837</c:v>
                </c:pt>
                <c:pt idx="240">
                  <c:v>5.48026371878532</c:v>
                </c:pt>
                <c:pt idx="241">
                  <c:v>5.55228556919629</c:v>
                </c:pt>
                <c:pt idx="242">
                  <c:v>5.08918591974668</c:v>
                </c:pt>
                <c:pt idx="243">
                  <c:v>4.95927595096257</c:v>
                </c:pt>
                <c:pt idx="244">
                  <c:v>5.00226997498289</c:v>
                </c:pt>
                <c:pt idx="245">
                  <c:v>5.50677654663292</c:v>
                </c:pt>
                <c:pt idx="246">
                  <c:v>5.55093431792752</c:v>
                </c:pt>
                <c:pt idx="247">
                  <c:v>5.05039388480804</c:v>
                </c:pt>
                <c:pt idx="248">
                  <c:v>4.95178855388447</c:v>
                </c:pt>
                <c:pt idx="249">
                  <c:v>5.34222445941077</c:v>
                </c:pt>
                <c:pt idx="250">
                  <c:v>5.52997556166813</c:v>
                </c:pt>
                <c:pt idx="251">
                  <c:v>5.539637051192</c:v>
                </c:pt>
                <c:pt idx="252">
                  <c:v>5.01981707647047</c:v>
                </c:pt>
                <c:pt idx="253">
                  <c:v>4.94785329778197</c:v>
                </c:pt>
                <c:pt idx="254">
                  <c:v>5.41078036577765</c:v>
                </c:pt>
                <c:pt idx="255">
                  <c:v>5.54089466329463</c:v>
                </c:pt>
                <c:pt idx="256">
                  <c:v>5.49758706157135</c:v>
                </c:pt>
                <c:pt idx="257">
                  <c:v>4.99334749302666</c:v>
                </c:pt>
                <c:pt idx="258">
                  <c:v>4.94917260641774</c:v>
                </c:pt>
                <c:pt idx="259">
                  <c:v>5.44963859182488</c:v>
                </c:pt>
                <c:pt idx="260">
                  <c:v>5.54837076142305</c:v>
                </c:pt>
                <c:pt idx="261">
                  <c:v>5.15752726154168</c:v>
                </c:pt>
                <c:pt idx="262">
                  <c:v>4.97019075425277</c:v>
                </c:pt>
                <c:pt idx="263">
                  <c:v>4.96041356706266</c:v>
                </c:pt>
                <c:pt idx="264">
                  <c:v>5.48026370989028</c:v>
                </c:pt>
                <c:pt idx="265">
                  <c:v>5.55228558359761</c:v>
                </c:pt>
                <c:pt idx="266">
                  <c:v>5.08918589919639</c:v>
                </c:pt>
                <c:pt idx="267">
                  <c:v>4.95927595700236</c:v>
                </c:pt>
                <c:pt idx="268">
                  <c:v>5.00226995149142</c:v>
                </c:pt>
                <c:pt idx="269">
                  <c:v>5.50677654656961</c:v>
                </c:pt>
                <c:pt idx="270">
                  <c:v>5.55093431903031</c:v>
                </c:pt>
                <c:pt idx="271">
                  <c:v>5.05039388380437</c:v>
                </c:pt>
                <c:pt idx="272">
                  <c:v>4.95178855461579</c:v>
                </c:pt>
                <c:pt idx="273">
                  <c:v>5.34222445550667</c:v>
                </c:pt>
                <c:pt idx="274">
                  <c:v>5.52997556182171</c:v>
                </c:pt>
                <c:pt idx="275">
                  <c:v>5.53963705113112</c:v>
                </c:pt>
                <c:pt idx="276">
                  <c:v>5.01981707642363</c:v>
                </c:pt>
                <c:pt idx="277">
                  <c:v>4.94785329785875</c:v>
                </c:pt>
                <c:pt idx="278">
                  <c:v>5.41078036566775</c:v>
                </c:pt>
                <c:pt idx="279">
                  <c:v>5.54089466332643</c:v>
                </c:pt>
                <c:pt idx="280">
                  <c:v>5.49758706144616</c:v>
                </c:pt>
                <c:pt idx="281">
                  <c:v>4.99334749302651</c:v>
                </c:pt>
                <c:pt idx="282">
                  <c:v>4.94917260642367</c:v>
                </c:pt>
                <c:pt idx="283">
                  <c:v>5.44963859181948</c:v>
                </c:pt>
                <c:pt idx="284">
                  <c:v>5.5483707614269</c:v>
                </c:pt>
                <c:pt idx="285">
                  <c:v>5.15752726152106</c:v>
                </c:pt>
                <c:pt idx="286">
                  <c:v>4.97019075425361</c:v>
                </c:pt>
                <c:pt idx="287">
                  <c:v>4.96041356706233</c:v>
                </c:pt>
                <c:pt idx="288">
                  <c:v>5.48026370989005</c:v>
                </c:pt>
                <c:pt idx="289">
                  <c:v>5.55228558359803</c:v>
                </c:pt>
                <c:pt idx="290">
                  <c:v>5.08918589919584</c:v>
                </c:pt>
                <c:pt idx="291">
                  <c:v>4.95927595700268</c:v>
                </c:pt>
                <c:pt idx="292">
                  <c:v>5.00226995149075</c:v>
                </c:pt>
                <c:pt idx="293">
                  <c:v>5.50677654656961</c:v>
                </c:pt>
                <c:pt idx="294">
                  <c:v>5.55093431903033</c:v>
                </c:pt>
                <c:pt idx="295">
                  <c:v>5.05039388380436</c:v>
                </c:pt>
                <c:pt idx="296">
                  <c:v>4.95178855461583</c:v>
                </c:pt>
                <c:pt idx="297">
                  <c:v>5.3422244555065</c:v>
                </c:pt>
                <c:pt idx="298">
                  <c:v>5.52997556182171</c:v>
                </c:pt>
                <c:pt idx="299">
                  <c:v>5.53963705113111</c:v>
                </c:pt>
                <c:pt idx="300">
                  <c:v>5.01981707642364</c:v>
                </c:pt>
                <c:pt idx="301">
                  <c:v>4.94785329785875</c:v>
                </c:pt>
                <c:pt idx="302">
                  <c:v>5.41078036566774</c:v>
                </c:pt>
                <c:pt idx="303">
                  <c:v>5.54089466332643</c:v>
                </c:pt>
                <c:pt idx="304">
                  <c:v>5.49758706144615</c:v>
                </c:pt>
                <c:pt idx="305">
                  <c:v>4.9933474930265</c:v>
                </c:pt>
                <c:pt idx="306">
                  <c:v>4.94917260642369</c:v>
                </c:pt>
                <c:pt idx="307">
                  <c:v>5.44963859181947</c:v>
                </c:pt>
                <c:pt idx="308">
                  <c:v>5.5483707614269</c:v>
                </c:pt>
                <c:pt idx="309">
                  <c:v>5.15752726152104</c:v>
                </c:pt>
                <c:pt idx="310">
                  <c:v>4.97019075425334</c:v>
                </c:pt>
                <c:pt idx="311">
                  <c:v>4.96041356706237</c:v>
                </c:pt>
                <c:pt idx="312">
                  <c:v>5.48026370989006</c:v>
                </c:pt>
                <c:pt idx="313">
                  <c:v>5.55228558359803</c:v>
                </c:pt>
                <c:pt idx="314">
                  <c:v>5.08918589919584</c:v>
                </c:pt>
                <c:pt idx="315">
                  <c:v>4.95927595700269</c:v>
                </c:pt>
                <c:pt idx="316">
                  <c:v>5.00226995149068</c:v>
                </c:pt>
                <c:pt idx="317">
                  <c:v>5.5067765465696</c:v>
                </c:pt>
                <c:pt idx="318">
                  <c:v>5.55093431903033</c:v>
                </c:pt>
                <c:pt idx="319">
                  <c:v>5.05039388380435</c:v>
                </c:pt>
                <c:pt idx="320">
                  <c:v>4.95178855461583</c:v>
                </c:pt>
                <c:pt idx="321">
                  <c:v>5.3422244555065</c:v>
                </c:pt>
                <c:pt idx="322">
                  <c:v>5.52997556182171</c:v>
                </c:pt>
                <c:pt idx="323">
                  <c:v>5.53963705113111</c:v>
                </c:pt>
                <c:pt idx="324">
                  <c:v>5.01981707642364</c:v>
                </c:pt>
                <c:pt idx="325">
                  <c:v>4.94785329785873</c:v>
                </c:pt>
                <c:pt idx="326">
                  <c:v>5.4107803656678</c:v>
                </c:pt>
                <c:pt idx="327">
                  <c:v>5.54089466332644</c:v>
                </c:pt>
                <c:pt idx="328">
                  <c:v>5.49758706144619</c:v>
                </c:pt>
                <c:pt idx="329">
                  <c:v>4.99334749302651</c:v>
                </c:pt>
                <c:pt idx="330">
                  <c:v>4.94917260642368</c:v>
                </c:pt>
                <c:pt idx="331">
                  <c:v>5.44963859181949</c:v>
                </c:pt>
                <c:pt idx="332">
                  <c:v>5.54837076142692</c:v>
                </c:pt>
                <c:pt idx="333">
                  <c:v>5.15752726152104</c:v>
                </c:pt>
                <c:pt idx="334">
                  <c:v>4.97019075425361</c:v>
                </c:pt>
                <c:pt idx="335">
                  <c:v>4.96041356706235</c:v>
                </c:pt>
                <c:pt idx="336">
                  <c:v>5.48026370989006</c:v>
                </c:pt>
                <c:pt idx="337">
                  <c:v>5.55228558359804</c:v>
                </c:pt>
                <c:pt idx="338">
                  <c:v>5.0891858991958</c:v>
                </c:pt>
                <c:pt idx="339">
                  <c:v>4.95927595700269</c:v>
                </c:pt>
                <c:pt idx="340">
                  <c:v>5.0022699514907</c:v>
                </c:pt>
                <c:pt idx="341">
                  <c:v>5.50677654656961</c:v>
                </c:pt>
                <c:pt idx="342">
                  <c:v>5.55093431903034</c:v>
                </c:pt>
                <c:pt idx="343">
                  <c:v>5.05039388380429</c:v>
                </c:pt>
                <c:pt idx="344">
                  <c:v>4.95178855461581</c:v>
                </c:pt>
                <c:pt idx="345">
                  <c:v>5.34222445550663</c:v>
                </c:pt>
                <c:pt idx="346">
                  <c:v>5.52997556182173</c:v>
                </c:pt>
                <c:pt idx="347">
                  <c:v>5.53963705113113</c:v>
                </c:pt>
                <c:pt idx="348">
                  <c:v>5.01981707642364</c:v>
                </c:pt>
                <c:pt idx="349">
                  <c:v>4.94785329785873</c:v>
                </c:pt>
                <c:pt idx="350">
                  <c:v>5.41078036566781</c:v>
                </c:pt>
                <c:pt idx="351">
                  <c:v>5.54089466332646</c:v>
                </c:pt>
                <c:pt idx="352">
                  <c:v>5.49758706144618</c:v>
                </c:pt>
                <c:pt idx="353">
                  <c:v>4.99334749302629</c:v>
                </c:pt>
                <c:pt idx="354">
                  <c:v>4.94917260642367</c:v>
                </c:pt>
                <c:pt idx="355">
                  <c:v>5.44963859181951</c:v>
                </c:pt>
                <c:pt idx="356">
                  <c:v>5.54837076142692</c:v>
                </c:pt>
                <c:pt idx="357">
                  <c:v>5.15752726152101</c:v>
                </c:pt>
                <c:pt idx="358">
                  <c:v>4.97019075425362</c:v>
                </c:pt>
                <c:pt idx="359">
                  <c:v>4.96041356706232</c:v>
                </c:pt>
                <c:pt idx="360">
                  <c:v>5.48026370989004</c:v>
                </c:pt>
                <c:pt idx="361">
                  <c:v>5.55228558359803</c:v>
                </c:pt>
                <c:pt idx="362">
                  <c:v>5.0891858991958</c:v>
                </c:pt>
                <c:pt idx="363">
                  <c:v>4.95927595700267</c:v>
                </c:pt>
                <c:pt idx="364">
                  <c:v>5.00226995149083</c:v>
                </c:pt>
                <c:pt idx="365">
                  <c:v>5.50677654656963</c:v>
                </c:pt>
                <c:pt idx="366">
                  <c:v>5.55093431903035</c:v>
                </c:pt>
                <c:pt idx="367">
                  <c:v>5.0503938838043</c:v>
                </c:pt>
                <c:pt idx="368">
                  <c:v>4.9517885546158</c:v>
                </c:pt>
                <c:pt idx="369">
                  <c:v>5.34222445550677</c:v>
                </c:pt>
                <c:pt idx="370">
                  <c:v>5.52997556182175</c:v>
                </c:pt>
                <c:pt idx="371">
                  <c:v>5.53963705113114</c:v>
                </c:pt>
                <c:pt idx="372">
                  <c:v>5.01981707642365</c:v>
                </c:pt>
                <c:pt idx="373">
                  <c:v>4.94785329785874</c:v>
                </c:pt>
                <c:pt idx="374">
                  <c:v>5.41078036566781</c:v>
                </c:pt>
                <c:pt idx="375">
                  <c:v>5.54089466332646</c:v>
                </c:pt>
                <c:pt idx="376">
                  <c:v>5.49758706144614</c:v>
                </c:pt>
                <c:pt idx="377">
                  <c:v>4.99334749302629</c:v>
                </c:pt>
                <c:pt idx="378">
                  <c:v>4.94917260642367</c:v>
                </c:pt>
                <c:pt idx="379">
                  <c:v>5.44963859181951</c:v>
                </c:pt>
                <c:pt idx="380">
                  <c:v>5.54837076142692</c:v>
                </c:pt>
                <c:pt idx="381">
                  <c:v>5.15752726152102</c:v>
                </c:pt>
                <c:pt idx="382">
                  <c:v>4.97019075425362</c:v>
                </c:pt>
                <c:pt idx="383">
                  <c:v>4.96041356706232</c:v>
                </c:pt>
                <c:pt idx="384">
                  <c:v>5.48026370989004</c:v>
                </c:pt>
                <c:pt idx="385">
                  <c:v>5.55228558359803</c:v>
                </c:pt>
                <c:pt idx="386">
                  <c:v>5.0891858991958</c:v>
                </c:pt>
                <c:pt idx="387">
                  <c:v>4.95927595700267</c:v>
                </c:pt>
                <c:pt idx="388">
                  <c:v>5.00226995149082</c:v>
                </c:pt>
                <c:pt idx="389">
                  <c:v>5.50677654656963</c:v>
                </c:pt>
                <c:pt idx="390">
                  <c:v>5.55093431903035</c:v>
                </c:pt>
                <c:pt idx="391">
                  <c:v>5.0503938838043</c:v>
                </c:pt>
                <c:pt idx="392">
                  <c:v>4.95178855461582</c:v>
                </c:pt>
                <c:pt idx="393">
                  <c:v>5.3422244555066</c:v>
                </c:pt>
                <c:pt idx="394">
                  <c:v>5.52997556182173</c:v>
                </c:pt>
                <c:pt idx="395">
                  <c:v>5.53963705113112</c:v>
                </c:pt>
                <c:pt idx="396">
                  <c:v>5.01981707642364</c:v>
                </c:pt>
                <c:pt idx="397">
                  <c:v>4.94785329785875</c:v>
                </c:pt>
                <c:pt idx="398">
                  <c:v>5.41078036566776</c:v>
                </c:pt>
                <c:pt idx="399">
                  <c:v>5.54089466332645</c:v>
                </c:pt>
                <c:pt idx="400">
                  <c:v>5.49758706144614</c:v>
                </c:pt>
                <c:pt idx="401">
                  <c:v>4.99334749302628</c:v>
                </c:pt>
                <c:pt idx="402">
                  <c:v>4.94917260642367</c:v>
                </c:pt>
                <c:pt idx="403">
                  <c:v>5.4496385918195</c:v>
                </c:pt>
                <c:pt idx="404">
                  <c:v>5.54837076142692</c:v>
                </c:pt>
                <c:pt idx="405">
                  <c:v>5.15752726152102</c:v>
                </c:pt>
                <c:pt idx="406">
                  <c:v>4.9701907542536</c:v>
                </c:pt>
                <c:pt idx="407">
                  <c:v>4.96041356706234</c:v>
                </c:pt>
                <c:pt idx="408">
                  <c:v>5.48026370989006</c:v>
                </c:pt>
                <c:pt idx="409">
                  <c:v>5.55228558359804</c:v>
                </c:pt>
                <c:pt idx="410">
                  <c:v>5.0891858991958</c:v>
                </c:pt>
                <c:pt idx="411">
                  <c:v>4.95927595700268</c:v>
                </c:pt>
                <c:pt idx="412">
                  <c:v>5.00226995149075</c:v>
                </c:pt>
                <c:pt idx="413">
                  <c:v>5.50677654656962</c:v>
                </c:pt>
                <c:pt idx="414">
                  <c:v>5.55093431903035</c:v>
                </c:pt>
                <c:pt idx="415">
                  <c:v>5.05039388380429</c:v>
                </c:pt>
                <c:pt idx="416">
                  <c:v>4.95178855461582</c:v>
                </c:pt>
                <c:pt idx="417">
                  <c:v>5.34222445550661</c:v>
                </c:pt>
                <c:pt idx="418">
                  <c:v>5.52997556182173</c:v>
                </c:pt>
                <c:pt idx="419">
                  <c:v>5.53963705113113</c:v>
                </c:pt>
                <c:pt idx="420">
                  <c:v>5.01981707642364</c:v>
                </c:pt>
                <c:pt idx="421">
                  <c:v>4.94785329785875</c:v>
                </c:pt>
                <c:pt idx="422">
                  <c:v>5.41078036566778</c:v>
                </c:pt>
                <c:pt idx="423">
                  <c:v>5.54089466332645</c:v>
                </c:pt>
                <c:pt idx="424">
                  <c:v>5.49758706144614</c:v>
                </c:pt>
                <c:pt idx="425">
                  <c:v>4.99334749302628</c:v>
                </c:pt>
                <c:pt idx="426">
                  <c:v>4.94917260642368</c:v>
                </c:pt>
                <c:pt idx="427">
                  <c:v>5.44963859181949</c:v>
                </c:pt>
                <c:pt idx="428">
                  <c:v>5.54837076142692</c:v>
                </c:pt>
                <c:pt idx="429">
                  <c:v>5.15752726152102</c:v>
                </c:pt>
                <c:pt idx="430">
                  <c:v>4.9701907542536</c:v>
                </c:pt>
                <c:pt idx="431">
                  <c:v>4.96041356706234</c:v>
                </c:pt>
                <c:pt idx="432">
                  <c:v>5.48026370989006</c:v>
                </c:pt>
                <c:pt idx="433">
                  <c:v>5.55228558359804</c:v>
                </c:pt>
                <c:pt idx="434">
                  <c:v>5.0891858991958</c:v>
                </c:pt>
                <c:pt idx="435">
                  <c:v>4.95927595700269</c:v>
                </c:pt>
                <c:pt idx="436">
                  <c:v>5.00226995149068</c:v>
                </c:pt>
                <c:pt idx="437">
                  <c:v>5.50677654656961</c:v>
                </c:pt>
                <c:pt idx="438">
                  <c:v>5.55093431903034</c:v>
                </c:pt>
                <c:pt idx="439">
                  <c:v>5.05039388380429</c:v>
                </c:pt>
                <c:pt idx="440">
                  <c:v>4.95178855461581</c:v>
                </c:pt>
                <c:pt idx="441">
                  <c:v>5.3422244555067</c:v>
                </c:pt>
                <c:pt idx="442">
                  <c:v>5.52997556182174</c:v>
                </c:pt>
                <c:pt idx="443">
                  <c:v>5.53963705113113</c:v>
                </c:pt>
                <c:pt idx="444">
                  <c:v>5.01981707642365</c:v>
                </c:pt>
                <c:pt idx="445">
                  <c:v>4.94785329785876</c:v>
                </c:pt>
                <c:pt idx="446">
                  <c:v>5.41078036566775</c:v>
                </c:pt>
                <c:pt idx="447">
                  <c:v>5.54089466332645</c:v>
                </c:pt>
                <c:pt idx="448">
                  <c:v>5.49758706144614</c:v>
                </c:pt>
                <c:pt idx="449">
                  <c:v>4.99334749302651</c:v>
                </c:pt>
                <c:pt idx="450">
                  <c:v>4.94917260642361</c:v>
                </c:pt>
                <c:pt idx="451">
                  <c:v>5.44963859181948</c:v>
                </c:pt>
                <c:pt idx="452">
                  <c:v>5.54837076142692</c:v>
                </c:pt>
                <c:pt idx="453">
                  <c:v>5.15752726152107</c:v>
                </c:pt>
                <c:pt idx="454">
                  <c:v>4.97019075425335</c:v>
                </c:pt>
                <c:pt idx="455">
                  <c:v>4.96041356706234</c:v>
                </c:pt>
                <c:pt idx="456">
                  <c:v>5.48026370989006</c:v>
                </c:pt>
                <c:pt idx="457">
                  <c:v>5.55228558359804</c:v>
                </c:pt>
                <c:pt idx="458">
                  <c:v>5.0891858991958</c:v>
                </c:pt>
                <c:pt idx="459">
                  <c:v>4.95927595700243</c:v>
                </c:pt>
                <c:pt idx="460">
                  <c:v>5.00226995149082</c:v>
                </c:pt>
                <c:pt idx="461">
                  <c:v>5.50677654656964</c:v>
                </c:pt>
                <c:pt idx="462">
                  <c:v>5.55093431903036</c:v>
                </c:pt>
                <c:pt idx="463">
                  <c:v>5.0503938838043</c:v>
                </c:pt>
                <c:pt idx="464">
                  <c:v>4.95178855461583</c:v>
                </c:pt>
                <c:pt idx="465">
                  <c:v>5.34222445550658</c:v>
                </c:pt>
                <c:pt idx="466">
                  <c:v>5.52997556182173</c:v>
                </c:pt>
                <c:pt idx="467">
                  <c:v>5.53963705113112</c:v>
                </c:pt>
                <c:pt idx="468">
                  <c:v>5.01981707642364</c:v>
                </c:pt>
                <c:pt idx="469">
                  <c:v>4.94785329785873</c:v>
                </c:pt>
                <c:pt idx="470">
                  <c:v>5.4107803656678</c:v>
                </c:pt>
                <c:pt idx="471">
                  <c:v>5.54089466332645</c:v>
                </c:pt>
                <c:pt idx="472">
                  <c:v>5.4975870614462</c:v>
                </c:pt>
                <c:pt idx="473">
                  <c:v>4.99334749302629</c:v>
                </c:pt>
                <c:pt idx="474">
                  <c:v>4.94917260642367</c:v>
                </c:pt>
                <c:pt idx="475">
                  <c:v>5.44963859181951</c:v>
                </c:pt>
                <c:pt idx="476">
                  <c:v>5.54837076142692</c:v>
                </c:pt>
                <c:pt idx="477">
                  <c:v>5.15752726152101</c:v>
                </c:pt>
                <c:pt idx="478">
                  <c:v>4.97019075425335</c:v>
                </c:pt>
                <c:pt idx="479">
                  <c:v>4.96041356706234</c:v>
                </c:pt>
                <c:pt idx="480">
                  <c:v>5.48026370989007</c:v>
                </c:pt>
                <c:pt idx="481">
                  <c:v>5.55228558359804</c:v>
                </c:pt>
                <c:pt idx="482">
                  <c:v>5.0891858991958</c:v>
                </c:pt>
                <c:pt idx="483">
                  <c:v>4.95927595700245</c:v>
                </c:pt>
                <c:pt idx="484">
                  <c:v>5.00226995149068</c:v>
                </c:pt>
                <c:pt idx="485">
                  <c:v>5.50677654656962</c:v>
                </c:pt>
                <c:pt idx="486">
                  <c:v>5.55093431903035</c:v>
                </c:pt>
                <c:pt idx="487">
                  <c:v>5.05039388380436</c:v>
                </c:pt>
                <c:pt idx="488">
                  <c:v>4.95178855461584</c:v>
                </c:pt>
                <c:pt idx="489">
                  <c:v>5.34222445550651</c:v>
                </c:pt>
                <c:pt idx="490">
                  <c:v>5.52997556182172</c:v>
                </c:pt>
                <c:pt idx="491">
                  <c:v>5.53963705113112</c:v>
                </c:pt>
                <c:pt idx="492">
                  <c:v>5.01981707642364</c:v>
                </c:pt>
                <c:pt idx="493">
                  <c:v>4.94785329785873</c:v>
                </c:pt>
                <c:pt idx="494">
                  <c:v>5.41078036566782</c:v>
                </c:pt>
                <c:pt idx="495">
                  <c:v>5.54089466332646</c:v>
                </c:pt>
                <c:pt idx="496">
                  <c:v>5.49758706144615</c:v>
                </c:pt>
                <c:pt idx="497">
                  <c:v>4.99334749302629</c:v>
                </c:pt>
                <c:pt idx="498">
                  <c:v>4.94917260642361</c:v>
                </c:pt>
                <c:pt idx="499">
                  <c:v>5.4496385918195</c:v>
                </c:pt>
                <c:pt idx="500">
                  <c:v>5.54837076142692</c:v>
                </c:pt>
                <c:pt idx="501">
                  <c:v>5.15752726152104</c:v>
                </c:pt>
                <c:pt idx="502">
                  <c:v>4.97019075425362</c:v>
                </c:pt>
                <c:pt idx="503">
                  <c:v>4.96041356706232</c:v>
                </c:pt>
                <c:pt idx="504">
                  <c:v>5.48026370989004</c:v>
                </c:pt>
                <c:pt idx="505">
                  <c:v>5.55228558359803</c:v>
                </c:pt>
                <c:pt idx="506">
                  <c:v>5.0891858991958</c:v>
                </c:pt>
                <c:pt idx="507">
                  <c:v>4.95927595700242</c:v>
                </c:pt>
                <c:pt idx="508">
                  <c:v>5.00226995149084</c:v>
                </c:pt>
                <c:pt idx="509">
                  <c:v>5.50677654656964</c:v>
                </c:pt>
                <c:pt idx="510">
                  <c:v>5.55093431903036</c:v>
                </c:pt>
                <c:pt idx="511">
                  <c:v>5.0503938838043</c:v>
                </c:pt>
                <c:pt idx="512">
                  <c:v>4.95178855461583</c:v>
                </c:pt>
                <c:pt idx="513">
                  <c:v>5.34222445550657</c:v>
                </c:pt>
                <c:pt idx="514">
                  <c:v>5.52997556182173</c:v>
                </c:pt>
                <c:pt idx="515">
                  <c:v>5.53963705113113</c:v>
                </c:pt>
                <c:pt idx="516">
                  <c:v>5.01981707642364</c:v>
                </c:pt>
                <c:pt idx="517">
                  <c:v>4.94785329785873</c:v>
                </c:pt>
                <c:pt idx="518">
                  <c:v>5.41078036566782</c:v>
                </c:pt>
                <c:pt idx="519">
                  <c:v>5.54089466332646</c:v>
                </c:pt>
                <c:pt idx="520">
                  <c:v>5.49758706144616</c:v>
                </c:pt>
                <c:pt idx="521">
                  <c:v>4.99334749302629</c:v>
                </c:pt>
                <c:pt idx="522">
                  <c:v>4.94917260642362</c:v>
                </c:pt>
                <c:pt idx="523">
                  <c:v>5.44963859181949</c:v>
                </c:pt>
                <c:pt idx="524">
                  <c:v>5.54837076142692</c:v>
                </c:pt>
                <c:pt idx="525">
                  <c:v>5.15752726152103</c:v>
                </c:pt>
                <c:pt idx="526">
                  <c:v>4.97019075425361</c:v>
                </c:pt>
                <c:pt idx="527">
                  <c:v>4.96041356706235</c:v>
                </c:pt>
                <c:pt idx="528">
                  <c:v>5.48026370989004</c:v>
                </c:pt>
                <c:pt idx="529">
                  <c:v>5.55228558359803</c:v>
                </c:pt>
                <c:pt idx="530">
                  <c:v>5.0891858991958</c:v>
                </c:pt>
                <c:pt idx="531">
                  <c:v>4.95927595700267</c:v>
                </c:pt>
                <c:pt idx="532">
                  <c:v>5.00226995149078</c:v>
                </c:pt>
                <c:pt idx="533">
                  <c:v>5.50677654656962</c:v>
                </c:pt>
                <c:pt idx="534">
                  <c:v>5.55093431903035</c:v>
                </c:pt>
                <c:pt idx="535">
                  <c:v>5.05039388380429</c:v>
                </c:pt>
                <c:pt idx="536">
                  <c:v>4.95178855461583</c:v>
                </c:pt>
                <c:pt idx="537">
                  <c:v>5.34222445550653</c:v>
                </c:pt>
                <c:pt idx="538">
                  <c:v>5.52997556182172</c:v>
                </c:pt>
                <c:pt idx="539">
                  <c:v>5.53963705113112</c:v>
                </c:pt>
                <c:pt idx="540">
                  <c:v>5.01981707642363</c:v>
                </c:pt>
                <c:pt idx="541">
                  <c:v>4.94785329785875</c:v>
                </c:pt>
                <c:pt idx="542">
                  <c:v>5.41078036566776</c:v>
                </c:pt>
                <c:pt idx="543">
                  <c:v>5.54089466332645</c:v>
                </c:pt>
                <c:pt idx="544">
                  <c:v>5.49758706144614</c:v>
                </c:pt>
                <c:pt idx="545">
                  <c:v>4.99334749302628</c:v>
                </c:pt>
                <c:pt idx="546">
                  <c:v>4.94917260642366</c:v>
                </c:pt>
                <c:pt idx="547">
                  <c:v>5.44963859181951</c:v>
                </c:pt>
                <c:pt idx="548">
                  <c:v>5.54837076142692</c:v>
                </c:pt>
                <c:pt idx="549">
                  <c:v>5.15752726152106</c:v>
                </c:pt>
                <c:pt idx="550">
                  <c:v>4.97019075425362</c:v>
                </c:pt>
                <c:pt idx="551">
                  <c:v>4.96041356706232</c:v>
                </c:pt>
                <c:pt idx="552">
                  <c:v>5.48026370989004</c:v>
                </c:pt>
                <c:pt idx="553">
                  <c:v>5.55228558359803</c:v>
                </c:pt>
                <c:pt idx="554">
                  <c:v>5.0891858991958</c:v>
                </c:pt>
                <c:pt idx="555">
                  <c:v>4.95927595700268</c:v>
                </c:pt>
                <c:pt idx="556">
                  <c:v>5.00226995149071</c:v>
                </c:pt>
                <c:pt idx="557">
                  <c:v>5.50677654656961</c:v>
                </c:pt>
                <c:pt idx="558">
                  <c:v>5.55093431903034</c:v>
                </c:pt>
                <c:pt idx="559">
                  <c:v>5.05039388380435</c:v>
                </c:pt>
                <c:pt idx="560">
                  <c:v>4.95178855461582</c:v>
                </c:pt>
                <c:pt idx="561">
                  <c:v>5.3422244555066</c:v>
                </c:pt>
                <c:pt idx="562">
                  <c:v>5.52997556182173</c:v>
                </c:pt>
                <c:pt idx="563">
                  <c:v>5.53963705113113</c:v>
                </c:pt>
                <c:pt idx="564">
                  <c:v>5.01981707642364</c:v>
                </c:pt>
                <c:pt idx="565">
                  <c:v>4.94785329785874</c:v>
                </c:pt>
                <c:pt idx="566">
                  <c:v>5.41078036566778</c:v>
                </c:pt>
                <c:pt idx="567">
                  <c:v>5.54089466332645</c:v>
                </c:pt>
                <c:pt idx="568">
                  <c:v>5.49758706144614</c:v>
                </c:pt>
                <c:pt idx="569">
                  <c:v>4.99334749302628</c:v>
                </c:pt>
                <c:pt idx="570">
                  <c:v>4.94917260642368</c:v>
                </c:pt>
                <c:pt idx="571">
                  <c:v>5.44963859181949</c:v>
                </c:pt>
                <c:pt idx="572">
                  <c:v>5.54837076142692</c:v>
                </c:pt>
                <c:pt idx="573">
                  <c:v>5.15752726152101</c:v>
                </c:pt>
                <c:pt idx="574">
                  <c:v>4.97019075425362</c:v>
                </c:pt>
                <c:pt idx="575">
                  <c:v>4.96041356706232</c:v>
                </c:pt>
                <c:pt idx="576">
                  <c:v>5.48026370989004</c:v>
                </c:pt>
                <c:pt idx="577">
                  <c:v>5.55228558359803</c:v>
                </c:pt>
                <c:pt idx="578">
                  <c:v>5.0891858991958</c:v>
                </c:pt>
                <c:pt idx="579">
                  <c:v>4.95927595700243</c:v>
                </c:pt>
                <c:pt idx="580">
                  <c:v>5.00226995149077</c:v>
                </c:pt>
                <c:pt idx="581">
                  <c:v>5.50677654656963</c:v>
                </c:pt>
                <c:pt idx="582">
                  <c:v>5.55093431903036</c:v>
                </c:pt>
                <c:pt idx="583">
                  <c:v>5.0503938838043</c:v>
                </c:pt>
                <c:pt idx="584">
                  <c:v>4.95178855461581</c:v>
                </c:pt>
                <c:pt idx="585">
                  <c:v>5.34222445550668</c:v>
                </c:pt>
                <c:pt idx="586">
                  <c:v>5.52997556182174</c:v>
                </c:pt>
                <c:pt idx="587">
                  <c:v>5.53963705113113</c:v>
                </c:pt>
                <c:pt idx="588">
                  <c:v>5.01981707642364</c:v>
                </c:pt>
                <c:pt idx="589">
                  <c:v>4.94785329785876</c:v>
                </c:pt>
                <c:pt idx="590">
                  <c:v>5.41078036566775</c:v>
                </c:pt>
                <c:pt idx="591">
                  <c:v>5.54089466332644</c:v>
                </c:pt>
                <c:pt idx="592">
                  <c:v>5.49758706144614</c:v>
                </c:pt>
                <c:pt idx="593">
                  <c:v>4.99334749302651</c:v>
                </c:pt>
                <c:pt idx="594">
                  <c:v>4.94917260642362</c:v>
                </c:pt>
                <c:pt idx="595">
                  <c:v>5.44963859181947</c:v>
                </c:pt>
                <c:pt idx="596">
                  <c:v>5.54837076142691</c:v>
                </c:pt>
                <c:pt idx="597">
                  <c:v>5.15752726152103</c:v>
                </c:pt>
                <c:pt idx="598">
                  <c:v>4.97019075425334</c:v>
                </c:pt>
                <c:pt idx="599">
                  <c:v>4.96041356706233</c:v>
                </c:pt>
                <c:pt idx="600">
                  <c:v>5.59959556852622</c:v>
                </c:pt>
                <c:pt idx="601">
                  <c:v>5.70261950521921</c:v>
                </c:pt>
                <c:pt idx="602">
                  <c:v>5.1977691173207</c:v>
                </c:pt>
                <c:pt idx="603">
                  <c:v>5.1122548282358</c:v>
                </c:pt>
                <c:pt idx="604">
                  <c:v>5.08186140891319</c:v>
                </c:pt>
                <c:pt idx="605">
                  <c:v>5.08352051346861</c:v>
                </c:pt>
                <c:pt idx="606">
                  <c:v>5.52647201375063</c:v>
                </c:pt>
                <c:pt idx="607">
                  <c:v>5.66303374631516</c:v>
                </c:pt>
                <c:pt idx="608">
                  <c:v>5.15885092090442</c:v>
                </c:pt>
                <c:pt idx="609">
                  <c:v>5.09028471503183</c:v>
                </c:pt>
                <c:pt idx="610">
                  <c:v>5.07442679680532</c:v>
                </c:pt>
                <c:pt idx="611">
                  <c:v>5.15810142090666</c:v>
                </c:pt>
                <c:pt idx="612">
                  <c:v>5.63539010169261</c:v>
                </c:pt>
                <c:pt idx="613">
                  <c:v>5.22499257489793</c:v>
                </c:pt>
                <c:pt idx="614">
                  <c:v>5.10473729362418</c:v>
                </c:pt>
                <c:pt idx="615">
                  <c:v>5.07601536300921</c:v>
                </c:pt>
                <c:pt idx="616">
                  <c:v>5.09187092551286</c:v>
                </c:pt>
                <c:pt idx="617">
                  <c:v>5.57244680126393</c:v>
                </c:pt>
                <c:pt idx="618">
                  <c:v>5.64191794538265</c:v>
                </c:pt>
                <c:pt idx="619">
                  <c:v>5.13495260955175</c:v>
                </c:pt>
                <c:pt idx="620">
                  <c:v>5.08375033971862</c:v>
                </c:pt>
                <c:pt idx="621">
                  <c:v>5.07606261096919</c:v>
                </c:pt>
                <c:pt idx="622">
                  <c:v>5.45652107838868</c:v>
                </c:pt>
                <c:pt idx="623">
                  <c:v>5.66075688460374</c:v>
                </c:pt>
                <c:pt idx="624">
                  <c:v>5.18600755313306</c:v>
                </c:pt>
                <c:pt idx="625">
                  <c:v>5.09644239464232</c:v>
                </c:pt>
                <c:pt idx="626">
                  <c:v>5.07404350465399</c:v>
                </c:pt>
                <c:pt idx="627">
                  <c:v>5.11194403512505</c:v>
                </c:pt>
                <c:pt idx="628">
                  <c:v>5.60661099185423</c:v>
                </c:pt>
                <c:pt idx="629">
                  <c:v>5.31594594175732</c:v>
                </c:pt>
                <c:pt idx="630">
                  <c:v>5.1150785487994</c:v>
                </c:pt>
                <c:pt idx="631">
                  <c:v>5.07910908345717</c:v>
                </c:pt>
                <c:pt idx="632">
                  <c:v>5.08139700149371</c:v>
                </c:pt>
                <c:pt idx="633">
                  <c:v>5.5299208551044</c:v>
                </c:pt>
                <c:pt idx="634">
                  <c:v>5.66273343134776</c:v>
                </c:pt>
                <c:pt idx="635">
                  <c:v>5.15793461125772</c:v>
                </c:pt>
                <c:pt idx="636">
                  <c:v>5.0895220744905</c:v>
                </c:pt>
                <c:pt idx="637">
                  <c:v>5.07390921304842</c:v>
                </c:pt>
                <c:pt idx="638">
                  <c:v>5.1613256454737</c:v>
                </c:pt>
                <c:pt idx="639">
                  <c:v>5.63600256281553</c:v>
                </c:pt>
                <c:pt idx="640">
                  <c:v>5.22439291334508</c:v>
                </c:pt>
                <c:pt idx="641">
                  <c:v>5.1045518488482</c:v>
                </c:pt>
                <c:pt idx="642">
                  <c:v>5.07587635058412</c:v>
                </c:pt>
                <c:pt idx="643">
                  <c:v>5.0918335612142</c:v>
                </c:pt>
                <c:pt idx="644">
                  <c:v>5.57257821945466</c:v>
                </c:pt>
                <c:pt idx="645">
                  <c:v>5.64187540471282</c:v>
                </c:pt>
                <c:pt idx="646">
                  <c:v>5.13490914053772</c:v>
                </c:pt>
                <c:pt idx="647">
                  <c:v>5.08371941322929</c:v>
                </c:pt>
                <c:pt idx="648">
                  <c:v>5.07604343423507</c:v>
                </c:pt>
                <c:pt idx="649">
                  <c:v>5.45668959830041</c:v>
                </c:pt>
                <c:pt idx="650">
                  <c:v>5.66076747788813</c:v>
                </c:pt>
                <c:pt idx="651">
                  <c:v>5.07110507734146</c:v>
                </c:pt>
                <c:pt idx="652">
                  <c:v>4.98206132141328</c:v>
                </c:pt>
                <c:pt idx="653">
                  <c:v>4.91079598518654</c:v>
                </c:pt>
                <c:pt idx="654">
                  <c:v>4.84233283277323</c:v>
                </c:pt>
                <c:pt idx="655">
                  <c:v>4.77631902603396</c:v>
                </c:pt>
                <c:pt idx="656">
                  <c:v>4.71307873111382</c:v>
                </c:pt>
                <c:pt idx="657">
                  <c:v>4.65328559903218</c:v>
                </c:pt>
                <c:pt idx="658">
                  <c:v>4.59805278378584</c:v>
                </c:pt>
                <c:pt idx="659">
                  <c:v>4.54928221781451</c:v>
                </c:pt>
                <c:pt idx="660">
                  <c:v>4.51071381824172</c:v>
                </c:pt>
                <c:pt idx="661">
                  <c:v>4.49226153798747</c:v>
                </c:pt>
                <c:pt idx="662">
                  <c:v>4.57302267248876</c:v>
                </c:pt>
                <c:pt idx="663">
                  <c:v>5.09369122404804</c:v>
                </c:pt>
                <c:pt idx="664">
                  <c:v>5.09719575356229</c:v>
                </c:pt>
                <c:pt idx="665">
                  <c:v>4.60613846968753</c:v>
                </c:pt>
                <c:pt idx="666">
                  <c:v>4.56168978524436</c:v>
                </c:pt>
                <c:pt idx="667">
                  <c:v>4.5694736151102</c:v>
                </c:pt>
                <c:pt idx="668">
                  <c:v>5.04808542783473</c:v>
                </c:pt>
                <c:pt idx="669">
                  <c:v>5.1555439286185</c:v>
                </c:pt>
                <c:pt idx="670">
                  <c:v>4.64856807366673</c:v>
                </c:pt>
                <c:pt idx="671">
                  <c:v>4.58370716453325</c:v>
                </c:pt>
                <c:pt idx="672">
                  <c:v>4.56944502000357</c:v>
                </c:pt>
                <c:pt idx="673">
                  <c:v>4.68420210615352</c:v>
                </c:pt>
                <c:pt idx="674">
                  <c:v>5.13850458495764</c:v>
                </c:pt>
                <c:pt idx="675">
                  <c:v>4.72246692922411</c:v>
                </c:pt>
                <c:pt idx="676">
                  <c:v>4.60316709590323</c:v>
                </c:pt>
                <c:pt idx="677">
                  <c:v>4.57428615880313</c:v>
                </c:pt>
                <c:pt idx="678">
                  <c:v>4.58967363537955</c:v>
                </c:pt>
                <c:pt idx="679">
                  <c:v>5.07111198913167</c:v>
                </c:pt>
                <c:pt idx="680">
                  <c:v>5.14384061904452</c:v>
                </c:pt>
                <c:pt idx="681">
                  <c:v>4.63516857088238</c:v>
                </c:pt>
                <c:pt idx="682">
                  <c:v>4.58310778667183</c:v>
                </c:pt>
                <c:pt idx="683">
                  <c:v>4.57470646028364</c:v>
                </c:pt>
                <c:pt idx="684">
                  <c:v>4.94788319832825</c:v>
                </c:pt>
                <c:pt idx="685">
                  <c:v>5.15959698013164</c:v>
                </c:pt>
                <c:pt idx="686">
                  <c:v>4.68729025314553</c:v>
                </c:pt>
                <c:pt idx="687">
                  <c:v>4.59621558096454</c:v>
                </c:pt>
                <c:pt idx="688">
                  <c:v>4.57320831145158</c:v>
                </c:pt>
                <c:pt idx="689">
                  <c:v>4.60871274741381</c:v>
                </c:pt>
                <c:pt idx="690">
                  <c:v>5.10436224589281</c:v>
                </c:pt>
                <c:pt idx="691">
                  <c:v>4.83350886224165</c:v>
                </c:pt>
                <c:pt idx="692">
                  <c:v>4.61553722387574</c:v>
                </c:pt>
                <c:pt idx="693">
                  <c:v>4.57859941434342</c:v>
                </c:pt>
                <c:pt idx="694">
                  <c:v>4.57981557063987</c:v>
                </c:pt>
                <c:pt idx="695">
                  <c:v>5.0258957826316</c:v>
                </c:pt>
                <c:pt idx="696">
                  <c:v>5.16263717748535</c:v>
                </c:pt>
                <c:pt idx="697">
                  <c:v>4.6589292326166</c:v>
                </c:pt>
                <c:pt idx="698">
                  <c:v>4.58925601645752</c:v>
                </c:pt>
                <c:pt idx="699">
                  <c:v>4.57292584019267</c:v>
                </c:pt>
                <c:pt idx="700">
                  <c:v>4.65333374072563</c:v>
                </c:pt>
                <c:pt idx="701">
                  <c:v>5.13406104557352</c:v>
                </c:pt>
                <c:pt idx="702">
                  <c:v>4.72715388355424</c:v>
                </c:pt>
                <c:pt idx="703">
                  <c:v>4.60452611539567</c:v>
                </c:pt>
                <c:pt idx="704">
                  <c:v>4.57523753178678</c:v>
                </c:pt>
                <c:pt idx="705">
                  <c:v>4.58968378467921</c:v>
                </c:pt>
                <c:pt idx="706">
                  <c:v>5.06968947950026</c:v>
                </c:pt>
                <c:pt idx="707">
                  <c:v>5.14441731408529</c:v>
                </c:pt>
                <c:pt idx="708">
                  <c:v>4.63563651463697</c:v>
                </c:pt>
                <c:pt idx="709">
                  <c:v>4.58334592106449</c:v>
                </c:pt>
                <c:pt idx="710">
                  <c:v>4.57481327609347</c:v>
                </c:pt>
                <c:pt idx="711">
                  <c:v>4.94572975462283</c:v>
                </c:pt>
                <c:pt idx="712">
                  <c:v>5.15942691004542</c:v>
                </c:pt>
                <c:pt idx="713">
                  <c:v>4.68748677024418</c:v>
                </c:pt>
                <c:pt idx="714">
                  <c:v>4.59628222045249</c:v>
                </c:pt>
                <c:pt idx="715">
                  <c:v>4.57324613626711</c:v>
                </c:pt>
                <c:pt idx="716">
                  <c:v>4.60862713794022</c:v>
                </c:pt>
                <c:pt idx="717">
                  <c:v>5.1042683769495</c:v>
                </c:pt>
                <c:pt idx="718">
                  <c:v>4.83405950120383</c:v>
                </c:pt>
                <c:pt idx="719">
                  <c:v>4.61557052511924</c:v>
                </c:pt>
                <c:pt idx="720">
                  <c:v>4.57861152986744</c:v>
                </c:pt>
                <c:pt idx="721">
                  <c:v>4.57981411012141</c:v>
                </c:pt>
                <c:pt idx="722">
                  <c:v>5.02584430347684</c:v>
                </c:pt>
                <c:pt idx="723">
                  <c:v>5.1626357652695</c:v>
                </c:pt>
                <c:pt idx="724">
                  <c:v>4.65894198968706</c:v>
                </c:pt>
                <c:pt idx="725">
                  <c:v>4.58925986894779</c:v>
                </c:pt>
                <c:pt idx="726">
                  <c:v>4.57292720950329</c:v>
                </c:pt>
                <c:pt idx="727">
                  <c:v>4.65330954442993</c:v>
                </c:pt>
                <c:pt idx="728">
                  <c:v>5.13405508577632</c:v>
                </c:pt>
                <c:pt idx="729">
                  <c:v>4.72716099434371</c:v>
                </c:pt>
                <c:pt idx="730">
                  <c:v>4.60452739851435</c:v>
                </c:pt>
                <c:pt idx="731">
                  <c:v>4.57523813944968</c:v>
                </c:pt>
                <c:pt idx="732">
                  <c:v>4.58968300320795</c:v>
                </c:pt>
                <c:pt idx="733">
                  <c:v>5.06968702008407</c:v>
                </c:pt>
                <c:pt idx="734">
                  <c:v>5.14441859295354</c:v>
                </c:pt>
                <c:pt idx="735">
                  <c:v>4.63563728326847</c:v>
                </c:pt>
                <c:pt idx="736">
                  <c:v>4.58334614204612</c:v>
                </c:pt>
                <c:pt idx="737">
                  <c:v>4.57481329295319</c:v>
                </c:pt>
                <c:pt idx="738">
                  <c:v>4.94572661336793</c:v>
                </c:pt>
                <c:pt idx="739">
                  <c:v>5.15942662010859</c:v>
                </c:pt>
                <c:pt idx="740">
                  <c:v>4.68748708265879</c:v>
                </c:pt>
                <c:pt idx="741">
                  <c:v>4.59628229363555</c:v>
                </c:pt>
                <c:pt idx="742">
                  <c:v>4.57324616583944</c:v>
                </c:pt>
                <c:pt idx="743">
                  <c:v>4.60862700337342</c:v>
                </c:pt>
                <c:pt idx="744">
                  <c:v>5.10426824382951</c:v>
                </c:pt>
                <c:pt idx="745">
                  <c:v>4.83406035615672</c:v>
                </c:pt>
                <c:pt idx="746">
                  <c:v>4.615570569349</c:v>
                </c:pt>
                <c:pt idx="747">
                  <c:v>4.57861154213697</c:v>
                </c:pt>
                <c:pt idx="748">
                  <c:v>4.57981410500054</c:v>
                </c:pt>
                <c:pt idx="749">
                  <c:v>5.02584423761182</c:v>
                </c:pt>
                <c:pt idx="750">
                  <c:v>5.16263576295151</c:v>
                </c:pt>
                <c:pt idx="751">
                  <c:v>4.65894200600149</c:v>
                </c:pt>
                <c:pt idx="752">
                  <c:v>4.58925987320363</c:v>
                </c:pt>
                <c:pt idx="753">
                  <c:v>4.57292721065963</c:v>
                </c:pt>
                <c:pt idx="754">
                  <c:v>4.65330951486717</c:v>
                </c:pt>
                <c:pt idx="755">
                  <c:v>5.13405507841764</c:v>
                </c:pt>
                <c:pt idx="756">
                  <c:v>4.72716100317468</c:v>
                </c:pt>
                <c:pt idx="757">
                  <c:v>4.60452739997932</c:v>
                </c:pt>
                <c:pt idx="758">
                  <c:v>4.57523814008922</c:v>
                </c:pt>
                <c:pt idx="759">
                  <c:v>4.58968300221459</c:v>
                </c:pt>
                <c:pt idx="760">
                  <c:v>5.0696870171709</c:v>
                </c:pt>
                <c:pt idx="761">
                  <c:v>5.14441859448636</c:v>
                </c:pt>
                <c:pt idx="762">
                  <c:v>4.63563728417187</c:v>
                </c:pt>
                <c:pt idx="763">
                  <c:v>4.58334614229086</c:v>
                </c:pt>
                <c:pt idx="764">
                  <c:v>4.57481329296078</c:v>
                </c:pt>
                <c:pt idx="765">
                  <c:v>4.9457266097436</c:v>
                </c:pt>
                <c:pt idx="766">
                  <c:v>5.15942661977032</c:v>
                </c:pt>
                <c:pt idx="767">
                  <c:v>4.68748708302132</c:v>
                </c:pt>
                <c:pt idx="768">
                  <c:v>4.5962822937178</c:v>
                </c:pt>
                <c:pt idx="769">
                  <c:v>4.57324616587134</c:v>
                </c:pt>
                <c:pt idx="770">
                  <c:v>4.60862700321807</c:v>
                </c:pt>
                <c:pt idx="771">
                  <c:v>5.10426824367694</c:v>
                </c:pt>
                <c:pt idx="772">
                  <c:v>4.83406035714224</c:v>
                </c:pt>
                <c:pt idx="773">
                  <c:v>4.61557056939885</c:v>
                </c:pt>
                <c:pt idx="774">
                  <c:v>4.57861154215084</c:v>
                </c:pt>
                <c:pt idx="775">
                  <c:v>4.57981410499444</c:v>
                </c:pt>
                <c:pt idx="776">
                  <c:v>5.02584423753691</c:v>
                </c:pt>
                <c:pt idx="777">
                  <c:v>5.16263576294882</c:v>
                </c:pt>
                <c:pt idx="778">
                  <c:v>4.65894200602014</c:v>
                </c:pt>
                <c:pt idx="779">
                  <c:v>4.58925987320829</c:v>
                </c:pt>
                <c:pt idx="780">
                  <c:v>4.57292721066089</c:v>
                </c:pt>
                <c:pt idx="781">
                  <c:v>4.65330951483331</c:v>
                </c:pt>
                <c:pt idx="782">
                  <c:v>5.1340550784092</c:v>
                </c:pt>
                <c:pt idx="783">
                  <c:v>4.72716100318482</c:v>
                </c:pt>
                <c:pt idx="784">
                  <c:v>4.60452739998132</c:v>
                </c:pt>
                <c:pt idx="785">
                  <c:v>4.57523814008979</c:v>
                </c:pt>
                <c:pt idx="786">
                  <c:v>4.58968300221345</c:v>
                </c:pt>
                <c:pt idx="787">
                  <c:v>5.06968701716766</c:v>
                </c:pt>
                <c:pt idx="788">
                  <c:v>5.14441859448807</c:v>
                </c:pt>
                <c:pt idx="789">
                  <c:v>4.63563728417269</c:v>
                </c:pt>
                <c:pt idx="790">
                  <c:v>4.58334614229113</c:v>
                </c:pt>
                <c:pt idx="791">
                  <c:v>4.57481329296087</c:v>
                </c:pt>
                <c:pt idx="792">
                  <c:v>4.94572660974078</c:v>
                </c:pt>
                <c:pt idx="793">
                  <c:v>5.15942661977007</c:v>
                </c:pt>
                <c:pt idx="794">
                  <c:v>4.68748708302163</c:v>
                </c:pt>
                <c:pt idx="795">
                  <c:v>4.59628229371853</c:v>
                </c:pt>
                <c:pt idx="796">
                  <c:v>4.57324616587144</c:v>
                </c:pt>
                <c:pt idx="797">
                  <c:v>4.60862700321786</c:v>
                </c:pt>
                <c:pt idx="798">
                  <c:v>5.10426824367671</c:v>
                </c:pt>
                <c:pt idx="799">
                  <c:v>4.8340603571436</c:v>
                </c:pt>
                <c:pt idx="800">
                  <c:v>4.49623871076339</c:v>
                </c:pt>
                <c:pt idx="801">
                  <c:v>4.42827762052976</c:v>
                </c:pt>
                <c:pt idx="802">
                  <c:v>4.56223294622516</c:v>
                </c:pt>
                <c:pt idx="803">
                  <c:v>4.99924774354196</c:v>
                </c:pt>
                <c:pt idx="804">
                  <c:v>5.04653465777668</c:v>
                </c:pt>
                <c:pt idx="805">
                  <c:v>4.56980257807359</c:v>
                </c:pt>
                <c:pt idx="806">
                  <c:v>4.45188110577222</c:v>
                </c:pt>
                <c:pt idx="807">
                  <c:v>4.54340795347237</c:v>
                </c:pt>
                <c:pt idx="808">
                  <c:v>5.00865822979328</c:v>
                </c:pt>
                <c:pt idx="809">
                  <c:v>5.05114823080356</c:v>
                </c:pt>
                <c:pt idx="810">
                  <c:v>4.5517334634878</c:v>
                </c:pt>
                <c:pt idx="811">
                  <c:v>4.45148738588378</c:v>
                </c:pt>
                <c:pt idx="812">
                  <c:v>4.83858702655899</c:v>
                </c:pt>
                <c:pt idx="813">
                  <c:v>5.02939275743236</c:v>
                </c:pt>
                <c:pt idx="814">
                  <c:v>5.04073529397099</c:v>
                </c:pt>
                <c:pt idx="815">
                  <c:v>4.52069582673945</c:v>
                </c:pt>
                <c:pt idx="816">
                  <c:v>4.44768670762727</c:v>
                </c:pt>
                <c:pt idx="817">
                  <c:v>4.90915514701131</c:v>
                </c:pt>
                <c:pt idx="818">
                  <c:v>5.04065675989609</c:v>
                </c:pt>
                <c:pt idx="819">
                  <c:v>5.00133835855638</c:v>
                </c:pt>
                <c:pt idx="820">
                  <c:v>4.49400472988293</c:v>
                </c:pt>
                <c:pt idx="821">
                  <c:v>4.4487312912436</c:v>
                </c:pt>
                <c:pt idx="822">
                  <c:v>4.94854335738438</c:v>
                </c:pt>
                <c:pt idx="823">
                  <c:v>5.04830447325957</c:v>
                </c:pt>
                <c:pt idx="824">
                  <c:v>4.66240099246158</c:v>
                </c:pt>
                <c:pt idx="825">
                  <c:v>4.47064036024842</c:v>
                </c:pt>
                <c:pt idx="826">
                  <c:v>4.45935296344592</c:v>
                </c:pt>
                <c:pt idx="827">
                  <c:v>4.97942785564896</c:v>
                </c:pt>
                <c:pt idx="828">
                  <c:v>5.05241840555348</c:v>
                </c:pt>
                <c:pt idx="829">
                  <c:v>4.59086293336655</c:v>
                </c:pt>
                <c:pt idx="830">
                  <c:v>4.45949770159139</c:v>
                </c:pt>
                <c:pt idx="831">
                  <c:v>4.49858380436697</c:v>
                </c:pt>
                <c:pt idx="832">
                  <c:v>5.0061150269593</c:v>
                </c:pt>
                <c:pt idx="833">
                  <c:v>5.05137214095531</c:v>
                </c:pt>
                <c:pt idx="834">
                  <c:v>4.55148791276087</c:v>
                </c:pt>
                <c:pt idx="835">
                  <c:v>4.45185130654166</c:v>
                </c:pt>
                <c:pt idx="836">
                  <c:v>4.83733438478818</c:v>
                </c:pt>
                <c:pt idx="837">
                  <c:v>5.02952189718043</c:v>
                </c:pt>
                <c:pt idx="838">
                  <c:v>5.04069934798248</c:v>
                </c:pt>
                <c:pt idx="839">
                  <c:v>4.52064939059197</c:v>
                </c:pt>
                <c:pt idx="840">
                  <c:v>4.44771902412743</c:v>
                </c:pt>
                <c:pt idx="841">
                  <c:v>4.90909852375879</c:v>
                </c:pt>
                <c:pt idx="842">
                  <c:v>5.04067059899013</c:v>
                </c:pt>
                <c:pt idx="843">
                  <c:v>5.00129338164863</c:v>
                </c:pt>
                <c:pt idx="844">
                  <c:v>4.49400546915476</c:v>
                </c:pt>
                <c:pt idx="845">
                  <c:v>4.44873429997746</c:v>
                </c:pt>
                <c:pt idx="846">
                  <c:v>4.94854066961018</c:v>
                </c:pt>
                <c:pt idx="847">
                  <c:v>5.04830623229755</c:v>
                </c:pt>
                <c:pt idx="848">
                  <c:v>4.6623903499165</c:v>
                </c:pt>
                <c:pt idx="849">
                  <c:v>4.47064067132084</c:v>
                </c:pt>
                <c:pt idx="850">
                  <c:v>4.45935286837618</c:v>
                </c:pt>
                <c:pt idx="851">
                  <c:v>4.97942774208657</c:v>
                </c:pt>
                <c:pt idx="852">
                  <c:v>5.05241859072648</c:v>
                </c:pt>
                <c:pt idx="853">
                  <c:v>4.59086266704771</c:v>
                </c:pt>
                <c:pt idx="854">
                  <c:v>4.45949777712174</c:v>
                </c:pt>
                <c:pt idx="855">
                  <c:v>4.49858354347784</c:v>
                </c:pt>
                <c:pt idx="856">
                  <c:v>5.00611502492246</c:v>
                </c:pt>
                <c:pt idx="857">
                  <c:v>5.05137215518794</c:v>
                </c:pt>
                <c:pt idx="858">
                  <c:v>4.55148790000843</c:v>
                </c:pt>
                <c:pt idx="859">
                  <c:v>4.4518513155458</c:v>
                </c:pt>
                <c:pt idx="860">
                  <c:v>4.83733433209148</c:v>
                </c:pt>
                <c:pt idx="861">
                  <c:v>5.02952189884324</c:v>
                </c:pt>
                <c:pt idx="862">
                  <c:v>5.04069934745342</c:v>
                </c:pt>
                <c:pt idx="863">
                  <c:v>4.52064938999053</c:v>
                </c:pt>
                <c:pt idx="864">
                  <c:v>4.44771902506235</c:v>
                </c:pt>
                <c:pt idx="865">
                  <c:v>4.90909852238623</c:v>
                </c:pt>
                <c:pt idx="866">
                  <c:v>5.04067059936655</c:v>
                </c:pt>
                <c:pt idx="867">
                  <c:v>5.0012933803394</c:v>
                </c:pt>
                <c:pt idx="868">
                  <c:v>4.49400546914946</c:v>
                </c:pt>
                <c:pt idx="869">
                  <c:v>4.44873430005055</c:v>
                </c:pt>
                <c:pt idx="870">
                  <c:v>4.94854066954416</c:v>
                </c:pt>
                <c:pt idx="871">
                  <c:v>5.04830623234274</c:v>
                </c:pt>
                <c:pt idx="872">
                  <c:v>4.66239034965225</c:v>
                </c:pt>
                <c:pt idx="873">
                  <c:v>4.47064067132965</c:v>
                </c:pt>
                <c:pt idx="874">
                  <c:v>4.45935286837358</c:v>
                </c:pt>
                <c:pt idx="875">
                  <c:v>4.97942774208342</c:v>
                </c:pt>
                <c:pt idx="876">
                  <c:v>5.05241859073117</c:v>
                </c:pt>
                <c:pt idx="877">
                  <c:v>4.59086266704087</c:v>
                </c:pt>
                <c:pt idx="878">
                  <c:v>4.45949777712342</c:v>
                </c:pt>
                <c:pt idx="879">
                  <c:v>4.49858354347117</c:v>
                </c:pt>
                <c:pt idx="880">
                  <c:v>5.00611502492242</c:v>
                </c:pt>
                <c:pt idx="881">
                  <c:v>5.05137215518831</c:v>
                </c:pt>
                <c:pt idx="882">
                  <c:v>4.55148790000812</c:v>
                </c:pt>
                <c:pt idx="883">
                  <c:v>4.45185131554601</c:v>
                </c:pt>
                <c:pt idx="884">
                  <c:v>4.83733433209014</c:v>
                </c:pt>
                <c:pt idx="885">
                  <c:v>5.02952189884329</c:v>
                </c:pt>
                <c:pt idx="886">
                  <c:v>5.0406993474534</c:v>
                </c:pt>
                <c:pt idx="887">
                  <c:v>4.52064938999059</c:v>
                </c:pt>
                <c:pt idx="888">
                  <c:v>4.44771902506239</c:v>
                </c:pt>
                <c:pt idx="889">
                  <c:v>4.90909852238621</c:v>
                </c:pt>
                <c:pt idx="890">
                  <c:v>5.04067059936656</c:v>
                </c:pt>
                <c:pt idx="891">
                  <c:v>5.00129338033934</c:v>
                </c:pt>
                <c:pt idx="892">
                  <c:v>4.49400546914947</c:v>
                </c:pt>
                <c:pt idx="893">
                  <c:v>4.44873430005056</c:v>
                </c:pt>
                <c:pt idx="894">
                  <c:v>4.94854066954416</c:v>
                </c:pt>
                <c:pt idx="895">
                  <c:v>5.04830623234274</c:v>
                </c:pt>
                <c:pt idx="896">
                  <c:v>4.66239034965226</c:v>
                </c:pt>
                <c:pt idx="897">
                  <c:v>4.47064067132941</c:v>
                </c:pt>
                <c:pt idx="898">
                  <c:v>4.45935286837357</c:v>
                </c:pt>
                <c:pt idx="899">
                  <c:v>4.97942774208343</c:v>
                </c:pt>
                <c:pt idx="900">
                  <c:v>5.05241859073118</c:v>
                </c:pt>
                <c:pt idx="901">
                  <c:v>4.59086266704088</c:v>
                </c:pt>
                <c:pt idx="902">
                  <c:v>4.45949777712341</c:v>
                </c:pt>
                <c:pt idx="903">
                  <c:v>4.49858354347122</c:v>
                </c:pt>
                <c:pt idx="904">
                  <c:v>5.00611502492243</c:v>
                </c:pt>
                <c:pt idx="905">
                  <c:v>5.05137215518831</c:v>
                </c:pt>
                <c:pt idx="906">
                  <c:v>4.55148790000812</c:v>
                </c:pt>
                <c:pt idx="907">
                  <c:v>4.45185131554602</c:v>
                </c:pt>
                <c:pt idx="908">
                  <c:v>4.83733433209011</c:v>
                </c:pt>
                <c:pt idx="909">
                  <c:v>5.02952189884328</c:v>
                </c:pt>
                <c:pt idx="910">
                  <c:v>5.0406993474534</c:v>
                </c:pt>
                <c:pt idx="911">
                  <c:v>4.52064938999059</c:v>
                </c:pt>
                <c:pt idx="912">
                  <c:v>4.44771902506241</c:v>
                </c:pt>
                <c:pt idx="913">
                  <c:v>4.90909852238618</c:v>
                </c:pt>
                <c:pt idx="914">
                  <c:v>5.04067059936656</c:v>
                </c:pt>
                <c:pt idx="915">
                  <c:v>5.00129338033932</c:v>
                </c:pt>
                <c:pt idx="916">
                  <c:v>4.49400546914946</c:v>
                </c:pt>
                <c:pt idx="917">
                  <c:v>4.44873430005054</c:v>
                </c:pt>
                <c:pt idx="918">
                  <c:v>4.94854066954418</c:v>
                </c:pt>
                <c:pt idx="919">
                  <c:v>5.04830623234275</c:v>
                </c:pt>
                <c:pt idx="920">
                  <c:v>4.66239034965226</c:v>
                </c:pt>
                <c:pt idx="921">
                  <c:v>4.47064067132967</c:v>
                </c:pt>
                <c:pt idx="922">
                  <c:v>4.45935286837355</c:v>
                </c:pt>
                <c:pt idx="923">
                  <c:v>4.97942774208341</c:v>
                </c:pt>
                <c:pt idx="924">
                  <c:v>5.05241859073117</c:v>
                </c:pt>
                <c:pt idx="925">
                  <c:v>4.59086266704088</c:v>
                </c:pt>
                <c:pt idx="926">
                  <c:v>4.45949777712365</c:v>
                </c:pt>
                <c:pt idx="927">
                  <c:v>4.49858354347125</c:v>
                </c:pt>
                <c:pt idx="928">
                  <c:v>5.00611502492242</c:v>
                </c:pt>
                <c:pt idx="929">
                  <c:v>5.0513721551883</c:v>
                </c:pt>
                <c:pt idx="930">
                  <c:v>4.55148790000812</c:v>
                </c:pt>
                <c:pt idx="931">
                  <c:v>4.45185131554601</c:v>
                </c:pt>
                <c:pt idx="932">
                  <c:v>4.83733433209012</c:v>
                </c:pt>
                <c:pt idx="933">
                  <c:v>5.02952189884328</c:v>
                </c:pt>
                <c:pt idx="934">
                  <c:v>5.0406993474534</c:v>
                </c:pt>
                <c:pt idx="935">
                  <c:v>4.52064938999059</c:v>
                </c:pt>
                <c:pt idx="936">
                  <c:v>4.44771902506241</c:v>
                </c:pt>
                <c:pt idx="937">
                  <c:v>4.90909852238619</c:v>
                </c:pt>
                <c:pt idx="938">
                  <c:v>5.04067059936656</c:v>
                </c:pt>
                <c:pt idx="939">
                  <c:v>5.00129338033934</c:v>
                </c:pt>
                <c:pt idx="940">
                  <c:v>4.49400546914924</c:v>
                </c:pt>
                <c:pt idx="941">
                  <c:v>4.4487343000506</c:v>
                </c:pt>
                <c:pt idx="942">
                  <c:v>4.94854066954419</c:v>
                </c:pt>
                <c:pt idx="943">
                  <c:v>5.04830623234275</c:v>
                </c:pt>
                <c:pt idx="944">
                  <c:v>4.66239034965227</c:v>
                </c:pt>
                <c:pt idx="945">
                  <c:v>4.47064067132941</c:v>
                </c:pt>
                <c:pt idx="946">
                  <c:v>4.45935286837355</c:v>
                </c:pt>
                <c:pt idx="947">
                  <c:v>4.97942774208342</c:v>
                </c:pt>
                <c:pt idx="948">
                  <c:v>5.05241859073117</c:v>
                </c:pt>
                <c:pt idx="949">
                  <c:v>4.59086266704087</c:v>
                </c:pt>
                <c:pt idx="950">
                  <c:v>4.45949777712342</c:v>
                </c:pt>
                <c:pt idx="951">
                  <c:v>4.49858354347117</c:v>
                </c:pt>
                <c:pt idx="952">
                  <c:v>5.00611502492242</c:v>
                </c:pt>
                <c:pt idx="953">
                  <c:v>5.05137215518831</c:v>
                </c:pt>
                <c:pt idx="954">
                  <c:v>4.55148790000812</c:v>
                </c:pt>
                <c:pt idx="955">
                  <c:v>4.45185131554601</c:v>
                </c:pt>
                <c:pt idx="956">
                  <c:v>4.83733433209013</c:v>
                </c:pt>
                <c:pt idx="957">
                  <c:v>5.02952189884328</c:v>
                </c:pt>
                <c:pt idx="958">
                  <c:v>5.0406993474534</c:v>
                </c:pt>
                <c:pt idx="959">
                  <c:v>4.52064938999059</c:v>
                </c:pt>
                <c:pt idx="960">
                  <c:v>4.44771902506241</c:v>
                </c:pt>
                <c:pt idx="961">
                  <c:v>4.90909852238618</c:v>
                </c:pt>
                <c:pt idx="962">
                  <c:v>5.04067059936656</c:v>
                </c:pt>
                <c:pt idx="963">
                  <c:v>5.0012933803393</c:v>
                </c:pt>
                <c:pt idx="964">
                  <c:v>4.49400546914946</c:v>
                </c:pt>
                <c:pt idx="965">
                  <c:v>4.4487343000506</c:v>
                </c:pt>
                <c:pt idx="966">
                  <c:v>4.94854066954418</c:v>
                </c:pt>
                <c:pt idx="967">
                  <c:v>5.04830623234274</c:v>
                </c:pt>
                <c:pt idx="968">
                  <c:v>4.66239034965225</c:v>
                </c:pt>
                <c:pt idx="969">
                  <c:v>4.47064067132939</c:v>
                </c:pt>
                <c:pt idx="970">
                  <c:v>4.45935286837356</c:v>
                </c:pt>
                <c:pt idx="971">
                  <c:v>4.97942774208344</c:v>
                </c:pt>
                <c:pt idx="972">
                  <c:v>5.05241859073118</c:v>
                </c:pt>
                <c:pt idx="973">
                  <c:v>4.59086266704088</c:v>
                </c:pt>
                <c:pt idx="974">
                  <c:v>4.45949777712341</c:v>
                </c:pt>
                <c:pt idx="975">
                  <c:v>4.49858354347122</c:v>
                </c:pt>
                <c:pt idx="976">
                  <c:v>5.00611502492243</c:v>
                </c:pt>
                <c:pt idx="977">
                  <c:v>5.05137215518831</c:v>
                </c:pt>
                <c:pt idx="978">
                  <c:v>4.55148790000812</c:v>
                </c:pt>
                <c:pt idx="979">
                  <c:v>4.45185131554602</c:v>
                </c:pt>
                <c:pt idx="980">
                  <c:v>4.83733433209012</c:v>
                </c:pt>
                <c:pt idx="981">
                  <c:v>5.02952189884328</c:v>
                </c:pt>
                <c:pt idx="982">
                  <c:v>5.04069934745339</c:v>
                </c:pt>
                <c:pt idx="983">
                  <c:v>4.52064938999059</c:v>
                </c:pt>
                <c:pt idx="984">
                  <c:v>4.44771902506239</c:v>
                </c:pt>
                <c:pt idx="985">
                  <c:v>4.90909852238622</c:v>
                </c:pt>
                <c:pt idx="986">
                  <c:v>5.04067059936657</c:v>
                </c:pt>
                <c:pt idx="987">
                  <c:v>5.00129338033934</c:v>
                </c:pt>
                <c:pt idx="988">
                  <c:v>4.49400546914925</c:v>
                </c:pt>
                <c:pt idx="989">
                  <c:v>4.44873430005055</c:v>
                </c:pt>
                <c:pt idx="990">
                  <c:v>4.94854066954418</c:v>
                </c:pt>
                <c:pt idx="991">
                  <c:v>5.04830623234274</c:v>
                </c:pt>
                <c:pt idx="992">
                  <c:v>4.66239034965225</c:v>
                </c:pt>
                <c:pt idx="993">
                  <c:v>4.47064067132967</c:v>
                </c:pt>
                <c:pt idx="994">
                  <c:v>4.45935286837355</c:v>
                </c:pt>
                <c:pt idx="995">
                  <c:v>4.97942774208341</c:v>
                </c:pt>
                <c:pt idx="996">
                  <c:v>5.05241859073117</c:v>
                </c:pt>
                <c:pt idx="997">
                  <c:v>4.59086266704087</c:v>
                </c:pt>
                <c:pt idx="998">
                  <c:v>4.45949777712365</c:v>
                </c:pt>
                <c:pt idx="999">
                  <c:v>4.49858354347125</c:v>
                </c:pt>
                <c:pt idx="1000">
                  <c:v>4.88678316628628</c:v>
                </c:pt>
                <c:pt idx="1001">
                  <c:v>4.90103823356713</c:v>
                </c:pt>
                <c:pt idx="1002">
                  <c:v>4.52481978406726</c:v>
                </c:pt>
                <c:pt idx="1003">
                  <c:v>4.330802118828</c:v>
                </c:pt>
                <c:pt idx="1004">
                  <c:v>4.81403977131528</c:v>
                </c:pt>
                <c:pt idx="1005">
                  <c:v>4.89808442401714</c:v>
                </c:pt>
                <c:pt idx="1006">
                  <c:v>4.92329442573704</c:v>
                </c:pt>
                <c:pt idx="1007">
                  <c:v>4.90189071234747</c:v>
                </c:pt>
                <c:pt idx="1008">
                  <c:v>4.41833252431392</c:v>
                </c:pt>
                <c:pt idx="1009">
                  <c:v>4.36613417573673</c:v>
                </c:pt>
                <c:pt idx="1010">
                  <c:v>4.86640851734502</c:v>
                </c:pt>
                <c:pt idx="1011">
                  <c:v>4.91669376643521</c:v>
                </c:pt>
                <c:pt idx="1012">
                  <c:v>4.92580412230437</c:v>
                </c:pt>
                <c:pt idx="1013">
                  <c:v>4.56956113007674</c:v>
                </c:pt>
                <c:pt idx="1014">
                  <c:v>4.34215530229188</c:v>
                </c:pt>
                <c:pt idx="1015">
                  <c:v>4.81070012520896</c:v>
                </c:pt>
                <c:pt idx="1016">
                  <c:v>4.90358418752371</c:v>
                </c:pt>
                <c:pt idx="1017">
                  <c:v>4.92696044113224</c:v>
                </c:pt>
                <c:pt idx="1018">
                  <c:v>4.89287529247944</c:v>
                </c:pt>
                <c:pt idx="1019">
                  <c:v>4.39703255685014</c:v>
                </c:pt>
                <c:pt idx="1020">
                  <c:v>4.65517858145653</c:v>
                </c:pt>
                <c:pt idx="1021">
                  <c:v>4.88418438676693</c:v>
                </c:pt>
                <c:pt idx="1022">
                  <c:v>4.92156451312753</c:v>
                </c:pt>
                <c:pt idx="1023">
                  <c:v>4.92046813184249</c:v>
                </c:pt>
                <c:pt idx="1024">
                  <c:v>4.47473589025911</c:v>
                </c:pt>
                <c:pt idx="1025">
                  <c:v>4.33744543618173</c:v>
                </c:pt>
                <c:pt idx="1026">
                  <c:v>4.84100931258502</c:v>
                </c:pt>
                <c:pt idx="1027">
                  <c:v>4.91097159420147</c:v>
                </c:pt>
                <c:pt idx="1028">
                  <c:v>4.92727723362567</c:v>
                </c:pt>
                <c:pt idx="1029">
                  <c:v>4.84653184111402</c:v>
                </c:pt>
                <c:pt idx="1030">
                  <c:v>4.36595525345536</c:v>
                </c:pt>
                <c:pt idx="1031">
                  <c:v>4.77287199436187</c:v>
                </c:pt>
                <c:pt idx="1032">
                  <c:v>4.89572848412532</c:v>
                </c:pt>
                <c:pt idx="1033">
                  <c:v>4.92500548012186</c:v>
                </c:pt>
                <c:pt idx="1034">
                  <c:v>4.91038410087368</c:v>
                </c:pt>
                <c:pt idx="1035">
                  <c:v>4.43012538033235</c:v>
                </c:pt>
                <c:pt idx="1036">
                  <c:v>4.35565495420125</c:v>
                </c:pt>
                <c:pt idx="1037">
                  <c:v>4.86458346309999</c:v>
                </c:pt>
                <c:pt idx="1038">
                  <c:v>4.91692521451282</c:v>
                </c:pt>
                <c:pt idx="1039">
                  <c:v>4.92535800310519</c:v>
                </c:pt>
                <c:pt idx="1040">
                  <c:v>4.55303172480292</c:v>
                </c:pt>
                <c:pt idx="1041">
                  <c:v>4.3405413795149</c:v>
                </c:pt>
                <c:pt idx="1042">
                  <c:v>4.812674119155</c:v>
                </c:pt>
                <c:pt idx="1043">
                  <c:v>4.90399518415386</c:v>
                </c:pt>
                <c:pt idx="1044">
                  <c:v>4.92698366485391</c:v>
                </c:pt>
                <c:pt idx="1045">
                  <c:v>4.89128647561786</c:v>
                </c:pt>
                <c:pt idx="1046">
                  <c:v>4.39558104004287</c:v>
                </c:pt>
                <c:pt idx="1047">
                  <c:v>4.66663519010279</c:v>
                </c:pt>
                <c:pt idx="1048">
                  <c:v>4.8847021483898</c:v>
                </c:pt>
                <c:pt idx="1049">
                  <c:v>4.92165298205643</c:v>
                </c:pt>
                <c:pt idx="1050">
                  <c:v>4.92031025182854</c:v>
                </c:pt>
                <c:pt idx="1051">
                  <c:v>4.47377739101139</c:v>
                </c:pt>
                <c:pt idx="1052">
                  <c:v>4.33739874414145</c:v>
                </c:pt>
                <c:pt idx="1053">
                  <c:v>4.84125194225165</c:v>
                </c:pt>
                <c:pt idx="1054">
                  <c:v>4.91101851510662</c:v>
                </c:pt>
                <c:pt idx="1055">
                  <c:v>4.92727752979675</c:v>
                </c:pt>
                <c:pt idx="1056">
                  <c:v>4.84609054382375</c:v>
                </c:pt>
                <c:pt idx="1057">
                  <c:v>4.36584510272554</c:v>
                </c:pt>
                <c:pt idx="1058">
                  <c:v>4.77300499136359</c:v>
                </c:pt>
                <c:pt idx="1059">
                  <c:v>4.89574646019651</c:v>
                </c:pt>
                <c:pt idx="1060">
                  <c:v>4.92501151786173</c:v>
                </c:pt>
                <c:pt idx="1061">
                  <c:v>4.91036891008075</c:v>
                </c:pt>
                <c:pt idx="1062">
                  <c:v>4.43008732046904</c:v>
                </c:pt>
                <c:pt idx="1063">
                  <c:v>4.35567531053498</c:v>
                </c:pt>
                <c:pt idx="1064">
                  <c:v>4.86459483059977</c:v>
                </c:pt>
                <c:pt idx="1065">
                  <c:v>4.91692785317747</c:v>
                </c:pt>
                <c:pt idx="1066">
                  <c:v>4.92535783089876</c:v>
                </c:pt>
                <c:pt idx="1067">
                  <c:v>4.55299117663926</c:v>
                </c:pt>
                <c:pt idx="1068">
                  <c:v>4.34053748999497</c:v>
                </c:pt>
                <c:pt idx="1069">
                  <c:v>4.81267822390725</c:v>
                </c:pt>
                <c:pt idx="1070">
                  <c:v>4.90399605152573</c:v>
                </c:pt>
                <c:pt idx="1071">
                  <c:v>4.92698398429074</c:v>
                </c:pt>
                <c:pt idx="1072">
                  <c:v>4.89128483338417</c:v>
                </c:pt>
                <c:pt idx="1073">
                  <c:v>4.39557946211742</c:v>
                </c:pt>
                <c:pt idx="1074">
                  <c:v>4.66664519423099</c:v>
                </c:pt>
                <c:pt idx="1075">
                  <c:v>4.88470265637963</c:v>
                </c:pt>
                <c:pt idx="1076">
                  <c:v>4.92165311757058</c:v>
                </c:pt>
                <c:pt idx="1077">
                  <c:v>4.92031019665248</c:v>
                </c:pt>
                <c:pt idx="1078">
                  <c:v>4.4737766829161</c:v>
                </c:pt>
                <c:pt idx="1079">
                  <c:v>4.33739871819992</c:v>
                </c:pt>
                <c:pt idx="1080">
                  <c:v>4.84125211458301</c:v>
                </c:pt>
                <c:pt idx="1081">
                  <c:v>4.91101856000611</c:v>
                </c:pt>
                <c:pt idx="1082">
                  <c:v>4.92727754300874</c:v>
                </c:pt>
                <c:pt idx="1083">
                  <c:v>4.84609024240802</c:v>
                </c:pt>
                <c:pt idx="1084">
                  <c:v>4.36584502989496</c:v>
                </c:pt>
                <c:pt idx="1085">
                  <c:v>4.77300507746781</c:v>
                </c:pt>
                <c:pt idx="1086">
                  <c:v>4.89574647474189</c:v>
                </c:pt>
                <c:pt idx="1087">
                  <c:v>4.92501152447428</c:v>
                </c:pt>
                <c:pt idx="1088">
                  <c:v>4.91036890122646</c:v>
                </c:pt>
                <c:pt idx="1089">
                  <c:v>4.43008729344601</c:v>
                </c:pt>
                <c:pt idx="1090">
                  <c:v>4.35567532445413</c:v>
                </c:pt>
                <c:pt idx="1091">
                  <c:v>4.86459483886492</c:v>
                </c:pt>
                <c:pt idx="1092">
                  <c:v>4.91692785552495</c:v>
                </c:pt>
                <c:pt idx="1093">
                  <c:v>4.92535783113369</c:v>
                </c:pt>
                <c:pt idx="1094">
                  <c:v>4.55299114530837</c:v>
                </c:pt>
                <c:pt idx="1095">
                  <c:v>4.34053748710593</c:v>
                </c:pt>
                <c:pt idx="1096">
                  <c:v>4.81267822701289</c:v>
                </c:pt>
                <c:pt idx="1097">
                  <c:v>4.90399605226222</c:v>
                </c:pt>
                <c:pt idx="1098">
                  <c:v>4.92698398460402</c:v>
                </c:pt>
                <c:pt idx="1099">
                  <c:v>4.89128483211661</c:v>
                </c:pt>
                <c:pt idx="1100">
                  <c:v>4.39557946086705</c:v>
                </c:pt>
                <c:pt idx="1101">
                  <c:v>4.66664520198918</c:v>
                </c:pt>
                <c:pt idx="1102">
                  <c:v>4.88470265679067</c:v>
                </c:pt>
                <c:pt idx="1103">
                  <c:v>4.92165311769053</c:v>
                </c:pt>
                <c:pt idx="1104">
                  <c:v>4.92031019661557</c:v>
                </c:pt>
                <c:pt idx="1105">
                  <c:v>4.47377668233285</c:v>
                </c:pt>
                <c:pt idx="1106">
                  <c:v>4.33739871817991</c:v>
                </c:pt>
                <c:pt idx="1107">
                  <c:v>4.84125211472507</c:v>
                </c:pt>
                <c:pt idx="1108">
                  <c:v>4.9110185600449</c:v>
                </c:pt>
                <c:pt idx="1109">
                  <c:v>4.92727754302116</c:v>
                </c:pt>
                <c:pt idx="1110">
                  <c:v>4.84609024215523</c:v>
                </c:pt>
                <c:pt idx="1111">
                  <c:v>4.36584502983408</c:v>
                </c:pt>
                <c:pt idx="1112">
                  <c:v>4.77300507753966</c:v>
                </c:pt>
                <c:pt idx="1113">
                  <c:v>4.89574647475437</c:v>
                </c:pt>
                <c:pt idx="1114">
                  <c:v>4.9250115244801</c:v>
                </c:pt>
                <c:pt idx="1115">
                  <c:v>4.91036890121911</c:v>
                </c:pt>
                <c:pt idx="1116">
                  <c:v>4.43008729342308</c:v>
                </c:pt>
                <c:pt idx="1117">
                  <c:v>4.35567532446589</c:v>
                </c:pt>
                <c:pt idx="1118">
                  <c:v>4.86459483887196</c:v>
                </c:pt>
                <c:pt idx="1119">
                  <c:v>4.91692785552698</c:v>
                </c:pt>
                <c:pt idx="1120">
                  <c:v>4.92535783113392</c:v>
                </c:pt>
                <c:pt idx="1121">
                  <c:v>4.55299114528157</c:v>
                </c:pt>
                <c:pt idx="1122">
                  <c:v>4.34053748710341</c:v>
                </c:pt>
                <c:pt idx="1123">
                  <c:v>4.81267822701554</c:v>
                </c:pt>
                <c:pt idx="1124">
                  <c:v>4.90399605226286</c:v>
                </c:pt>
                <c:pt idx="1125">
                  <c:v>4.9269839846043</c:v>
                </c:pt>
                <c:pt idx="1126">
                  <c:v>4.89128483211553</c:v>
                </c:pt>
                <c:pt idx="1127">
                  <c:v>4.39557946086596</c:v>
                </c:pt>
                <c:pt idx="1128">
                  <c:v>4.6666452019958</c:v>
                </c:pt>
                <c:pt idx="1129">
                  <c:v>4.88470265679102</c:v>
                </c:pt>
                <c:pt idx="1130">
                  <c:v>4.92165311769063</c:v>
                </c:pt>
                <c:pt idx="1131">
                  <c:v>4.92031019661555</c:v>
                </c:pt>
                <c:pt idx="1132">
                  <c:v>4.47377668233238</c:v>
                </c:pt>
                <c:pt idx="1133">
                  <c:v>4.3373987181799</c:v>
                </c:pt>
                <c:pt idx="1134">
                  <c:v>4.84125211472519</c:v>
                </c:pt>
                <c:pt idx="1135">
                  <c:v>4.91101856004493</c:v>
                </c:pt>
                <c:pt idx="1136">
                  <c:v>4.92727754302117</c:v>
                </c:pt>
                <c:pt idx="1137">
                  <c:v>4.84609024215508</c:v>
                </c:pt>
                <c:pt idx="1138">
                  <c:v>4.36584502983401</c:v>
                </c:pt>
                <c:pt idx="1139">
                  <c:v>4.77300507753969</c:v>
                </c:pt>
                <c:pt idx="1140">
                  <c:v>4.89574647475437</c:v>
                </c:pt>
                <c:pt idx="1141">
                  <c:v>4.9250115244801</c:v>
                </c:pt>
                <c:pt idx="1142">
                  <c:v>4.91036890121912</c:v>
                </c:pt>
                <c:pt idx="1143">
                  <c:v>4.43008729342309</c:v>
                </c:pt>
                <c:pt idx="1144">
                  <c:v>4.35567532446588</c:v>
                </c:pt>
                <c:pt idx="1145">
                  <c:v>4.86459483887195</c:v>
                </c:pt>
                <c:pt idx="1146">
                  <c:v>4.91692785552698</c:v>
                </c:pt>
                <c:pt idx="1147">
                  <c:v>4.92535783113393</c:v>
                </c:pt>
                <c:pt idx="1148">
                  <c:v>4.55299114528156</c:v>
                </c:pt>
                <c:pt idx="1149">
                  <c:v>4.34053748710341</c:v>
                </c:pt>
                <c:pt idx="1150">
                  <c:v>4.81267822701554</c:v>
                </c:pt>
                <c:pt idx="1151">
                  <c:v>4.90399605226286</c:v>
                </c:pt>
                <c:pt idx="1152">
                  <c:v>4.9269839846043</c:v>
                </c:pt>
                <c:pt idx="1153">
                  <c:v>4.89128483211553</c:v>
                </c:pt>
                <c:pt idx="1154">
                  <c:v>4.39557946086596</c:v>
                </c:pt>
                <c:pt idx="1155">
                  <c:v>4.6666452019958</c:v>
                </c:pt>
                <c:pt idx="1156">
                  <c:v>4.88470265679102</c:v>
                </c:pt>
                <c:pt idx="1157">
                  <c:v>4.92165311769063</c:v>
                </c:pt>
                <c:pt idx="1158">
                  <c:v>4.92031019661555</c:v>
                </c:pt>
                <c:pt idx="1159">
                  <c:v>4.47377668233238</c:v>
                </c:pt>
                <c:pt idx="1160">
                  <c:v>4.3373987181799</c:v>
                </c:pt>
                <c:pt idx="1161">
                  <c:v>4.84125211472519</c:v>
                </c:pt>
                <c:pt idx="1162">
                  <c:v>4.91101856004493</c:v>
                </c:pt>
                <c:pt idx="1163">
                  <c:v>4.92727754302117</c:v>
                </c:pt>
                <c:pt idx="1164">
                  <c:v>4.84609024215508</c:v>
                </c:pt>
                <c:pt idx="1165">
                  <c:v>4.36584502983401</c:v>
                </c:pt>
                <c:pt idx="1166">
                  <c:v>4.77300507753969</c:v>
                </c:pt>
                <c:pt idx="1167">
                  <c:v>4.89574647475437</c:v>
                </c:pt>
                <c:pt idx="1168">
                  <c:v>4.9250115244801</c:v>
                </c:pt>
                <c:pt idx="1169">
                  <c:v>4.91036890121912</c:v>
                </c:pt>
                <c:pt idx="1170">
                  <c:v>4.43008729342309</c:v>
                </c:pt>
                <c:pt idx="1171">
                  <c:v>4.35567532446588</c:v>
                </c:pt>
                <c:pt idx="1172">
                  <c:v>4.86459483887195</c:v>
                </c:pt>
                <c:pt idx="1173">
                  <c:v>4.91692785552698</c:v>
                </c:pt>
                <c:pt idx="1174">
                  <c:v>4.92535783113393</c:v>
                </c:pt>
                <c:pt idx="1175">
                  <c:v>4.55299114528156</c:v>
                </c:pt>
                <c:pt idx="1176">
                  <c:v>4.34053748710341</c:v>
                </c:pt>
                <c:pt idx="1177">
                  <c:v>4.81267822701554</c:v>
                </c:pt>
                <c:pt idx="1178">
                  <c:v>4.90399605226286</c:v>
                </c:pt>
                <c:pt idx="1179">
                  <c:v>4.9269839846043</c:v>
                </c:pt>
                <c:pt idx="1180">
                  <c:v>4.89128483211553</c:v>
                </c:pt>
                <c:pt idx="1181">
                  <c:v>4.39557946086596</c:v>
                </c:pt>
                <c:pt idx="1182">
                  <c:v>4.6666452019958</c:v>
                </c:pt>
                <c:pt idx="1183">
                  <c:v>4.88470265679102</c:v>
                </c:pt>
                <c:pt idx="1184">
                  <c:v>4.92165311769063</c:v>
                </c:pt>
                <c:pt idx="1185">
                  <c:v>4.92031019661555</c:v>
                </c:pt>
                <c:pt idx="1186">
                  <c:v>4.47377668233238</c:v>
                </c:pt>
                <c:pt idx="1187">
                  <c:v>4.3373987181799</c:v>
                </c:pt>
                <c:pt idx="1188">
                  <c:v>4.84125211472519</c:v>
                </c:pt>
                <c:pt idx="1189">
                  <c:v>4.91101856004493</c:v>
                </c:pt>
                <c:pt idx="1190">
                  <c:v>4.92727754302117</c:v>
                </c:pt>
                <c:pt idx="1191">
                  <c:v>4.84609024215508</c:v>
                </c:pt>
                <c:pt idx="1192">
                  <c:v>4.36584502983401</c:v>
                </c:pt>
                <c:pt idx="1193">
                  <c:v>4.77300507753969</c:v>
                </c:pt>
                <c:pt idx="1194">
                  <c:v>4.89574647475437</c:v>
                </c:pt>
                <c:pt idx="1195">
                  <c:v>4.9250115244801</c:v>
                </c:pt>
                <c:pt idx="1196">
                  <c:v>4.91036890121912</c:v>
                </c:pt>
                <c:pt idx="1197">
                  <c:v>4.43008729342309</c:v>
                </c:pt>
                <c:pt idx="1198">
                  <c:v>4.35567532446588</c:v>
                </c:pt>
                <c:pt idx="1199">
                  <c:v>4.86459483887195</c:v>
                </c:pt>
                <c:pt idx="1200">
                  <c:v>4.91692785552698</c:v>
                </c:pt>
                <c:pt idx="1201">
                  <c:v>5.00223204845941</c:v>
                </c:pt>
                <c:pt idx="1202">
                  <c:v>5.07545446655365</c:v>
                </c:pt>
                <c:pt idx="1203">
                  <c:v>5.14329974839021</c:v>
                </c:pt>
                <c:pt idx="1204">
                  <c:v>5.2077468304568</c:v>
                </c:pt>
                <c:pt idx="1205">
                  <c:v>5.26893381606354</c:v>
                </c:pt>
                <c:pt idx="1206">
                  <c:v>5.32628884390225</c:v>
                </c:pt>
                <c:pt idx="1207">
                  <c:v>5.37863438646528</c:v>
                </c:pt>
                <c:pt idx="1208">
                  <c:v>5.42381720480479</c:v>
                </c:pt>
                <c:pt idx="1209">
                  <c:v>5.45736067933873</c:v>
                </c:pt>
                <c:pt idx="1210">
                  <c:v>5.46605230717376</c:v>
                </c:pt>
                <c:pt idx="1211">
                  <c:v>5.06084188503299</c:v>
                </c:pt>
                <c:pt idx="1212">
                  <c:v>4.85629969406585</c:v>
                </c:pt>
                <c:pt idx="1213">
                  <c:v>5.29714006027944</c:v>
                </c:pt>
                <c:pt idx="1214">
                  <c:v>5.4091040018766</c:v>
                </c:pt>
                <c:pt idx="1215">
                  <c:v>5.43403678605952</c:v>
                </c:pt>
                <c:pt idx="1216">
                  <c:v>5.40091994807736</c:v>
                </c:pt>
                <c:pt idx="1217">
                  <c:v>4.90076360446352</c:v>
                </c:pt>
                <c:pt idx="1218">
                  <c:v>5.02307668682223</c:v>
                </c:pt>
                <c:pt idx="1219">
                  <c:v>5.37946964661608</c:v>
                </c:pt>
                <c:pt idx="1220">
                  <c:v>5.4216509305587</c:v>
                </c:pt>
                <c:pt idx="1221">
                  <c:v>5.42465166568836</c:v>
                </c:pt>
                <c:pt idx="1222">
                  <c:v>5.00124692314824</c:v>
                </c:pt>
                <c:pt idx="1223">
                  <c:v>4.83660990090117</c:v>
                </c:pt>
                <c:pt idx="1224">
                  <c:v>5.32186327982844</c:v>
                </c:pt>
                <c:pt idx="1225">
                  <c:v>5.40550443375616</c:v>
                </c:pt>
                <c:pt idx="1226">
                  <c:v>5.4277666739736</c:v>
                </c:pt>
                <c:pt idx="1227">
                  <c:v>5.39098656908538</c:v>
                </c:pt>
                <c:pt idx="1228">
                  <c:v>4.89503065300498</c:v>
                </c:pt>
                <c:pt idx="1229">
                  <c:v>5.17160524203325</c:v>
                </c:pt>
                <c:pt idx="1230">
                  <c:v>5.38505037462373</c:v>
                </c:pt>
                <c:pt idx="1231">
                  <c:v>5.42140596657333</c:v>
                </c:pt>
                <c:pt idx="1232">
                  <c:v>5.4188045321112</c:v>
                </c:pt>
                <c:pt idx="1233">
                  <c:v>4.96906965406743</c:v>
                </c:pt>
                <c:pt idx="1234">
                  <c:v>4.83730339783303</c:v>
                </c:pt>
                <c:pt idx="1235">
                  <c:v>5.34238049311347</c:v>
                </c:pt>
                <c:pt idx="1236">
                  <c:v>5.41081670784441</c:v>
                </c:pt>
                <c:pt idx="1237">
                  <c:v>5.42634765071814</c:v>
                </c:pt>
                <c:pt idx="1238">
                  <c:v>5.33793476821116</c:v>
                </c:pt>
                <c:pt idx="1239">
                  <c:v>4.86391419717521</c:v>
                </c:pt>
                <c:pt idx="1240">
                  <c:v>5.27573718214189</c:v>
                </c:pt>
                <c:pt idx="1241">
                  <c:v>5.39572836718812</c:v>
                </c:pt>
                <c:pt idx="1242">
                  <c:v>5.42438337713766</c:v>
                </c:pt>
                <c:pt idx="1243">
                  <c:v>5.40823366423767</c:v>
                </c:pt>
                <c:pt idx="1244">
                  <c:v>4.9272347230165</c:v>
                </c:pt>
                <c:pt idx="1245">
                  <c:v>4.85819281670785</c:v>
                </c:pt>
                <c:pt idx="1246">
                  <c:v>5.36530736606078</c:v>
                </c:pt>
                <c:pt idx="1247">
                  <c:v>5.41655349382793</c:v>
                </c:pt>
                <c:pt idx="1248">
                  <c:v>5.42413499212277</c:v>
                </c:pt>
                <c:pt idx="1249">
                  <c:v>5.04239406248781</c:v>
                </c:pt>
                <c:pt idx="1250">
                  <c:v>4.83922980650983</c:v>
                </c:pt>
                <c:pt idx="1251">
                  <c:v>5.31414057641375</c:v>
                </c:pt>
                <c:pt idx="1252">
                  <c:v>5.40383766936839</c:v>
                </c:pt>
                <c:pt idx="1253">
                  <c:v>5.42619322947568</c:v>
                </c:pt>
                <c:pt idx="1254">
                  <c:v>5.38798813434677</c:v>
                </c:pt>
                <c:pt idx="1255">
                  <c:v>4.89327471420042</c:v>
                </c:pt>
                <c:pt idx="1256">
                  <c:v>5.18433233647765</c:v>
                </c:pt>
                <c:pt idx="1257">
                  <c:v>5.38517963428747</c:v>
                </c:pt>
                <c:pt idx="1258">
                  <c:v>5.4211545694379</c:v>
                </c:pt>
                <c:pt idx="1259">
                  <c:v>5.41873735229702</c:v>
                </c:pt>
                <c:pt idx="1260">
                  <c:v>4.96978070292148</c:v>
                </c:pt>
                <c:pt idx="1261">
                  <c:v>4.83730338209267</c:v>
                </c:pt>
                <c:pt idx="1262">
                  <c:v>5.34223574695514</c:v>
                </c:pt>
                <c:pt idx="1263">
                  <c:v>5.41075193012412</c:v>
                </c:pt>
                <c:pt idx="1264">
                  <c:v>5.42629865498462</c:v>
                </c:pt>
                <c:pt idx="1265">
                  <c:v>5.33807820719752</c:v>
                </c:pt>
                <c:pt idx="1266">
                  <c:v>4.8639341853271</c:v>
                </c:pt>
                <c:pt idx="1267">
                  <c:v>5.27571982219144</c:v>
                </c:pt>
                <c:pt idx="1268">
                  <c:v>5.39571500064741</c:v>
                </c:pt>
                <c:pt idx="1269">
                  <c:v>5.42437258328974</c:v>
                </c:pt>
                <c:pt idx="1270">
                  <c:v>5.40823339165752</c:v>
                </c:pt>
                <c:pt idx="1271">
                  <c:v>4.92724955150536</c:v>
                </c:pt>
                <c:pt idx="1272">
                  <c:v>4.8581865257804</c:v>
                </c:pt>
                <c:pt idx="1273">
                  <c:v>5.36530309333282</c:v>
                </c:pt>
                <c:pt idx="1274">
                  <c:v>5.41655098568028</c:v>
                </c:pt>
                <c:pt idx="1275">
                  <c:v>5.42413332484437</c:v>
                </c:pt>
                <c:pt idx="1276">
                  <c:v>5.04240515639722</c:v>
                </c:pt>
                <c:pt idx="1277">
                  <c:v>4.83923038970268</c:v>
                </c:pt>
                <c:pt idx="1278">
                  <c:v>5.31413969905916</c:v>
                </c:pt>
                <c:pt idx="1279">
                  <c:v>5.40383712537719</c:v>
                </c:pt>
                <c:pt idx="1280">
                  <c:v>5.42619281272546</c:v>
                </c:pt>
                <c:pt idx="1281">
                  <c:v>5.38798844146295</c:v>
                </c:pt>
                <c:pt idx="1282">
                  <c:v>4.89327512038874</c:v>
                </c:pt>
                <c:pt idx="1283">
                  <c:v>5.18433124800611</c:v>
                </c:pt>
                <c:pt idx="1284">
                  <c:v>5.38517948772198</c:v>
                </c:pt>
                <c:pt idx="1285">
                  <c:v>5.42115447148733</c:v>
                </c:pt>
                <c:pt idx="1286">
                  <c:v>5.41873730312896</c:v>
                </c:pt>
                <c:pt idx="1287">
                  <c:v>4.96978085922174</c:v>
                </c:pt>
                <c:pt idx="1288">
                  <c:v>4.83730337833618</c:v>
                </c:pt>
                <c:pt idx="1289">
                  <c:v>5.34223571285107</c:v>
                </c:pt>
                <c:pt idx="1290">
                  <c:v>5.41075190844843</c:v>
                </c:pt>
                <c:pt idx="1291">
                  <c:v>5.42629863942757</c:v>
                </c:pt>
                <c:pt idx="1292">
                  <c:v>5.33807828267448</c:v>
                </c:pt>
                <c:pt idx="1293">
                  <c:v>4.86393419767887</c:v>
                </c:pt>
                <c:pt idx="1294">
                  <c:v>5.27571981059768</c:v>
                </c:pt>
                <c:pt idx="1295">
                  <c:v>5.39571499577287</c:v>
                </c:pt>
                <c:pt idx="1296">
                  <c:v>5.42437257948956</c:v>
                </c:pt>
                <c:pt idx="1297">
                  <c:v>5.40823339095318</c:v>
                </c:pt>
                <c:pt idx="1298">
                  <c:v>4.92724955562</c:v>
                </c:pt>
                <c:pt idx="1299">
                  <c:v>4.8581865242829</c:v>
                </c:pt>
                <c:pt idx="1300">
                  <c:v>5.36530309204354</c:v>
                </c:pt>
                <c:pt idx="1301">
                  <c:v>5.41655098482216</c:v>
                </c:pt>
                <c:pt idx="1302">
                  <c:v>5.42413332430002</c:v>
                </c:pt>
                <c:pt idx="1303">
                  <c:v>5.04240516071285</c:v>
                </c:pt>
                <c:pt idx="1304">
                  <c:v>4.83923038995934</c:v>
                </c:pt>
                <c:pt idx="1305">
                  <c:v>5.31413969870899</c:v>
                </c:pt>
                <c:pt idx="1306">
                  <c:v>5.40383712518697</c:v>
                </c:pt>
                <c:pt idx="1307">
                  <c:v>5.42619281257969</c:v>
                </c:pt>
                <c:pt idx="1308">
                  <c:v>5.3879884415522</c:v>
                </c:pt>
                <c:pt idx="1309">
                  <c:v>4.89327512051658</c:v>
                </c:pt>
                <c:pt idx="1310">
                  <c:v>5.1843312476909</c:v>
                </c:pt>
                <c:pt idx="1311">
                  <c:v>5.38517948767336</c:v>
                </c:pt>
                <c:pt idx="1312">
                  <c:v>5.42115447145359</c:v>
                </c:pt>
                <c:pt idx="1313">
                  <c:v>5.41873730311264</c:v>
                </c:pt>
                <c:pt idx="1314">
                  <c:v>4.96978085927823</c:v>
                </c:pt>
                <c:pt idx="1315">
                  <c:v>4.83730337833496</c:v>
                </c:pt>
                <c:pt idx="1316">
                  <c:v>5.34223571283887</c:v>
                </c:pt>
                <c:pt idx="1317">
                  <c:v>5.41075190844094</c:v>
                </c:pt>
                <c:pt idx="1318">
                  <c:v>5.42629863942218</c:v>
                </c:pt>
                <c:pt idx="1319">
                  <c:v>5.33807828269975</c:v>
                </c:pt>
                <c:pt idx="1320">
                  <c:v>4.86393419768285</c:v>
                </c:pt>
                <c:pt idx="1321">
                  <c:v>5.27571981059388</c:v>
                </c:pt>
                <c:pt idx="1322">
                  <c:v>5.39571499577123</c:v>
                </c:pt>
                <c:pt idx="1323">
                  <c:v>5.42437257948829</c:v>
                </c:pt>
                <c:pt idx="1324">
                  <c:v>5.40823339095296</c:v>
                </c:pt>
                <c:pt idx="1325">
                  <c:v>4.92724955562133</c:v>
                </c:pt>
                <c:pt idx="1326">
                  <c:v>4.85818652428234</c:v>
                </c:pt>
                <c:pt idx="1327">
                  <c:v>5.36530309204314</c:v>
                </c:pt>
                <c:pt idx="1328">
                  <c:v>5.4165509848219</c:v>
                </c:pt>
                <c:pt idx="1329">
                  <c:v>5.42413332429986</c:v>
                </c:pt>
                <c:pt idx="1330">
                  <c:v>5.042405160714</c:v>
                </c:pt>
                <c:pt idx="1331">
                  <c:v>4.83923038995928</c:v>
                </c:pt>
                <c:pt idx="1332">
                  <c:v>5.31413969870892</c:v>
                </c:pt>
                <c:pt idx="1333">
                  <c:v>5.40383712518694</c:v>
                </c:pt>
                <c:pt idx="1334">
                  <c:v>5.42619281257968</c:v>
                </c:pt>
                <c:pt idx="1335">
                  <c:v>5.38798844155224</c:v>
                </c:pt>
                <c:pt idx="1336">
                  <c:v>4.89327512051656</c:v>
                </c:pt>
                <c:pt idx="1337">
                  <c:v>5.18433124769093</c:v>
                </c:pt>
                <c:pt idx="1338">
                  <c:v>5.38517948767338</c:v>
                </c:pt>
                <c:pt idx="1339">
                  <c:v>5.42115447145362</c:v>
                </c:pt>
                <c:pt idx="1340">
                  <c:v>5.41873730311273</c:v>
                </c:pt>
                <c:pt idx="1341">
                  <c:v>4.96978085927844</c:v>
                </c:pt>
                <c:pt idx="1342">
                  <c:v>4.83730337833495</c:v>
                </c:pt>
                <c:pt idx="1343">
                  <c:v>5.34223571283884</c:v>
                </c:pt>
                <c:pt idx="1344">
                  <c:v>5.41075190844095</c:v>
                </c:pt>
                <c:pt idx="1345">
                  <c:v>5.42629863942219</c:v>
                </c:pt>
                <c:pt idx="1346">
                  <c:v>5.33807828269967</c:v>
                </c:pt>
                <c:pt idx="1347">
                  <c:v>4.8639341976829</c:v>
                </c:pt>
                <c:pt idx="1348">
                  <c:v>5.2757198105939</c:v>
                </c:pt>
                <c:pt idx="1349">
                  <c:v>5.39571499577123</c:v>
                </c:pt>
                <c:pt idx="1350">
                  <c:v>5.42437257948829</c:v>
                </c:pt>
                <c:pt idx="1351">
                  <c:v>5.40823339095296</c:v>
                </c:pt>
                <c:pt idx="1352">
                  <c:v>4.92724955562133</c:v>
                </c:pt>
                <c:pt idx="1353">
                  <c:v>4.85818652428234</c:v>
                </c:pt>
                <c:pt idx="1354">
                  <c:v>5.36530309204314</c:v>
                </c:pt>
                <c:pt idx="1355">
                  <c:v>5.4165509848219</c:v>
                </c:pt>
                <c:pt idx="1356">
                  <c:v>5.42413332429987</c:v>
                </c:pt>
                <c:pt idx="1357">
                  <c:v>5.04240516071401</c:v>
                </c:pt>
                <c:pt idx="1358">
                  <c:v>4.83923038995935</c:v>
                </c:pt>
                <c:pt idx="1359">
                  <c:v>5.31413969870893</c:v>
                </c:pt>
                <c:pt idx="1360">
                  <c:v>5.40383712518694</c:v>
                </c:pt>
                <c:pt idx="1361">
                  <c:v>5.42619281257968</c:v>
                </c:pt>
                <c:pt idx="1362">
                  <c:v>5.38798844155222</c:v>
                </c:pt>
                <c:pt idx="1363">
                  <c:v>4.8932751205165</c:v>
                </c:pt>
                <c:pt idx="1364">
                  <c:v>5.18433124769099</c:v>
                </c:pt>
                <c:pt idx="1365">
                  <c:v>5.38517948767338</c:v>
                </c:pt>
                <c:pt idx="1366">
                  <c:v>5.42115447145363</c:v>
                </c:pt>
                <c:pt idx="1367">
                  <c:v>5.41873730311273</c:v>
                </c:pt>
                <c:pt idx="1368">
                  <c:v>4.96978085927844</c:v>
                </c:pt>
                <c:pt idx="1369">
                  <c:v>4.83730337833496</c:v>
                </c:pt>
                <c:pt idx="1370">
                  <c:v>5.34223571283884</c:v>
                </c:pt>
                <c:pt idx="1371">
                  <c:v>5.41075190844095</c:v>
                </c:pt>
                <c:pt idx="1372">
                  <c:v>5.42629863942219</c:v>
                </c:pt>
                <c:pt idx="1373">
                  <c:v>5.33807828269962</c:v>
                </c:pt>
                <c:pt idx="1374">
                  <c:v>4.86393419768284</c:v>
                </c:pt>
                <c:pt idx="1375">
                  <c:v>5.2757198105939</c:v>
                </c:pt>
                <c:pt idx="1376">
                  <c:v>5.39571499577123</c:v>
                </c:pt>
                <c:pt idx="1377">
                  <c:v>5.42437257948829</c:v>
                </c:pt>
                <c:pt idx="1378">
                  <c:v>5.40823339095297</c:v>
                </c:pt>
                <c:pt idx="1379">
                  <c:v>4.92724955562134</c:v>
                </c:pt>
                <c:pt idx="1380">
                  <c:v>4.85818652428233</c:v>
                </c:pt>
                <c:pt idx="1381">
                  <c:v>5.36530309204314</c:v>
                </c:pt>
                <c:pt idx="1382">
                  <c:v>5.4165509848219</c:v>
                </c:pt>
                <c:pt idx="1383">
                  <c:v>5.42413332429986</c:v>
                </c:pt>
                <c:pt idx="1384">
                  <c:v>5.04240516071397</c:v>
                </c:pt>
                <c:pt idx="1385">
                  <c:v>4.83923038995928</c:v>
                </c:pt>
                <c:pt idx="1386">
                  <c:v>5.31413969870893</c:v>
                </c:pt>
                <c:pt idx="1387">
                  <c:v>5.40383712518694</c:v>
                </c:pt>
                <c:pt idx="1388">
                  <c:v>5.42619281257968</c:v>
                </c:pt>
                <c:pt idx="1389">
                  <c:v>5.38798844155224</c:v>
                </c:pt>
                <c:pt idx="1390">
                  <c:v>4.89327512051656</c:v>
                </c:pt>
                <c:pt idx="1391">
                  <c:v>5.18433124769093</c:v>
                </c:pt>
                <c:pt idx="1392">
                  <c:v>5.38517948767338</c:v>
                </c:pt>
                <c:pt idx="1393">
                  <c:v>5.42115447145362</c:v>
                </c:pt>
                <c:pt idx="1394">
                  <c:v>5.41873730311273</c:v>
                </c:pt>
                <c:pt idx="1395">
                  <c:v>4.96978085927844</c:v>
                </c:pt>
                <c:pt idx="1396">
                  <c:v>4.83730337833495</c:v>
                </c:pt>
                <c:pt idx="1397">
                  <c:v>5.34223571283884</c:v>
                </c:pt>
                <c:pt idx="1398">
                  <c:v>5.41075190844095</c:v>
                </c:pt>
                <c:pt idx="1399">
                  <c:v>5.42629863942219</c:v>
                </c:pt>
                <c:pt idx="1400">
                  <c:v>5.33807828269963</c:v>
                </c:pt>
                <c:pt idx="1401">
                  <c:v>4.86393419768284</c:v>
                </c:pt>
                <c:pt idx="1402">
                  <c:v>5.2757198105939</c:v>
                </c:pt>
                <c:pt idx="1403">
                  <c:v>5.39571499577123</c:v>
                </c:pt>
                <c:pt idx="1404">
                  <c:v>5.42437257948829</c:v>
                </c:pt>
                <c:pt idx="1405">
                  <c:v>5.40823339095297</c:v>
                </c:pt>
                <c:pt idx="1406">
                  <c:v>4.92724955562134</c:v>
                </c:pt>
                <c:pt idx="1407">
                  <c:v>4.85818652428234</c:v>
                </c:pt>
                <c:pt idx="1408">
                  <c:v>5.36530309204314</c:v>
                </c:pt>
                <c:pt idx="1409">
                  <c:v>5.4165509848219</c:v>
                </c:pt>
                <c:pt idx="1410">
                  <c:v>5.42413332429986</c:v>
                </c:pt>
                <c:pt idx="1411">
                  <c:v>5.04240516071391</c:v>
                </c:pt>
                <c:pt idx="1412">
                  <c:v>4.83923038995927</c:v>
                </c:pt>
                <c:pt idx="1413">
                  <c:v>5.31413969870893</c:v>
                </c:pt>
                <c:pt idx="1414">
                  <c:v>5.40383712518694</c:v>
                </c:pt>
                <c:pt idx="1415">
                  <c:v>5.42619281257968</c:v>
                </c:pt>
                <c:pt idx="1416">
                  <c:v>5.38798844155224</c:v>
                </c:pt>
                <c:pt idx="1417">
                  <c:v>4.89327512051655</c:v>
                </c:pt>
                <c:pt idx="1418">
                  <c:v>5.18433124769095</c:v>
                </c:pt>
                <c:pt idx="1419">
                  <c:v>5.38517948767338</c:v>
                </c:pt>
                <c:pt idx="1420">
                  <c:v>5.42115447145363</c:v>
                </c:pt>
                <c:pt idx="1421">
                  <c:v>5.41873730311272</c:v>
                </c:pt>
                <c:pt idx="1422">
                  <c:v>4.96978085927842</c:v>
                </c:pt>
                <c:pt idx="1423">
                  <c:v>4.83730337833495</c:v>
                </c:pt>
                <c:pt idx="1424">
                  <c:v>5.34223571283884</c:v>
                </c:pt>
                <c:pt idx="1425">
                  <c:v>5.41075190844095</c:v>
                </c:pt>
                <c:pt idx="1426">
                  <c:v>5.42629863942219</c:v>
                </c:pt>
                <c:pt idx="1427">
                  <c:v>5.33807828269966</c:v>
                </c:pt>
                <c:pt idx="1428">
                  <c:v>4.86393419768284</c:v>
                </c:pt>
                <c:pt idx="1429">
                  <c:v>5.2757198105939</c:v>
                </c:pt>
                <c:pt idx="1430">
                  <c:v>5.39571499577123</c:v>
                </c:pt>
                <c:pt idx="1431">
                  <c:v>5.42437257948829</c:v>
                </c:pt>
                <c:pt idx="1432">
                  <c:v>5.40823339095296</c:v>
                </c:pt>
                <c:pt idx="1433">
                  <c:v>4.92724955562133</c:v>
                </c:pt>
                <c:pt idx="1434">
                  <c:v>4.85818652428234</c:v>
                </c:pt>
                <c:pt idx="1435">
                  <c:v>5.36530309204314</c:v>
                </c:pt>
                <c:pt idx="1436">
                  <c:v>5.4165509848219</c:v>
                </c:pt>
                <c:pt idx="1437">
                  <c:v>5.42413332429986</c:v>
                </c:pt>
                <c:pt idx="1438">
                  <c:v>5.04240516071396</c:v>
                </c:pt>
                <c:pt idx="1439">
                  <c:v>4.83923038995928</c:v>
                </c:pt>
                <c:pt idx="1440">
                  <c:v>5.31413969870893</c:v>
                </c:pt>
                <c:pt idx="1441">
                  <c:v>5.40383712518694</c:v>
                </c:pt>
                <c:pt idx="1442">
                  <c:v>5.42619281257968</c:v>
                </c:pt>
                <c:pt idx="1443">
                  <c:v>5.38798844155222</c:v>
                </c:pt>
                <c:pt idx="1444">
                  <c:v>4.89327512051655</c:v>
                </c:pt>
                <c:pt idx="1445">
                  <c:v>5.18433124769099</c:v>
                </c:pt>
                <c:pt idx="1446">
                  <c:v>5.38517948767338</c:v>
                </c:pt>
                <c:pt idx="1447">
                  <c:v>5.42115447145363</c:v>
                </c:pt>
                <c:pt idx="1448">
                  <c:v>5.41873730311272</c:v>
                </c:pt>
                <c:pt idx="1449">
                  <c:v>4.96978085927842</c:v>
                </c:pt>
                <c:pt idx="1450">
                  <c:v>4.83730337833495</c:v>
                </c:pt>
                <c:pt idx="1451">
                  <c:v>5.34223571283884</c:v>
                </c:pt>
                <c:pt idx="1452">
                  <c:v>5.41075190844095</c:v>
                </c:pt>
                <c:pt idx="1453">
                  <c:v>5.42629863942219</c:v>
                </c:pt>
                <c:pt idx="1454">
                  <c:v>5.33807828269963</c:v>
                </c:pt>
                <c:pt idx="1455">
                  <c:v>4.86393419768284</c:v>
                </c:pt>
                <c:pt idx="1456">
                  <c:v>5.2757198105939</c:v>
                </c:pt>
                <c:pt idx="1457">
                  <c:v>5.39571499577123</c:v>
                </c:pt>
                <c:pt idx="1458">
                  <c:v>5.42437257948829</c:v>
                </c:pt>
                <c:pt idx="1459">
                  <c:v>5.40823339095297</c:v>
                </c:pt>
                <c:pt idx="1460">
                  <c:v>4.92724955562134</c:v>
                </c:pt>
                <c:pt idx="1461">
                  <c:v>4.85818652428233</c:v>
                </c:pt>
                <c:pt idx="1462">
                  <c:v>5.36530309204314</c:v>
                </c:pt>
                <c:pt idx="1463">
                  <c:v>5.4165509848219</c:v>
                </c:pt>
                <c:pt idx="1464">
                  <c:v>5.42413332429986</c:v>
                </c:pt>
                <c:pt idx="1465">
                  <c:v>5.04240516071399</c:v>
                </c:pt>
                <c:pt idx="1466">
                  <c:v>4.83923038995928</c:v>
                </c:pt>
                <c:pt idx="1467">
                  <c:v>5.31413969870892</c:v>
                </c:pt>
                <c:pt idx="1468">
                  <c:v>5.40383712518694</c:v>
                </c:pt>
                <c:pt idx="1469">
                  <c:v>5.42619281257968</c:v>
                </c:pt>
                <c:pt idx="1470">
                  <c:v>5.38798844155224</c:v>
                </c:pt>
                <c:pt idx="1471">
                  <c:v>4.8932751205165</c:v>
                </c:pt>
                <c:pt idx="1472">
                  <c:v>5.18433124769095</c:v>
                </c:pt>
                <c:pt idx="1473">
                  <c:v>5.38517948767338</c:v>
                </c:pt>
                <c:pt idx="1474">
                  <c:v>5.42115447145363</c:v>
                </c:pt>
                <c:pt idx="1475">
                  <c:v>5.41873730311273</c:v>
                </c:pt>
                <c:pt idx="1476">
                  <c:v>4.96978085927845</c:v>
                </c:pt>
                <c:pt idx="1477">
                  <c:v>4.83730337833495</c:v>
                </c:pt>
                <c:pt idx="1478">
                  <c:v>5.34223571283884</c:v>
                </c:pt>
                <c:pt idx="1479">
                  <c:v>5.41075190844095</c:v>
                </c:pt>
                <c:pt idx="1480">
                  <c:v>5.42629863942219</c:v>
                </c:pt>
                <c:pt idx="1481">
                  <c:v>5.33807828269963</c:v>
                </c:pt>
                <c:pt idx="1482">
                  <c:v>4.86393419768284</c:v>
                </c:pt>
                <c:pt idx="1483">
                  <c:v>5.2757198105939</c:v>
                </c:pt>
                <c:pt idx="1484">
                  <c:v>5.39571499577123</c:v>
                </c:pt>
                <c:pt idx="1485">
                  <c:v>5.42437257948829</c:v>
                </c:pt>
                <c:pt idx="1486">
                  <c:v>5.40823339095297</c:v>
                </c:pt>
                <c:pt idx="1487">
                  <c:v>4.92724955562134</c:v>
                </c:pt>
                <c:pt idx="1488">
                  <c:v>4.85818652428234</c:v>
                </c:pt>
                <c:pt idx="1489">
                  <c:v>5.36530309204314</c:v>
                </c:pt>
                <c:pt idx="1490">
                  <c:v>5.4165509848219</c:v>
                </c:pt>
                <c:pt idx="1491">
                  <c:v>5.42413332429986</c:v>
                </c:pt>
                <c:pt idx="1492">
                  <c:v>5.04240516071394</c:v>
                </c:pt>
                <c:pt idx="1493">
                  <c:v>4.83923038995934</c:v>
                </c:pt>
                <c:pt idx="1494">
                  <c:v>5.31413969870893</c:v>
                </c:pt>
                <c:pt idx="1495">
                  <c:v>5.40383712518694</c:v>
                </c:pt>
                <c:pt idx="1496">
                  <c:v>5.42619281257968</c:v>
                </c:pt>
                <c:pt idx="1497">
                  <c:v>5.38798844155223</c:v>
                </c:pt>
                <c:pt idx="1498">
                  <c:v>4.89327512051655</c:v>
                </c:pt>
                <c:pt idx="1499">
                  <c:v>5.18433124769098</c:v>
                </c:pt>
                <c:pt idx="1500">
                  <c:v>5.38517948767338</c:v>
                </c:pt>
                <c:pt idx="1501">
                  <c:v>5.42115447145363</c:v>
                </c:pt>
                <c:pt idx="1502">
                  <c:v>5.41873730311272</c:v>
                </c:pt>
                <c:pt idx="1503">
                  <c:v>4.96978085927842</c:v>
                </c:pt>
                <c:pt idx="1504">
                  <c:v>4.83730337833495</c:v>
                </c:pt>
                <c:pt idx="1505">
                  <c:v>5.34223571283884</c:v>
                </c:pt>
                <c:pt idx="1506">
                  <c:v>5.41075190844095</c:v>
                </c:pt>
                <c:pt idx="1507">
                  <c:v>5.42629863942219</c:v>
                </c:pt>
                <c:pt idx="1508">
                  <c:v>5.33807828269963</c:v>
                </c:pt>
                <c:pt idx="1509">
                  <c:v>4.86393419768284</c:v>
                </c:pt>
                <c:pt idx="1510">
                  <c:v>5.2757198105939</c:v>
                </c:pt>
                <c:pt idx="1511">
                  <c:v>5.39571499577123</c:v>
                </c:pt>
                <c:pt idx="1512">
                  <c:v>5.42437257948829</c:v>
                </c:pt>
                <c:pt idx="1513">
                  <c:v>5.40823339095296</c:v>
                </c:pt>
                <c:pt idx="1514">
                  <c:v>4.92724955562133</c:v>
                </c:pt>
                <c:pt idx="1515">
                  <c:v>4.85818652428234</c:v>
                </c:pt>
                <c:pt idx="1516">
                  <c:v>5.36530309204314</c:v>
                </c:pt>
                <c:pt idx="1517">
                  <c:v>5.4165509848219</c:v>
                </c:pt>
                <c:pt idx="1518">
                  <c:v>5.42413332429987</c:v>
                </c:pt>
                <c:pt idx="1519">
                  <c:v>5.04240516071402</c:v>
                </c:pt>
                <c:pt idx="1520">
                  <c:v>4.83923038995928</c:v>
                </c:pt>
                <c:pt idx="1521">
                  <c:v>5.31413969870892</c:v>
                </c:pt>
                <c:pt idx="1522">
                  <c:v>5.40383712518694</c:v>
                </c:pt>
                <c:pt idx="1523">
                  <c:v>5.42619281257968</c:v>
                </c:pt>
                <c:pt idx="1524">
                  <c:v>5.38798844155224</c:v>
                </c:pt>
                <c:pt idx="1525">
                  <c:v>4.89327512051655</c:v>
                </c:pt>
                <c:pt idx="1526">
                  <c:v>5.18433124769095</c:v>
                </c:pt>
                <c:pt idx="1527">
                  <c:v>5.38517948767338</c:v>
                </c:pt>
                <c:pt idx="1528">
                  <c:v>5.42115447145362</c:v>
                </c:pt>
                <c:pt idx="1529">
                  <c:v>5.41873730311273</c:v>
                </c:pt>
                <c:pt idx="1530">
                  <c:v>4.96978085927844</c:v>
                </c:pt>
                <c:pt idx="1531">
                  <c:v>4.83730337833495</c:v>
                </c:pt>
                <c:pt idx="1532">
                  <c:v>5.34223571283884</c:v>
                </c:pt>
                <c:pt idx="1533">
                  <c:v>5.41075190844095</c:v>
                </c:pt>
                <c:pt idx="1534">
                  <c:v>5.42629863942219</c:v>
                </c:pt>
                <c:pt idx="1535">
                  <c:v>5.33807828269968</c:v>
                </c:pt>
                <c:pt idx="1536">
                  <c:v>4.86393419768291</c:v>
                </c:pt>
                <c:pt idx="1537">
                  <c:v>5.27571981059389</c:v>
                </c:pt>
                <c:pt idx="1538">
                  <c:v>5.39571499577123</c:v>
                </c:pt>
                <c:pt idx="1539">
                  <c:v>5.42437257948829</c:v>
                </c:pt>
                <c:pt idx="1540">
                  <c:v>5.40823339095296</c:v>
                </c:pt>
                <c:pt idx="1541">
                  <c:v>4.92724955562133</c:v>
                </c:pt>
                <c:pt idx="1542">
                  <c:v>4.85818652428234</c:v>
                </c:pt>
                <c:pt idx="1543">
                  <c:v>5.36530309204314</c:v>
                </c:pt>
                <c:pt idx="1544">
                  <c:v>5.4165509848219</c:v>
                </c:pt>
                <c:pt idx="1545">
                  <c:v>5.42413332429986</c:v>
                </c:pt>
                <c:pt idx="1546">
                  <c:v>5.04240516071399</c:v>
                </c:pt>
                <c:pt idx="1547">
                  <c:v>4.83923038995935</c:v>
                </c:pt>
                <c:pt idx="1548">
                  <c:v>5.31413969870893</c:v>
                </c:pt>
                <c:pt idx="1549">
                  <c:v>5.40383712518694</c:v>
                </c:pt>
                <c:pt idx="1550">
                  <c:v>5.42619281257968</c:v>
                </c:pt>
                <c:pt idx="1551">
                  <c:v>5.38798844155222</c:v>
                </c:pt>
                <c:pt idx="1552">
                  <c:v>4.8932751205165</c:v>
                </c:pt>
                <c:pt idx="1553">
                  <c:v>5.18433124769099</c:v>
                </c:pt>
                <c:pt idx="1554">
                  <c:v>5.38517948767338</c:v>
                </c:pt>
                <c:pt idx="1555">
                  <c:v>5.42115447145363</c:v>
                </c:pt>
                <c:pt idx="1556">
                  <c:v>5.41873730311273</c:v>
                </c:pt>
                <c:pt idx="1557">
                  <c:v>4.96978085927842</c:v>
                </c:pt>
                <c:pt idx="1558">
                  <c:v>4.837303378335</c:v>
                </c:pt>
                <c:pt idx="1559">
                  <c:v>5.34223571283884</c:v>
                </c:pt>
                <c:pt idx="1560">
                  <c:v>5.41075190844095</c:v>
                </c:pt>
                <c:pt idx="1561">
                  <c:v>5.42629863942219</c:v>
                </c:pt>
                <c:pt idx="1562">
                  <c:v>5.33807828269963</c:v>
                </c:pt>
                <c:pt idx="1563">
                  <c:v>4.8639341976829</c:v>
                </c:pt>
                <c:pt idx="1564">
                  <c:v>5.2757198105939</c:v>
                </c:pt>
                <c:pt idx="1565">
                  <c:v>5.39571499577123</c:v>
                </c:pt>
                <c:pt idx="1566">
                  <c:v>5.42437257948829</c:v>
                </c:pt>
                <c:pt idx="1567">
                  <c:v>5.40823339095296</c:v>
                </c:pt>
                <c:pt idx="1568">
                  <c:v>4.92724955562133</c:v>
                </c:pt>
                <c:pt idx="1569">
                  <c:v>4.85818652428235</c:v>
                </c:pt>
                <c:pt idx="1570">
                  <c:v>5.36530309204314</c:v>
                </c:pt>
                <c:pt idx="1571">
                  <c:v>5.4165509848219</c:v>
                </c:pt>
                <c:pt idx="1572">
                  <c:v>5.42413332429986</c:v>
                </c:pt>
                <c:pt idx="1573">
                  <c:v>5.04240516071395</c:v>
                </c:pt>
                <c:pt idx="1574">
                  <c:v>4.83923038995928</c:v>
                </c:pt>
                <c:pt idx="1575">
                  <c:v>5.31413969870893</c:v>
                </c:pt>
                <c:pt idx="1576">
                  <c:v>5.40383712518694</c:v>
                </c:pt>
                <c:pt idx="1577">
                  <c:v>5.42619281257968</c:v>
                </c:pt>
                <c:pt idx="1578">
                  <c:v>5.38798844155224</c:v>
                </c:pt>
                <c:pt idx="1579">
                  <c:v>4.89327512051656</c:v>
                </c:pt>
                <c:pt idx="1580">
                  <c:v>5.18433124769092</c:v>
                </c:pt>
                <c:pt idx="1581">
                  <c:v>5.38517948767338</c:v>
                </c:pt>
                <c:pt idx="1582">
                  <c:v>5.42115447145362</c:v>
                </c:pt>
                <c:pt idx="1583">
                  <c:v>5.41873730311273</c:v>
                </c:pt>
                <c:pt idx="1584">
                  <c:v>4.96978085927844</c:v>
                </c:pt>
                <c:pt idx="1585">
                  <c:v>4.83730337833495</c:v>
                </c:pt>
                <c:pt idx="1586">
                  <c:v>5.34223571283884</c:v>
                </c:pt>
                <c:pt idx="1587">
                  <c:v>5.41075190844095</c:v>
                </c:pt>
                <c:pt idx="1588">
                  <c:v>5.42629863942219</c:v>
                </c:pt>
                <c:pt idx="1589">
                  <c:v>5.33807828269967</c:v>
                </c:pt>
                <c:pt idx="1590">
                  <c:v>4.86393419768284</c:v>
                </c:pt>
                <c:pt idx="1591">
                  <c:v>5.2757198105939</c:v>
                </c:pt>
                <c:pt idx="1592">
                  <c:v>5.39571499577123</c:v>
                </c:pt>
                <c:pt idx="1593">
                  <c:v>5.42437257948829</c:v>
                </c:pt>
                <c:pt idx="1594">
                  <c:v>5.40823339095297</c:v>
                </c:pt>
                <c:pt idx="1595">
                  <c:v>4.92724955562134</c:v>
                </c:pt>
                <c:pt idx="1596">
                  <c:v>4.85818652428233</c:v>
                </c:pt>
                <c:pt idx="1597">
                  <c:v>5.36530309204314</c:v>
                </c:pt>
                <c:pt idx="1598">
                  <c:v>5.4165509848219</c:v>
                </c:pt>
                <c:pt idx="1599">
                  <c:v>5.42413332429986</c:v>
                </c:pt>
                <c:pt idx="1600">
                  <c:v>5.04240516071395</c:v>
                </c:pt>
                <c:pt idx="1601">
                  <c:v>4.83923038995928</c:v>
                </c:pt>
                <c:pt idx="1602">
                  <c:v>5.31413969870893</c:v>
                </c:pt>
                <c:pt idx="1603">
                  <c:v>5.40383712518694</c:v>
                </c:pt>
                <c:pt idx="1604">
                  <c:v>5.42619281257968</c:v>
                </c:pt>
                <c:pt idx="1605">
                  <c:v>5.38798844155223</c:v>
                </c:pt>
                <c:pt idx="1606">
                  <c:v>4.89327512051655</c:v>
                </c:pt>
                <c:pt idx="1607">
                  <c:v>5.18433124769096</c:v>
                </c:pt>
                <c:pt idx="1608">
                  <c:v>5.38517948767338</c:v>
                </c:pt>
                <c:pt idx="1609">
                  <c:v>5.42115447145363</c:v>
                </c:pt>
                <c:pt idx="1610">
                  <c:v>5.41873730311272</c:v>
                </c:pt>
                <c:pt idx="1611">
                  <c:v>4.96978085927842</c:v>
                </c:pt>
                <c:pt idx="1612">
                  <c:v>4.83730337833495</c:v>
                </c:pt>
                <c:pt idx="1613">
                  <c:v>5.34223571283884</c:v>
                </c:pt>
                <c:pt idx="1614">
                  <c:v>5.41075190844095</c:v>
                </c:pt>
                <c:pt idx="1615">
                  <c:v>5.42629863942219</c:v>
                </c:pt>
                <c:pt idx="1616">
                  <c:v>5.33807828269964</c:v>
                </c:pt>
                <c:pt idx="1617">
                  <c:v>4.86393419768284</c:v>
                </c:pt>
                <c:pt idx="1618">
                  <c:v>5.2757198105939</c:v>
                </c:pt>
                <c:pt idx="1619">
                  <c:v>5.39571499577123</c:v>
                </c:pt>
                <c:pt idx="1620">
                  <c:v>5.42437257948829</c:v>
                </c:pt>
                <c:pt idx="1621">
                  <c:v>5.40823339095296</c:v>
                </c:pt>
                <c:pt idx="1622">
                  <c:v>4.92724955562133</c:v>
                </c:pt>
                <c:pt idx="1623">
                  <c:v>4.85818652428235</c:v>
                </c:pt>
                <c:pt idx="1624">
                  <c:v>5.36530309204314</c:v>
                </c:pt>
                <c:pt idx="1625">
                  <c:v>5.4165509848219</c:v>
                </c:pt>
                <c:pt idx="1626">
                  <c:v>5.42413332429986</c:v>
                </c:pt>
                <c:pt idx="1627">
                  <c:v>5.04240516071395</c:v>
                </c:pt>
                <c:pt idx="1628">
                  <c:v>4.83923038995935</c:v>
                </c:pt>
                <c:pt idx="1629">
                  <c:v>5.31413969870893</c:v>
                </c:pt>
                <c:pt idx="1630">
                  <c:v>5.40383712518694</c:v>
                </c:pt>
                <c:pt idx="1631">
                  <c:v>5.42619281257968</c:v>
                </c:pt>
                <c:pt idx="1632">
                  <c:v>5.38798844155222</c:v>
                </c:pt>
                <c:pt idx="1633">
                  <c:v>4.8932751205165</c:v>
                </c:pt>
                <c:pt idx="1634">
                  <c:v>5.18433124769099</c:v>
                </c:pt>
                <c:pt idx="1635">
                  <c:v>5.38517948767338</c:v>
                </c:pt>
                <c:pt idx="1636">
                  <c:v>5.42115447145362</c:v>
                </c:pt>
                <c:pt idx="1637">
                  <c:v>5.41873730311273</c:v>
                </c:pt>
                <c:pt idx="1638">
                  <c:v>4.96978085927845</c:v>
                </c:pt>
                <c:pt idx="1639">
                  <c:v>4.83730337833495</c:v>
                </c:pt>
                <c:pt idx="1640">
                  <c:v>5.34223571283884</c:v>
                </c:pt>
                <c:pt idx="1641">
                  <c:v>5.41075190844095</c:v>
                </c:pt>
                <c:pt idx="1642">
                  <c:v>5.42629863942219</c:v>
                </c:pt>
                <c:pt idx="1643">
                  <c:v>5.33807828269967</c:v>
                </c:pt>
                <c:pt idx="1644">
                  <c:v>4.86393419768285</c:v>
                </c:pt>
                <c:pt idx="1645">
                  <c:v>5.27571981059389</c:v>
                </c:pt>
                <c:pt idx="1646">
                  <c:v>5.39571499577123</c:v>
                </c:pt>
                <c:pt idx="1647">
                  <c:v>5.42437257948829</c:v>
                </c:pt>
                <c:pt idx="1648">
                  <c:v>5.40823339095297</c:v>
                </c:pt>
                <c:pt idx="1649">
                  <c:v>4.92724955562134</c:v>
                </c:pt>
                <c:pt idx="1650">
                  <c:v>4.85818652428233</c:v>
                </c:pt>
                <c:pt idx="1651">
                  <c:v>5.36530309204314</c:v>
                </c:pt>
                <c:pt idx="1652">
                  <c:v>5.4165509848219</c:v>
                </c:pt>
                <c:pt idx="1653">
                  <c:v>5.42413332429987</c:v>
                </c:pt>
                <c:pt idx="1654">
                  <c:v>5.04240516071401</c:v>
                </c:pt>
                <c:pt idx="1655">
                  <c:v>4.83923038995929</c:v>
                </c:pt>
                <c:pt idx="1656">
                  <c:v>5.31413969870892</c:v>
                </c:pt>
                <c:pt idx="1657">
                  <c:v>5.40383712518694</c:v>
                </c:pt>
                <c:pt idx="1658">
                  <c:v>5.42619281257968</c:v>
                </c:pt>
                <c:pt idx="1659">
                  <c:v>5.38798844155222</c:v>
                </c:pt>
                <c:pt idx="1660">
                  <c:v>4.89327512051655</c:v>
                </c:pt>
                <c:pt idx="1661">
                  <c:v>5.18433124769098</c:v>
                </c:pt>
                <c:pt idx="1662">
                  <c:v>5.38517948767338</c:v>
                </c:pt>
                <c:pt idx="1663">
                  <c:v>5.42115447145363</c:v>
                </c:pt>
                <c:pt idx="1664">
                  <c:v>5.41873730311273</c:v>
                </c:pt>
                <c:pt idx="1665">
                  <c:v>4.96978085927843</c:v>
                </c:pt>
                <c:pt idx="1666">
                  <c:v>4.83730337833495</c:v>
                </c:pt>
                <c:pt idx="1667">
                  <c:v>5.34223571283884</c:v>
                </c:pt>
                <c:pt idx="1668">
                  <c:v>5.41075190844095</c:v>
                </c:pt>
                <c:pt idx="1669">
                  <c:v>5.42629863942219</c:v>
                </c:pt>
                <c:pt idx="1670">
                  <c:v>5.33807828269962</c:v>
                </c:pt>
                <c:pt idx="1671">
                  <c:v>4.86393419768284</c:v>
                </c:pt>
                <c:pt idx="1672">
                  <c:v>5.27571981059391</c:v>
                </c:pt>
                <c:pt idx="1673">
                  <c:v>5.39571499577123</c:v>
                </c:pt>
                <c:pt idx="1674">
                  <c:v>5.42437257948829</c:v>
                </c:pt>
                <c:pt idx="1675">
                  <c:v>5.40823339095296</c:v>
                </c:pt>
                <c:pt idx="1676">
                  <c:v>4.92724955562134</c:v>
                </c:pt>
                <c:pt idx="1677">
                  <c:v>4.85818652428235</c:v>
                </c:pt>
                <c:pt idx="1678">
                  <c:v>5.36530309204314</c:v>
                </c:pt>
                <c:pt idx="1679">
                  <c:v>5.4165509848219</c:v>
                </c:pt>
                <c:pt idx="1680">
                  <c:v>5.42413332429986</c:v>
                </c:pt>
                <c:pt idx="1681">
                  <c:v>5.04240516071394</c:v>
                </c:pt>
                <c:pt idx="1682">
                  <c:v>4.83923038995928</c:v>
                </c:pt>
                <c:pt idx="1683">
                  <c:v>5.31413969870893</c:v>
                </c:pt>
                <c:pt idx="1684">
                  <c:v>5.40383712518694</c:v>
                </c:pt>
                <c:pt idx="1685">
                  <c:v>5.42619281257968</c:v>
                </c:pt>
                <c:pt idx="1686">
                  <c:v>5.38798844155222</c:v>
                </c:pt>
                <c:pt idx="1687">
                  <c:v>4.89327512051655</c:v>
                </c:pt>
                <c:pt idx="1688">
                  <c:v>5.18433124769099</c:v>
                </c:pt>
                <c:pt idx="1689">
                  <c:v>5.38517948767338</c:v>
                </c:pt>
                <c:pt idx="1690">
                  <c:v>5.42115447145363</c:v>
                </c:pt>
                <c:pt idx="1691">
                  <c:v>5.41873730311272</c:v>
                </c:pt>
                <c:pt idx="1692">
                  <c:v>4.96978085927842</c:v>
                </c:pt>
                <c:pt idx="1693">
                  <c:v>4.83730337833494</c:v>
                </c:pt>
                <c:pt idx="1694">
                  <c:v>5.34223571283884</c:v>
                </c:pt>
                <c:pt idx="1695">
                  <c:v>5.41075190844095</c:v>
                </c:pt>
                <c:pt idx="1696">
                  <c:v>5.42629863942219</c:v>
                </c:pt>
                <c:pt idx="1697">
                  <c:v>5.33807828269969</c:v>
                </c:pt>
                <c:pt idx="1698">
                  <c:v>4.86393419768285</c:v>
                </c:pt>
                <c:pt idx="1699">
                  <c:v>5.27571981059389</c:v>
                </c:pt>
              </c:numCache>
            </c:numRef>
          </c:yVal>
          <c:smooth val="0"/>
        </c:ser>
        <c:ser>
          <c:idx val="1"/>
          <c:order val="1"/>
          <c:tx>
            <c:strRef>
              <c:f>"IMC PI"</c:f>
              <c:strCache>
                <c:ptCount val="1"/>
                <c:pt idx="0">
                  <c:v>IMC PI</c:v>
                </c:pt>
              </c:strCache>
            </c:strRef>
          </c:tx>
          <c:spPr>
            <a:solidFill>
              <a:srgbClr val="d62728"/>
            </a:solidFill>
            <a:ln w="18000">
              <a:solidFill>
                <a:srgbClr val="d6272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12_Traces!$H$5:$H$1704</c:f>
              <c:numCache>
                <c:formatCode>0.0000</c:formatCode>
                <c:ptCount val="170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5.12975809279009</c:v>
                </c:pt>
                <c:pt idx="202">
                  <c:v>5.15521909030388</c:v>
                </c:pt>
                <c:pt idx="203">
                  <c:v>5.17540508161054</c:v>
                </c:pt>
                <c:pt idx="204">
                  <c:v>5.19419370952148</c:v>
                </c:pt>
                <c:pt idx="205">
                  <c:v>5.21204097278394</c:v>
                </c:pt>
                <c:pt idx="206">
                  <c:v>5.22908033450431</c:v>
                </c:pt>
                <c:pt idx="207">
                  <c:v>5.2453233254435</c:v>
                </c:pt>
                <c:pt idx="208">
                  <c:v>5.26070354591305</c:v>
                </c:pt>
                <c:pt idx="209">
                  <c:v>5.27508116472558</c:v>
                </c:pt>
                <c:pt idx="210">
                  <c:v>5.28822067643961</c:v>
                </c:pt>
                <c:pt idx="211">
                  <c:v>5.29972931169147</c:v>
                </c:pt>
                <c:pt idx="212">
                  <c:v>5.30890179250369</c:v>
                </c:pt>
                <c:pt idx="213">
                  <c:v>5.31425607976412</c:v>
                </c:pt>
                <c:pt idx="214">
                  <c:v>5.31146487866711</c:v>
                </c:pt>
                <c:pt idx="215">
                  <c:v>5.23543730608023</c:v>
                </c:pt>
                <c:pt idx="216">
                  <c:v>5.1377023923967</c:v>
                </c:pt>
                <c:pt idx="217">
                  <c:v>5.29116009722863</c:v>
                </c:pt>
                <c:pt idx="218">
                  <c:v>5.32879149349507</c:v>
                </c:pt>
                <c:pt idx="219">
                  <c:v>5.31644682960057</c:v>
                </c:pt>
                <c:pt idx="220">
                  <c:v>5.15822512443827</c:v>
                </c:pt>
                <c:pt idx="221">
                  <c:v>5.15233458519402</c:v>
                </c:pt>
                <c:pt idx="222">
                  <c:v>5.32207865971301</c:v>
                </c:pt>
                <c:pt idx="223">
                  <c:v>5.33521095317804</c:v>
                </c:pt>
                <c:pt idx="224">
                  <c:v>5.19064704875753</c:v>
                </c:pt>
                <c:pt idx="225">
                  <c:v>5.14688631274679</c:v>
                </c:pt>
                <c:pt idx="226">
                  <c:v>5.28634614531656</c:v>
                </c:pt>
                <c:pt idx="227">
                  <c:v>5.34134439889926</c:v>
                </c:pt>
                <c:pt idx="228">
                  <c:v>5.32230168147287</c:v>
                </c:pt>
                <c:pt idx="229">
                  <c:v>5.16004857870855</c:v>
                </c:pt>
                <c:pt idx="230">
                  <c:v>5.15923293308179</c:v>
                </c:pt>
                <c:pt idx="231">
                  <c:v>5.32713525245464</c:v>
                </c:pt>
                <c:pt idx="232">
                  <c:v>5.34123049522188</c:v>
                </c:pt>
                <c:pt idx="233">
                  <c:v>5.18524891274563</c:v>
                </c:pt>
                <c:pt idx="234">
                  <c:v>5.1516868673721</c:v>
                </c:pt>
                <c:pt idx="235">
                  <c:v>5.2908528965796</c:v>
                </c:pt>
                <c:pt idx="236">
                  <c:v>5.3451069294665</c:v>
                </c:pt>
                <c:pt idx="237">
                  <c:v>5.31710776628244</c:v>
                </c:pt>
                <c:pt idx="238">
                  <c:v>5.1589453918708</c:v>
                </c:pt>
                <c:pt idx="239">
                  <c:v>5.16552665227145</c:v>
                </c:pt>
                <c:pt idx="240">
                  <c:v>5.3323820569971</c:v>
                </c:pt>
                <c:pt idx="241">
                  <c:v>5.34057299672607</c:v>
                </c:pt>
                <c:pt idx="242">
                  <c:v>5.17708225061687</c:v>
                </c:pt>
                <c:pt idx="243">
                  <c:v>5.15448972819952</c:v>
                </c:pt>
                <c:pt idx="244">
                  <c:v>5.30788999320404</c:v>
                </c:pt>
                <c:pt idx="245">
                  <c:v>5.34592874105712</c:v>
                </c:pt>
                <c:pt idx="246">
                  <c:v>5.23757691841432</c:v>
                </c:pt>
                <c:pt idx="247">
                  <c:v>5.15458751343406</c:v>
                </c:pt>
                <c:pt idx="248">
                  <c:v>5.17902226211922</c:v>
                </c:pt>
                <c:pt idx="249">
                  <c:v>5.33903982466695</c:v>
                </c:pt>
                <c:pt idx="250">
                  <c:v>5.33522911419638</c:v>
                </c:pt>
                <c:pt idx="251">
                  <c:v>5.16855744141349</c:v>
                </c:pt>
                <c:pt idx="252">
                  <c:v>5.15775589819523</c:v>
                </c:pt>
                <c:pt idx="253">
                  <c:v>5.32061106466207</c:v>
                </c:pt>
                <c:pt idx="254">
                  <c:v>5.34531959302642</c:v>
                </c:pt>
                <c:pt idx="255">
                  <c:v>5.19737765411211</c:v>
                </c:pt>
                <c:pt idx="256">
                  <c:v>5.15306622056247</c:v>
                </c:pt>
                <c:pt idx="257">
                  <c:v>5.20740173276292</c:v>
                </c:pt>
                <c:pt idx="258">
                  <c:v>5.34270661207058</c:v>
                </c:pt>
                <c:pt idx="259">
                  <c:v>5.33091029752534</c:v>
                </c:pt>
                <c:pt idx="260">
                  <c:v>5.16520072169476</c:v>
                </c:pt>
                <c:pt idx="261">
                  <c:v>5.1594094860815</c:v>
                </c:pt>
                <c:pt idx="262">
                  <c:v>5.32453755001129</c:v>
                </c:pt>
                <c:pt idx="263">
                  <c:v>5.34468112686999</c:v>
                </c:pt>
                <c:pt idx="264">
                  <c:v>5.19011335917821</c:v>
                </c:pt>
                <c:pt idx="265">
                  <c:v>5.15358564236394</c:v>
                </c:pt>
                <c:pt idx="266">
                  <c:v>5.27434640282711</c:v>
                </c:pt>
                <c:pt idx="267">
                  <c:v>5.34562298889647</c:v>
                </c:pt>
                <c:pt idx="268">
                  <c:v>5.31880731698237</c:v>
                </c:pt>
                <c:pt idx="269">
                  <c:v>5.16018381301736</c:v>
                </c:pt>
                <c:pt idx="270">
                  <c:v>5.16545421069891</c:v>
                </c:pt>
                <c:pt idx="271">
                  <c:v>5.33223486476204</c:v>
                </c:pt>
                <c:pt idx="272">
                  <c:v>5.34146640742748</c:v>
                </c:pt>
                <c:pt idx="273">
                  <c:v>5.1777484972242</c:v>
                </c:pt>
                <c:pt idx="274">
                  <c:v>5.15500632795939</c:v>
                </c:pt>
                <c:pt idx="275">
                  <c:v>5.30693523558213</c:v>
                </c:pt>
                <c:pt idx="276">
                  <c:v>5.34641830229345</c:v>
                </c:pt>
                <c:pt idx="277">
                  <c:v>5.2402507436745</c:v>
                </c:pt>
                <c:pt idx="278">
                  <c:v>5.15505067000566</c:v>
                </c:pt>
                <c:pt idx="279">
                  <c:v>5.17792787428177</c:v>
                </c:pt>
                <c:pt idx="280">
                  <c:v>5.33879682833796</c:v>
                </c:pt>
                <c:pt idx="281">
                  <c:v>5.33610131345385</c:v>
                </c:pt>
                <c:pt idx="282">
                  <c:v>5.16945882399226</c:v>
                </c:pt>
                <c:pt idx="283">
                  <c:v>5.15728544338799</c:v>
                </c:pt>
                <c:pt idx="284">
                  <c:v>5.31861584149651</c:v>
                </c:pt>
                <c:pt idx="285">
                  <c:v>5.34619176620637</c:v>
                </c:pt>
                <c:pt idx="286">
                  <c:v>5.20492148555415</c:v>
                </c:pt>
                <c:pt idx="287">
                  <c:v>5.15317375904252</c:v>
                </c:pt>
                <c:pt idx="288">
                  <c:v>5.18874251166048</c:v>
                </c:pt>
                <c:pt idx="289">
                  <c:v>5.34120991969913</c:v>
                </c:pt>
                <c:pt idx="290">
                  <c:v>5.33314749130001</c:v>
                </c:pt>
                <c:pt idx="291">
                  <c:v>5.16659057531583</c:v>
                </c:pt>
                <c:pt idx="292">
                  <c:v>5.15901048253092</c:v>
                </c:pt>
                <c:pt idx="293">
                  <c:v>5.32347511342423</c:v>
                </c:pt>
                <c:pt idx="294">
                  <c:v>5.34480674162697</c:v>
                </c:pt>
                <c:pt idx="295">
                  <c:v>5.19121637007557</c:v>
                </c:pt>
                <c:pt idx="296">
                  <c:v>5.15363268045805</c:v>
                </c:pt>
                <c:pt idx="297">
                  <c:v>5.27041737572201</c:v>
                </c:pt>
                <c:pt idx="298">
                  <c:v>5.34544621068063</c:v>
                </c:pt>
                <c:pt idx="299">
                  <c:v>5.31968393440711</c:v>
                </c:pt>
                <c:pt idx="300">
                  <c:v>5.16042965035812</c:v>
                </c:pt>
                <c:pt idx="301">
                  <c:v>5.16515648600362</c:v>
                </c:pt>
                <c:pt idx="302">
                  <c:v>5.33195114821853</c:v>
                </c:pt>
                <c:pt idx="303">
                  <c:v>5.34164467093929</c:v>
                </c:pt>
                <c:pt idx="304">
                  <c:v>5.17817977097025</c:v>
                </c:pt>
                <c:pt idx="305">
                  <c:v>5.15491342198074</c:v>
                </c:pt>
                <c:pt idx="306">
                  <c:v>5.30603567948423</c:v>
                </c:pt>
                <c:pt idx="307">
                  <c:v>5.34648123184859</c:v>
                </c:pt>
                <c:pt idx="308">
                  <c:v>5.24946673461345</c:v>
                </c:pt>
                <c:pt idx="309">
                  <c:v>5.15542499945282</c:v>
                </c:pt>
                <c:pt idx="310">
                  <c:v>5.17602787376132</c:v>
                </c:pt>
                <c:pt idx="311">
                  <c:v>5.33794528939336</c:v>
                </c:pt>
                <c:pt idx="312">
                  <c:v>5.33766461555083</c:v>
                </c:pt>
                <c:pt idx="313">
                  <c:v>5.17142677407218</c:v>
                </c:pt>
                <c:pt idx="314">
                  <c:v>5.15595918113294</c:v>
                </c:pt>
                <c:pt idx="315">
                  <c:v>5.31437485698265</c:v>
                </c:pt>
                <c:pt idx="316">
                  <c:v>5.34652806747303</c:v>
                </c:pt>
                <c:pt idx="317">
                  <c:v>5.21586846748999</c:v>
                </c:pt>
                <c:pt idx="318">
                  <c:v>5.15380502089991</c:v>
                </c:pt>
                <c:pt idx="319">
                  <c:v>5.18368718071757</c:v>
                </c:pt>
                <c:pt idx="320">
                  <c:v>5.34038508261706</c:v>
                </c:pt>
                <c:pt idx="321">
                  <c:v>5.33392432860406</c:v>
                </c:pt>
                <c:pt idx="322">
                  <c:v>5.16722022683722</c:v>
                </c:pt>
                <c:pt idx="323">
                  <c:v>5.15879055864849</c:v>
                </c:pt>
                <c:pt idx="324">
                  <c:v>5.3229003274212</c:v>
                </c:pt>
                <c:pt idx="325">
                  <c:v>5.34488107237579</c:v>
                </c:pt>
                <c:pt idx="326">
                  <c:v>5.19197499142932</c:v>
                </c:pt>
                <c:pt idx="327">
                  <c:v>5.15362798264393</c:v>
                </c:pt>
                <c:pt idx="328">
                  <c:v>5.26693048473304</c:v>
                </c:pt>
                <c:pt idx="329">
                  <c:v>5.34527970755555</c:v>
                </c:pt>
                <c:pt idx="330">
                  <c:v>5.32048425253969</c:v>
                </c:pt>
                <c:pt idx="331">
                  <c:v>5.16066355963963</c:v>
                </c:pt>
                <c:pt idx="332">
                  <c:v>5.16481763789966</c:v>
                </c:pt>
                <c:pt idx="333">
                  <c:v>5.33161249843436</c:v>
                </c:pt>
                <c:pt idx="334">
                  <c:v>5.34186667137593</c:v>
                </c:pt>
                <c:pt idx="335">
                  <c:v>5.17877831228991</c:v>
                </c:pt>
                <c:pt idx="336">
                  <c:v>5.15473542533692</c:v>
                </c:pt>
                <c:pt idx="337">
                  <c:v>5.30445938257018</c:v>
                </c:pt>
                <c:pt idx="338">
                  <c:v>5.34663400279309</c:v>
                </c:pt>
                <c:pt idx="339">
                  <c:v>5.27354575201292</c:v>
                </c:pt>
                <c:pt idx="340">
                  <c:v>5.15633881521485</c:v>
                </c:pt>
                <c:pt idx="341">
                  <c:v>5.17180526882498</c:v>
                </c:pt>
                <c:pt idx="342">
                  <c:v>5.33604724145293</c:v>
                </c:pt>
                <c:pt idx="343">
                  <c:v>5.33993210014695</c:v>
                </c:pt>
                <c:pt idx="344">
                  <c:v>5.17431288304814</c:v>
                </c:pt>
                <c:pt idx="345">
                  <c:v>5.15538029014069</c:v>
                </c:pt>
                <c:pt idx="346">
                  <c:v>5.31096460923088</c:v>
                </c:pt>
                <c:pt idx="347">
                  <c:v>5.3464340543098</c:v>
                </c:pt>
                <c:pt idx="348">
                  <c:v>5.22298679371688</c:v>
                </c:pt>
                <c:pt idx="349">
                  <c:v>5.15422648698537</c:v>
                </c:pt>
                <c:pt idx="350">
                  <c:v>5.18185441393502</c:v>
                </c:pt>
                <c:pt idx="351">
                  <c:v>5.33998076876391</c:v>
                </c:pt>
                <c:pt idx="352">
                  <c:v>5.33434989995851</c:v>
                </c:pt>
                <c:pt idx="353">
                  <c:v>5.16759234213787</c:v>
                </c:pt>
                <c:pt idx="354">
                  <c:v>5.15862553073887</c:v>
                </c:pt>
                <c:pt idx="355">
                  <c:v>5.32247931910528</c:v>
                </c:pt>
                <c:pt idx="356">
                  <c:v>5.34495451195027</c:v>
                </c:pt>
                <c:pt idx="357">
                  <c:v>5.19264695446083</c:v>
                </c:pt>
                <c:pt idx="358">
                  <c:v>5.15361101269446</c:v>
                </c:pt>
                <c:pt idx="359">
                  <c:v>5.26287455680521</c:v>
                </c:pt>
                <c:pt idx="360">
                  <c:v>5.34509733962122</c:v>
                </c:pt>
                <c:pt idx="361">
                  <c:v>5.32139094089533</c:v>
                </c:pt>
                <c:pt idx="362">
                  <c:v>5.16096088104633</c:v>
                </c:pt>
                <c:pt idx="363">
                  <c:v>5.16434341638426</c:v>
                </c:pt>
                <c:pt idx="364">
                  <c:v>5.33108921292866</c:v>
                </c:pt>
                <c:pt idx="365">
                  <c:v>5.342265629714</c:v>
                </c:pt>
                <c:pt idx="366">
                  <c:v>5.17996221147316</c:v>
                </c:pt>
                <c:pt idx="367">
                  <c:v>5.15429384975166</c:v>
                </c:pt>
                <c:pt idx="368">
                  <c:v>5.30032688085527</c:v>
                </c:pt>
                <c:pt idx="369">
                  <c:v>5.34695903181058</c:v>
                </c:pt>
                <c:pt idx="370">
                  <c:v>5.30324793264907</c:v>
                </c:pt>
                <c:pt idx="371">
                  <c:v>5.15796888142876</c:v>
                </c:pt>
                <c:pt idx="372">
                  <c:v>5.16782366960413</c:v>
                </c:pt>
                <c:pt idx="373">
                  <c:v>5.33407803061852</c:v>
                </c:pt>
                <c:pt idx="374">
                  <c:v>5.34079972171972</c:v>
                </c:pt>
                <c:pt idx="375">
                  <c:v>5.17600787498809</c:v>
                </c:pt>
                <c:pt idx="376">
                  <c:v>5.15525709120263</c:v>
                </c:pt>
                <c:pt idx="377">
                  <c:v>5.30935337862256</c:v>
                </c:pt>
                <c:pt idx="378">
                  <c:v>5.34639162664656</c:v>
                </c:pt>
                <c:pt idx="379">
                  <c:v>5.22743283158557</c:v>
                </c:pt>
                <c:pt idx="380">
                  <c:v>5.1544656213617</c:v>
                </c:pt>
                <c:pt idx="381">
                  <c:v>5.18080409335217</c:v>
                </c:pt>
                <c:pt idx="382">
                  <c:v>5.33971666616839</c:v>
                </c:pt>
                <c:pt idx="383">
                  <c:v>5.33467415368577</c:v>
                </c:pt>
                <c:pt idx="384">
                  <c:v>5.1678878559655</c:v>
                </c:pt>
                <c:pt idx="385">
                  <c:v>5.15846969418722</c:v>
                </c:pt>
                <c:pt idx="386">
                  <c:v>5.32208161210943</c:v>
                </c:pt>
                <c:pt idx="387">
                  <c:v>5.34504013620654</c:v>
                </c:pt>
                <c:pt idx="388">
                  <c:v>5.19339748185705</c:v>
                </c:pt>
                <c:pt idx="389">
                  <c:v>5.15357646820448</c:v>
                </c:pt>
                <c:pt idx="390">
                  <c:v>5.25671026626898</c:v>
                </c:pt>
                <c:pt idx="391">
                  <c:v>5.34483837118938</c:v>
                </c:pt>
                <c:pt idx="392">
                  <c:v>5.32271205133568</c:v>
                </c:pt>
                <c:pt idx="393">
                  <c:v>5.16147728881671</c:v>
                </c:pt>
                <c:pt idx="394">
                  <c:v>5.16342883003737</c:v>
                </c:pt>
                <c:pt idx="395">
                  <c:v>5.32991695491625</c:v>
                </c:pt>
                <c:pt idx="396">
                  <c:v>5.34325945865706</c:v>
                </c:pt>
                <c:pt idx="397">
                  <c:v>5.18295924469964</c:v>
                </c:pt>
                <c:pt idx="398">
                  <c:v>5.15357167185436</c:v>
                </c:pt>
                <c:pt idx="399">
                  <c:v>5.29024990227589</c:v>
                </c:pt>
                <c:pt idx="400">
                  <c:v>5.34658582746626</c:v>
                </c:pt>
                <c:pt idx="401">
                  <c:v>5.31413273489634</c:v>
                </c:pt>
                <c:pt idx="402">
                  <c:v>5.15923012346579</c:v>
                </c:pt>
                <c:pt idx="403">
                  <c:v>5.16645578762247</c:v>
                </c:pt>
                <c:pt idx="404">
                  <c:v>5.33310104858277</c:v>
                </c:pt>
                <c:pt idx="405">
                  <c:v>5.34110622755775</c:v>
                </c:pt>
                <c:pt idx="406">
                  <c:v>5.17680074077224</c:v>
                </c:pt>
                <c:pt idx="407">
                  <c:v>5.15517827601435</c:v>
                </c:pt>
                <c:pt idx="408">
                  <c:v>5.30843722593084</c:v>
                </c:pt>
                <c:pt idx="409">
                  <c:v>5.34638698619537</c:v>
                </c:pt>
                <c:pt idx="410">
                  <c:v>5.23098312583825</c:v>
                </c:pt>
                <c:pt idx="411">
                  <c:v>5.15464189422169</c:v>
                </c:pt>
                <c:pt idx="412">
                  <c:v>5.1799801244499</c:v>
                </c:pt>
                <c:pt idx="413">
                  <c:v>5.33948858004841</c:v>
                </c:pt>
                <c:pt idx="414">
                  <c:v>5.33498733150322</c:v>
                </c:pt>
                <c:pt idx="415">
                  <c:v>5.16818824664378</c:v>
                </c:pt>
                <c:pt idx="416">
                  <c:v>5.15828811291267</c:v>
                </c:pt>
                <c:pt idx="417">
                  <c:v>5.32160542316078</c:v>
                </c:pt>
                <c:pt idx="418">
                  <c:v>5.34516530899331</c:v>
                </c:pt>
                <c:pt idx="419">
                  <c:v>5.19448412090927</c:v>
                </c:pt>
                <c:pt idx="420">
                  <c:v>5.15349594600532</c:v>
                </c:pt>
                <c:pt idx="421">
                  <c:v>5.24309344370007</c:v>
                </c:pt>
                <c:pt idx="422">
                  <c:v>5.34431362392136</c:v>
                </c:pt>
                <c:pt idx="423">
                  <c:v>5.32537831810412</c:v>
                </c:pt>
                <c:pt idx="424">
                  <c:v>5.16273563545464</c:v>
                </c:pt>
                <c:pt idx="425">
                  <c:v>5.16129428799722</c:v>
                </c:pt>
                <c:pt idx="426">
                  <c:v>5.32733541956674</c:v>
                </c:pt>
                <c:pt idx="427">
                  <c:v>5.34442084787733</c:v>
                </c:pt>
                <c:pt idx="428">
                  <c:v>5.18733864825834</c:v>
                </c:pt>
                <c:pt idx="429">
                  <c:v>5.15352880839928</c:v>
                </c:pt>
                <c:pt idx="430">
                  <c:v>5.28061595760759</c:v>
                </c:pt>
                <c:pt idx="431">
                  <c:v>5.34600355432549</c:v>
                </c:pt>
                <c:pt idx="432">
                  <c:v>5.31724341761689</c:v>
                </c:pt>
                <c:pt idx="433">
                  <c:v>5.15982730976173</c:v>
                </c:pt>
                <c:pt idx="434">
                  <c:v>5.16588423905601</c:v>
                </c:pt>
                <c:pt idx="435">
                  <c:v>5.33261570955025</c:v>
                </c:pt>
                <c:pt idx="436">
                  <c:v>5.34129629109588</c:v>
                </c:pt>
                <c:pt idx="437">
                  <c:v>5.17728829720118</c:v>
                </c:pt>
                <c:pt idx="438">
                  <c:v>5.15510661241169</c:v>
                </c:pt>
                <c:pt idx="439">
                  <c:v>5.30773668162225</c:v>
                </c:pt>
                <c:pt idx="440">
                  <c:v>5.34639778541395</c:v>
                </c:pt>
                <c:pt idx="441">
                  <c:v>5.23458602715995</c:v>
                </c:pt>
                <c:pt idx="442">
                  <c:v>5.15481012535216</c:v>
                </c:pt>
                <c:pt idx="443">
                  <c:v>5.17916129349996</c:v>
                </c:pt>
                <c:pt idx="444">
                  <c:v>5.33923804416799</c:v>
                </c:pt>
                <c:pt idx="445">
                  <c:v>5.33536605515987</c:v>
                </c:pt>
                <c:pt idx="446">
                  <c:v>5.16857917954053</c:v>
                </c:pt>
                <c:pt idx="447">
                  <c:v>5.15801690669616</c:v>
                </c:pt>
                <c:pt idx="448">
                  <c:v>5.32084720525603</c:v>
                </c:pt>
                <c:pt idx="449">
                  <c:v>5.34541553658041</c:v>
                </c:pt>
                <c:pt idx="450">
                  <c:v>5.19674439428623</c:v>
                </c:pt>
                <c:pt idx="451">
                  <c:v>5.15324993774195</c:v>
                </c:pt>
                <c:pt idx="452">
                  <c:v>5.21204906277476</c:v>
                </c:pt>
                <c:pt idx="453">
                  <c:v>5.34303778746688</c:v>
                </c:pt>
                <c:pt idx="454">
                  <c:v>5.33027204539812</c:v>
                </c:pt>
                <c:pt idx="455">
                  <c:v>5.16490052877632</c:v>
                </c:pt>
                <c:pt idx="456">
                  <c:v>5.15957972548212</c:v>
                </c:pt>
                <c:pt idx="457">
                  <c:v>5.32481063109688</c:v>
                </c:pt>
                <c:pt idx="458">
                  <c:v>5.3447028835962</c:v>
                </c:pt>
                <c:pt idx="459">
                  <c:v>5.18984570013004</c:v>
                </c:pt>
                <c:pt idx="460">
                  <c:v>5.15361127316765</c:v>
                </c:pt>
                <c:pt idx="461">
                  <c:v>5.27490758722272</c:v>
                </c:pt>
                <c:pt idx="462">
                  <c:v>5.34567873697059</c:v>
                </c:pt>
                <c:pt idx="463">
                  <c:v>5.3186302361412</c:v>
                </c:pt>
                <c:pt idx="464">
                  <c:v>5.1601527700342</c:v>
                </c:pt>
                <c:pt idx="465">
                  <c:v>5.1655175512383</c:v>
                </c:pt>
                <c:pt idx="466">
                  <c:v>5.33228877535141</c:v>
                </c:pt>
                <c:pt idx="467">
                  <c:v>5.34145388844417</c:v>
                </c:pt>
                <c:pt idx="468">
                  <c:v>5.17768768869886</c:v>
                </c:pt>
                <c:pt idx="469">
                  <c:v>5.15503055983721</c:v>
                </c:pt>
                <c:pt idx="470">
                  <c:v>5.30705283912322</c:v>
                </c:pt>
                <c:pt idx="471">
                  <c:v>5.34642105814274</c:v>
                </c:pt>
                <c:pt idx="472">
                  <c:v>5.23923657471944</c:v>
                </c:pt>
                <c:pt idx="473">
                  <c:v>5.15501385570515</c:v>
                </c:pt>
                <c:pt idx="474">
                  <c:v>5.17813769464502</c:v>
                </c:pt>
                <c:pt idx="475">
                  <c:v>5.33887978854731</c:v>
                </c:pt>
                <c:pt idx="476">
                  <c:v>5.3359636954199</c:v>
                </c:pt>
                <c:pt idx="477">
                  <c:v>5.16927939452671</c:v>
                </c:pt>
                <c:pt idx="478">
                  <c:v>5.15744655561799</c:v>
                </c:pt>
                <c:pt idx="479">
                  <c:v>5.31909438706588</c:v>
                </c:pt>
                <c:pt idx="480">
                  <c:v>5.34606245470024</c:v>
                </c:pt>
                <c:pt idx="481">
                  <c:v>5.20322038232835</c:v>
                </c:pt>
                <c:pt idx="482">
                  <c:v>5.15310614984759</c:v>
                </c:pt>
                <c:pt idx="483">
                  <c:v>5.19037397095007</c:v>
                </c:pt>
                <c:pt idx="484">
                  <c:v>5.34141481502171</c:v>
                </c:pt>
                <c:pt idx="485">
                  <c:v>5.33294066938606</c:v>
                </c:pt>
                <c:pt idx="486">
                  <c:v>5.1664380517785</c:v>
                </c:pt>
                <c:pt idx="487">
                  <c:v>5.15905850310654</c:v>
                </c:pt>
                <c:pt idx="488">
                  <c:v>5.32359962526785</c:v>
                </c:pt>
                <c:pt idx="489">
                  <c:v>5.34479463954259</c:v>
                </c:pt>
                <c:pt idx="490">
                  <c:v>5.19107083510632</c:v>
                </c:pt>
                <c:pt idx="491">
                  <c:v>5.15363249311783</c:v>
                </c:pt>
                <c:pt idx="492">
                  <c:v>5.2709838043413</c:v>
                </c:pt>
                <c:pt idx="493">
                  <c:v>5.34547465287684</c:v>
                </c:pt>
                <c:pt idx="494">
                  <c:v>5.31955174323234</c:v>
                </c:pt>
                <c:pt idx="495">
                  <c:v>5.16039331395973</c:v>
                </c:pt>
                <c:pt idx="496">
                  <c:v>5.16520671730636</c:v>
                </c:pt>
                <c:pt idx="497">
                  <c:v>5.33199930136615</c:v>
                </c:pt>
                <c:pt idx="498">
                  <c:v>5.34161580255597</c:v>
                </c:pt>
                <c:pt idx="499">
                  <c:v>5.17810398111064</c:v>
                </c:pt>
                <c:pt idx="500">
                  <c:v>5.15493329116379</c:v>
                </c:pt>
                <c:pt idx="501">
                  <c:v>5.30620696600851</c:v>
                </c:pt>
                <c:pt idx="502">
                  <c:v>5.34646892402831</c:v>
                </c:pt>
                <c:pt idx="503">
                  <c:v>5.24738572805306</c:v>
                </c:pt>
                <c:pt idx="504">
                  <c:v>5.15534445061231</c:v>
                </c:pt>
                <c:pt idx="505">
                  <c:v>5.17644108075612</c:v>
                </c:pt>
                <c:pt idx="506">
                  <c:v>5.33814517586464</c:v>
                </c:pt>
                <c:pt idx="507">
                  <c:v>5.33730555661735</c:v>
                </c:pt>
                <c:pt idx="508">
                  <c:v>5.17100010770295</c:v>
                </c:pt>
                <c:pt idx="509">
                  <c:v>5.15615841984324</c:v>
                </c:pt>
                <c:pt idx="510">
                  <c:v>5.31511935410314</c:v>
                </c:pt>
                <c:pt idx="511">
                  <c:v>5.34652985686887</c:v>
                </c:pt>
                <c:pt idx="512">
                  <c:v>5.21430388409372</c:v>
                </c:pt>
                <c:pt idx="513">
                  <c:v>5.15370965718873</c:v>
                </c:pt>
                <c:pt idx="514">
                  <c:v>5.18415716497156</c:v>
                </c:pt>
                <c:pt idx="515">
                  <c:v>5.34047857453732</c:v>
                </c:pt>
                <c:pt idx="516">
                  <c:v>5.33383486807231</c:v>
                </c:pt>
                <c:pt idx="517">
                  <c:v>5.16714391598085</c:v>
                </c:pt>
                <c:pt idx="518">
                  <c:v>5.15882081117305</c:v>
                </c:pt>
                <c:pt idx="519">
                  <c:v>5.32297780101198</c:v>
                </c:pt>
                <c:pt idx="520">
                  <c:v>5.34486959912717</c:v>
                </c:pt>
                <c:pt idx="521">
                  <c:v>5.19186306654319</c:v>
                </c:pt>
                <c:pt idx="522">
                  <c:v>5.15362975850437</c:v>
                </c:pt>
                <c:pt idx="523">
                  <c:v>5.26750641553209</c:v>
                </c:pt>
                <c:pt idx="524">
                  <c:v>5.34530665172421</c:v>
                </c:pt>
                <c:pt idx="525">
                  <c:v>5.32035310078164</c:v>
                </c:pt>
                <c:pt idx="526">
                  <c:v>5.16062365318825</c:v>
                </c:pt>
                <c:pt idx="527">
                  <c:v>5.16487779839453</c:v>
                </c:pt>
                <c:pt idx="528">
                  <c:v>5.33167445346059</c:v>
                </c:pt>
                <c:pt idx="529">
                  <c:v>5.34182391446799</c:v>
                </c:pt>
                <c:pt idx="530">
                  <c:v>5.17865980687872</c:v>
                </c:pt>
                <c:pt idx="531">
                  <c:v>5.15477385129978</c:v>
                </c:pt>
                <c:pt idx="532">
                  <c:v>5.30480526599866</c:v>
                </c:pt>
                <c:pt idx="533">
                  <c:v>5.3465956222569</c:v>
                </c:pt>
                <c:pt idx="534">
                  <c:v>5.2681870593848</c:v>
                </c:pt>
                <c:pt idx="535">
                  <c:v>5.15612936555621</c:v>
                </c:pt>
                <c:pt idx="536">
                  <c:v>5.17265996735858</c:v>
                </c:pt>
                <c:pt idx="537">
                  <c:v>5.3364138699832</c:v>
                </c:pt>
                <c:pt idx="538">
                  <c:v>5.33965560205849</c:v>
                </c:pt>
                <c:pt idx="539">
                  <c:v>5.17389729387908</c:v>
                </c:pt>
                <c:pt idx="540">
                  <c:v>5.15541934750966</c:v>
                </c:pt>
                <c:pt idx="541">
                  <c:v>5.31135994169241</c:v>
                </c:pt>
                <c:pt idx="542">
                  <c:v>5.34644764184189</c:v>
                </c:pt>
                <c:pt idx="543">
                  <c:v>5.22208144948749</c:v>
                </c:pt>
                <c:pt idx="544">
                  <c:v>5.1541752661451</c:v>
                </c:pt>
                <c:pt idx="545">
                  <c:v>5.18207198577244</c:v>
                </c:pt>
                <c:pt idx="546">
                  <c:v>5.34003239808736</c:v>
                </c:pt>
                <c:pt idx="547">
                  <c:v>5.33429130401625</c:v>
                </c:pt>
                <c:pt idx="548">
                  <c:v>5.16754018004419</c:v>
                </c:pt>
                <c:pt idx="549">
                  <c:v>5.1586507731877</c:v>
                </c:pt>
                <c:pt idx="550">
                  <c:v>5.32254330808725</c:v>
                </c:pt>
                <c:pt idx="551">
                  <c:v>5.34494229591056</c:v>
                </c:pt>
                <c:pt idx="552">
                  <c:v>5.19253736743948</c:v>
                </c:pt>
                <c:pt idx="553">
                  <c:v>5.15361469479722</c:v>
                </c:pt>
                <c:pt idx="554">
                  <c:v>5.26361437131757</c:v>
                </c:pt>
                <c:pt idx="555">
                  <c:v>5.34512983747374</c:v>
                </c:pt>
                <c:pt idx="556">
                  <c:v>5.32122764029026</c:v>
                </c:pt>
                <c:pt idx="557">
                  <c:v>5.16090436031531</c:v>
                </c:pt>
                <c:pt idx="558">
                  <c:v>5.16443711929842</c:v>
                </c:pt>
                <c:pt idx="559">
                  <c:v>5.33119790832694</c:v>
                </c:pt>
                <c:pt idx="560">
                  <c:v>5.34217775476926</c:v>
                </c:pt>
                <c:pt idx="561">
                  <c:v>5.1796906070255</c:v>
                </c:pt>
                <c:pt idx="562">
                  <c:v>5.15440008255991</c:v>
                </c:pt>
                <c:pt idx="563">
                  <c:v>5.30134153456335</c:v>
                </c:pt>
                <c:pt idx="564">
                  <c:v>5.34692464249358</c:v>
                </c:pt>
                <c:pt idx="565">
                  <c:v>5.29977942359647</c:v>
                </c:pt>
                <c:pt idx="566">
                  <c:v>5.15769674957383</c:v>
                </c:pt>
                <c:pt idx="567">
                  <c:v>5.16823521780543</c:v>
                </c:pt>
                <c:pt idx="568">
                  <c:v>5.33432423381115</c:v>
                </c:pt>
                <c:pt idx="569">
                  <c:v>5.34072137237682</c:v>
                </c:pt>
                <c:pt idx="570">
                  <c:v>5.1758187838017</c:v>
                </c:pt>
                <c:pt idx="571">
                  <c:v>5.15527114999418</c:v>
                </c:pt>
                <c:pt idx="572">
                  <c:v>5.30954598294587</c:v>
                </c:pt>
                <c:pt idx="573">
                  <c:v>5.34639461021217</c:v>
                </c:pt>
                <c:pt idx="574">
                  <c:v>5.22680864306538</c:v>
                </c:pt>
                <c:pt idx="575">
                  <c:v>5.154433148093</c:v>
                </c:pt>
                <c:pt idx="576">
                  <c:v>5.18095065635779</c:v>
                </c:pt>
                <c:pt idx="577">
                  <c:v>5.33975504494811</c:v>
                </c:pt>
                <c:pt idx="578">
                  <c:v>5.33462426980182</c:v>
                </c:pt>
                <c:pt idx="579">
                  <c:v>5.16784154417033</c:v>
                </c:pt>
                <c:pt idx="580">
                  <c:v>5.15849547391701</c:v>
                </c:pt>
                <c:pt idx="581">
                  <c:v>5.32214809543479</c:v>
                </c:pt>
                <c:pt idx="582">
                  <c:v>5.34502456722497</c:v>
                </c:pt>
                <c:pt idx="583">
                  <c:v>5.19326304150142</c:v>
                </c:pt>
                <c:pt idx="584">
                  <c:v>5.15358383787188</c:v>
                </c:pt>
                <c:pt idx="585">
                  <c:v>5.2579769040863</c:v>
                </c:pt>
                <c:pt idx="586">
                  <c:v>5.34489001749314</c:v>
                </c:pt>
                <c:pt idx="587">
                  <c:v>5.32244646567965</c:v>
                </c:pt>
                <c:pt idx="588">
                  <c:v>5.1613643889159</c:v>
                </c:pt>
                <c:pt idx="589">
                  <c:v>5.16363564689415</c:v>
                </c:pt>
                <c:pt idx="590">
                  <c:v>5.33019053858609</c:v>
                </c:pt>
                <c:pt idx="591">
                  <c:v>5.34303584571584</c:v>
                </c:pt>
                <c:pt idx="592">
                  <c:v>5.18229659443711</c:v>
                </c:pt>
                <c:pt idx="593">
                  <c:v>5.15364950175833</c:v>
                </c:pt>
                <c:pt idx="594">
                  <c:v>5.29213089111342</c:v>
                </c:pt>
                <c:pt idx="595">
                  <c:v>5.34669378195987</c:v>
                </c:pt>
                <c:pt idx="596">
                  <c:v>5.31320512417944</c:v>
                </c:pt>
                <c:pt idx="597">
                  <c:v>5.15908225303273</c:v>
                </c:pt>
                <c:pt idx="598">
                  <c:v>5.16659259249007</c:v>
                </c:pt>
                <c:pt idx="599">
                  <c:v>5.33321147649136</c:v>
                </c:pt>
                <c:pt idx="600">
                  <c:v>5.39132108489432</c:v>
                </c:pt>
                <c:pt idx="601">
                  <c:v>5.23330857519958</c:v>
                </c:pt>
                <c:pt idx="602">
                  <c:v>5.205303824356</c:v>
                </c:pt>
                <c:pt idx="603">
                  <c:v>5.20903705936814</c:v>
                </c:pt>
                <c:pt idx="604">
                  <c:v>5.22858881702577</c:v>
                </c:pt>
                <c:pt idx="605">
                  <c:v>5.35414460999313</c:v>
                </c:pt>
                <c:pt idx="606">
                  <c:v>5.26465146141503</c:v>
                </c:pt>
                <c:pt idx="607">
                  <c:v>5.20693679865379</c:v>
                </c:pt>
                <c:pt idx="608">
                  <c:v>5.20639958746814</c:v>
                </c:pt>
                <c:pt idx="609">
                  <c:v>5.22000172149791</c:v>
                </c:pt>
                <c:pt idx="610">
                  <c:v>5.32900264303422</c:v>
                </c:pt>
                <c:pt idx="611">
                  <c:v>5.36742637050576</c:v>
                </c:pt>
                <c:pt idx="612">
                  <c:v>5.21404252660057</c:v>
                </c:pt>
                <c:pt idx="613">
                  <c:v>5.20515150482486</c:v>
                </c:pt>
                <c:pt idx="614">
                  <c:v>5.21484822958317</c:v>
                </c:pt>
                <c:pt idx="615">
                  <c:v>5.2643788813125</c:v>
                </c:pt>
                <c:pt idx="616">
                  <c:v>5.37096275157023</c:v>
                </c:pt>
                <c:pt idx="617">
                  <c:v>5.22315738910999</c:v>
                </c:pt>
                <c:pt idx="618">
                  <c:v>5.20449088070659</c:v>
                </c:pt>
                <c:pt idx="619">
                  <c:v>5.21060388739661</c:v>
                </c:pt>
                <c:pt idx="620">
                  <c:v>5.23795289430254</c:v>
                </c:pt>
                <c:pt idx="621">
                  <c:v>5.36464139593033</c:v>
                </c:pt>
                <c:pt idx="622">
                  <c:v>5.23835721536891</c:v>
                </c:pt>
                <c:pt idx="623">
                  <c:v>5.20490081405196</c:v>
                </c:pt>
                <c:pt idx="624">
                  <c:v>5.20757780018831</c:v>
                </c:pt>
                <c:pt idx="625">
                  <c:v>5.22576060989217</c:v>
                </c:pt>
                <c:pt idx="626">
                  <c:v>5.3515129529265</c:v>
                </c:pt>
                <c:pt idx="627">
                  <c:v>5.28224733325111</c:v>
                </c:pt>
                <c:pt idx="628">
                  <c:v>5.20751222378114</c:v>
                </c:pt>
                <c:pt idx="629">
                  <c:v>5.20587108437529</c:v>
                </c:pt>
                <c:pt idx="630">
                  <c:v>5.21913016100445</c:v>
                </c:pt>
                <c:pt idx="631">
                  <c:v>5.32693560764483</c:v>
                </c:pt>
                <c:pt idx="632">
                  <c:v>5.3688836534011</c:v>
                </c:pt>
                <c:pt idx="633">
                  <c:v>5.2144665679883</c:v>
                </c:pt>
                <c:pt idx="634">
                  <c:v>5.20479144305276</c:v>
                </c:pt>
                <c:pt idx="635">
                  <c:v>5.21413612932048</c:v>
                </c:pt>
                <c:pt idx="636">
                  <c:v>5.26035862029302</c:v>
                </c:pt>
                <c:pt idx="637">
                  <c:v>5.37086108414477</c:v>
                </c:pt>
                <c:pt idx="638">
                  <c:v>5.22426996383805</c:v>
                </c:pt>
                <c:pt idx="639">
                  <c:v>5.20427726189419</c:v>
                </c:pt>
                <c:pt idx="640">
                  <c:v>5.20992292949205</c:v>
                </c:pt>
                <c:pt idx="641">
                  <c:v>5.23549497292466</c:v>
                </c:pt>
                <c:pt idx="642">
                  <c:v>5.36316214633855</c:v>
                </c:pt>
                <c:pt idx="643">
                  <c:v>5.24183679528797</c:v>
                </c:pt>
                <c:pt idx="644">
                  <c:v>5.20514628208405</c:v>
                </c:pt>
                <c:pt idx="645">
                  <c:v>5.207432108044</c:v>
                </c:pt>
                <c:pt idx="646">
                  <c:v>5.22524169070229</c:v>
                </c:pt>
                <c:pt idx="647">
                  <c:v>5.35058861040427</c:v>
                </c:pt>
                <c:pt idx="648">
                  <c:v>5.28923381739108</c:v>
                </c:pt>
                <c:pt idx="649">
                  <c:v>5.20782884661268</c:v>
                </c:pt>
                <c:pt idx="650">
                  <c:v>5.2057619012466</c:v>
                </c:pt>
                <c:pt idx="651">
                  <c:v>5.15906639661702</c:v>
                </c:pt>
                <c:pt idx="652">
                  <c:v>5.13591652313681</c:v>
                </c:pt>
                <c:pt idx="653">
                  <c:v>5.11688604042751</c:v>
                </c:pt>
                <c:pt idx="654">
                  <c:v>5.09934197451013</c:v>
                </c:pt>
                <c:pt idx="655">
                  <c:v>5.08255345786261</c:v>
                </c:pt>
                <c:pt idx="656">
                  <c:v>5.06621994934434</c:v>
                </c:pt>
                <c:pt idx="657">
                  <c:v>5.05019495367989</c:v>
                </c:pt>
                <c:pt idx="658">
                  <c:v>5.03440023424303</c:v>
                </c:pt>
                <c:pt idx="659">
                  <c:v>5.01879197985342</c:v>
                </c:pt>
                <c:pt idx="660">
                  <c:v>5.00334538931607</c:v>
                </c:pt>
                <c:pt idx="661">
                  <c:v>4.98804691578273</c:v>
                </c:pt>
                <c:pt idx="662">
                  <c:v>4.97289007473081</c:v>
                </c:pt>
                <c:pt idx="663">
                  <c:v>4.95787305642689</c:v>
                </c:pt>
                <c:pt idx="664">
                  <c:v>4.94299731577472</c:v>
                </c:pt>
                <c:pt idx="665">
                  <c:v>4.92826672264373</c:v>
                </c:pt>
                <c:pt idx="666">
                  <c:v>4.91368705078311</c:v>
                </c:pt>
                <c:pt idx="667">
                  <c:v>4.8992656820329</c:v>
                </c:pt>
                <c:pt idx="668">
                  <c:v>4.88501145591555</c:v>
                </c:pt>
                <c:pt idx="669">
                  <c:v>4.87093462446791</c:v>
                </c:pt>
                <c:pt idx="670">
                  <c:v>4.85704689064361</c:v>
                </c:pt>
                <c:pt idx="671">
                  <c:v>4.8433615204096</c:v>
                </c:pt>
                <c:pt idx="672">
                  <c:v>4.82989352746914</c:v>
                </c:pt>
                <c:pt idx="673">
                  <c:v>4.81665993736103</c:v>
                </c:pt>
                <c:pt idx="674">
                  <c:v>4.80368014552834</c:v>
                </c:pt>
                <c:pt idx="675">
                  <c:v>4.79097639387522</c:v>
                </c:pt>
                <c:pt idx="676">
                  <c:v>4.77857440345579</c:v>
                </c:pt>
                <c:pt idx="677">
                  <c:v>4.76650422055623</c:v>
                </c:pt>
                <c:pt idx="678">
                  <c:v>4.7548013635991</c:v>
                </c:pt>
                <c:pt idx="679">
                  <c:v>4.74350840696937</c:v>
                </c:pt>
                <c:pt idx="680">
                  <c:v>4.7326772196505</c:v>
                </c:pt>
                <c:pt idx="681">
                  <c:v>4.7223722197366</c:v>
                </c:pt>
                <c:pt idx="682">
                  <c:v>4.71267526908744</c:v>
                </c:pt>
                <c:pt idx="683">
                  <c:v>4.70369334375175</c:v>
                </c:pt>
                <c:pt idx="684">
                  <c:v>4.69557117872678</c:v>
                </c:pt>
                <c:pt idx="685">
                  <c:v>4.68851348608561</c:v>
                </c:pt>
                <c:pt idx="686">
                  <c:v>4.6828273722269</c:v>
                </c:pt>
                <c:pt idx="687">
                  <c:v>4.67901299497493</c:v>
                </c:pt>
                <c:pt idx="688">
                  <c:v>4.67799190399185</c:v>
                </c:pt>
                <c:pt idx="689">
                  <c:v>4.68185873006187</c:v>
                </c:pt>
                <c:pt idx="690">
                  <c:v>4.69823539285091</c:v>
                </c:pt>
                <c:pt idx="691">
                  <c:v>4.84794990458853</c:v>
                </c:pt>
                <c:pt idx="692">
                  <c:v>4.8695271912414</c:v>
                </c:pt>
                <c:pt idx="693">
                  <c:v>4.70438362454576</c:v>
                </c:pt>
                <c:pt idx="694">
                  <c:v>4.69382405255623</c:v>
                </c:pt>
                <c:pt idx="695">
                  <c:v>4.70731993976244</c:v>
                </c:pt>
                <c:pt idx="696">
                  <c:v>4.84158207260981</c:v>
                </c:pt>
                <c:pt idx="697">
                  <c:v>4.87075502888314</c:v>
                </c:pt>
                <c:pt idx="698">
                  <c:v>4.70902660999242</c:v>
                </c:pt>
                <c:pt idx="699">
                  <c:v>4.6985751321163</c:v>
                </c:pt>
                <c:pt idx="700">
                  <c:v>4.70929840132654</c:v>
                </c:pt>
                <c:pt idx="701">
                  <c:v>4.80472780623432</c:v>
                </c:pt>
                <c:pt idx="702">
                  <c:v>4.87566521417474</c:v>
                </c:pt>
                <c:pt idx="703">
                  <c:v>4.71665285747836</c:v>
                </c:pt>
                <c:pt idx="704">
                  <c:v>4.70125151333797</c:v>
                </c:pt>
                <c:pt idx="705">
                  <c:v>4.70941458929026</c:v>
                </c:pt>
                <c:pt idx="706">
                  <c:v>4.75168952930338</c:v>
                </c:pt>
                <c:pt idx="707">
                  <c:v>4.87197434229768</c:v>
                </c:pt>
                <c:pt idx="708">
                  <c:v>4.72564030156069</c:v>
                </c:pt>
                <c:pt idx="709">
                  <c:v>4.7025769157786</c:v>
                </c:pt>
                <c:pt idx="710">
                  <c:v>4.70785517151141</c:v>
                </c:pt>
                <c:pt idx="711">
                  <c:v>4.73363985075119</c:v>
                </c:pt>
                <c:pt idx="712">
                  <c:v>4.86418720489896</c:v>
                </c:pt>
                <c:pt idx="713">
                  <c:v>4.74171644232301</c:v>
                </c:pt>
                <c:pt idx="714">
                  <c:v>4.70410285149756</c:v>
                </c:pt>
                <c:pt idx="715">
                  <c:v>4.70631426994587</c:v>
                </c:pt>
                <c:pt idx="716">
                  <c:v>4.72429564634992</c:v>
                </c:pt>
                <c:pt idx="717">
                  <c:v>4.85177351920706</c:v>
                </c:pt>
                <c:pt idx="718">
                  <c:v>4.79028177984128</c:v>
                </c:pt>
                <c:pt idx="719">
                  <c:v>4.70717937167997</c:v>
                </c:pt>
                <c:pt idx="720">
                  <c:v>4.70500182782939</c:v>
                </c:pt>
                <c:pt idx="721">
                  <c:v>4.71789360423753</c:v>
                </c:pt>
                <c:pt idx="722">
                  <c:v>4.82453496466238</c:v>
                </c:pt>
                <c:pt idx="723">
                  <c:v>4.87054097360716</c:v>
                </c:pt>
                <c:pt idx="724">
                  <c:v>4.71500830725262</c:v>
                </c:pt>
                <c:pt idx="725">
                  <c:v>4.70399163899339</c:v>
                </c:pt>
                <c:pt idx="726">
                  <c:v>4.71247702797444</c:v>
                </c:pt>
                <c:pt idx="727">
                  <c:v>4.7518424732073</c:v>
                </c:pt>
                <c:pt idx="728">
                  <c:v>4.87006953970356</c:v>
                </c:pt>
                <c:pt idx="729">
                  <c:v>4.72713688994404</c:v>
                </c:pt>
                <c:pt idx="730">
                  <c:v>4.70406574510704</c:v>
                </c:pt>
                <c:pt idx="731">
                  <c:v>4.70897918463382</c:v>
                </c:pt>
                <c:pt idx="732">
                  <c:v>4.73266461173216</c:v>
                </c:pt>
                <c:pt idx="733">
                  <c:v>4.86142290700706</c:v>
                </c:pt>
                <c:pt idx="734">
                  <c:v>4.74638678651828</c:v>
                </c:pt>
                <c:pt idx="735">
                  <c:v>4.70514381508349</c:v>
                </c:pt>
                <c:pt idx="736">
                  <c:v>4.70664752073179</c:v>
                </c:pt>
                <c:pt idx="737">
                  <c:v>4.72314132633888</c:v>
                </c:pt>
                <c:pt idx="738">
                  <c:v>4.84676305640916</c:v>
                </c:pt>
                <c:pt idx="739">
                  <c:v>4.83220418094794</c:v>
                </c:pt>
                <c:pt idx="740">
                  <c:v>4.70938534717084</c:v>
                </c:pt>
                <c:pt idx="741">
                  <c:v>4.70470053751351</c:v>
                </c:pt>
                <c:pt idx="742">
                  <c:v>4.71573650073082</c:v>
                </c:pt>
                <c:pt idx="743">
                  <c:v>4.78605733885274</c:v>
                </c:pt>
                <c:pt idx="744">
                  <c:v>4.87197883010804</c:v>
                </c:pt>
                <c:pt idx="745">
                  <c:v>4.71939199669518</c:v>
                </c:pt>
                <c:pt idx="746">
                  <c:v>4.70421128972213</c:v>
                </c:pt>
                <c:pt idx="747">
                  <c:v>4.71147509308682</c:v>
                </c:pt>
                <c:pt idx="748">
                  <c:v>4.74414525050595</c:v>
                </c:pt>
                <c:pt idx="749">
                  <c:v>4.86783604850172</c:v>
                </c:pt>
                <c:pt idx="750">
                  <c:v>4.73187630981976</c:v>
                </c:pt>
                <c:pt idx="751">
                  <c:v>4.70438853491119</c:v>
                </c:pt>
                <c:pt idx="752">
                  <c:v>4.7082972886095</c:v>
                </c:pt>
                <c:pt idx="753">
                  <c:v>4.72939148442775</c:v>
                </c:pt>
                <c:pt idx="754">
                  <c:v>4.85791023028833</c:v>
                </c:pt>
                <c:pt idx="755">
                  <c:v>4.75524741312935</c:v>
                </c:pt>
                <c:pt idx="756">
                  <c:v>4.70553138393208</c:v>
                </c:pt>
                <c:pt idx="757">
                  <c:v>4.70566438108334</c:v>
                </c:pt>
                <c:pt idx="758">
                  <c:v>4.7196735518702</c:v>
                </c:pt>
                <c:pt idx="759">
                  <c:v>4.83348918638196</c:v>
                </c:pt>
                <c:pt idx="760">
                  <c:v>4.86648164270899</c:v>
                </c:pt>
                <c:pt idx="761">
                  <c:v>4.71300191572304</c:v>
                </c:pt>
                <c:pt idx="762">
                  <c:v>4.70461999212757</c:v>
                </c:pt>
                <c:pt idx="763">
                  <c:v>4.71442768163016</c:v>
                </c:pt>
                <c:pt idx="764">
                  <c:v>4.76621493810989</c:v>
                </c:pt>
                <c:pt idx="765">
                  <c:v>4.87149562039429</c:v>
                </c:pt>
                <c:pt idx="766">
                  <c:v>4.72258239034227</c:v>
                </c:pt>
                <c:pt idx="767">
                  <c:v>4.7040798050244</c:v>
                </c:pt>
                <c:pt idx="768">
                  <c:v>4.71013974093904</c:v>
                </c:pt>
                <c:pt idx="769">
                  <c:v>4.73741457273582</c:v>
                </c:pt>
                <c:pt idx="770">
                  <c:v>4.86480194320783</c:v>
                </c:pt>
                <c:pt idx="771">
                  <c:v>4.73847917056851</c:v>
                </c:pt>
                <c:pt idx="772">
                  <c:v>4.70460150323131</c:v>
                </c:pt>
                <c:pt idx="773">
                  <c:v>4.70710997852198</c:v>
                </c:pt>
                <c:pt idx="774">
                  <c:v>4.72493228515026</c:v>
                </c:pt>
                <c:pt idx="775">
                  <c:v>4.85081783386988</c:v>
                </c:pt>
                <c:pt idx="776">
                  <c:v>4.79076372526191</c:v>
                </c:pt>
                <c:pt idx="777">
                  <c:v>4.70764776166383</c:v>
                </c:pt>
                <c:pt idx="778">
                  <c:v>4.70537925754449</c:v>
                </c:pt>
                <c:pt idx="779">
                  <c:v>4.71806395886154</c:v>
                </c:pt>
                <c:pt idx="780">
                  <c:v>4.82111373476801</c:v>
                </c:pt>
                <c:pt idx="781">
                  <c:v>4.87061464740512</c:v>
                </c:pt>
                <c:pt idx="782">
                  <c:v>4.71559609781597</c:v>
                </c:pt>
                <c:pt idx="783">
                  <c:v>4.70414273608075</c:v>
                </c:pt>
                <c:pt idx="784">
                  <c:v>4.71237488814831</c:v>
                </c:pt>
                <c:pt idx="785">
                  <c:v>4.74973050561646</c:v>
                </c:pt>
                <c:pt idx="786">
                  <c:v>4.86943043765092</c:v>
                </c:pt>
                <c:pt idx="787">
                  <c:v>4.72834032987047</c:v>
                </c:pt>
                <c:pt idx="788">
                  <c:v>4.70426907614167</c:v>
                </c:pt>
                <c:pt idx="789">
                  <c:v>4.70899534297453</c:v>
                </c:pt>
                <c:pt idx="790">
                  <c:v>4.73224903126795</c:v>
                </c:pt>
                <c:pt idx="791">
                  <c:v>4.86087595316374</c:v>
                </c:pt>
                <c:pt idx="792">
                  <c:v>4.74750775086508</c:v>
                </c:pt>
                <c:pt idx="793">
                  <c:v>4.70524025886912</c:v>
                </c:pt>
                <c:pt idx="794">
                  <c:v>4.70654549964282</c:v>
                </c:pt>
                <c:pt idx="795">
                  <c:v>4.72263081761723</c:v>
                </c:pt>
                <c:pt idx="796">
                  <c:v>4.84515715245685</c:v>
                </c:pt>
                <c:pt idx="797">
                  <c:v>4.84149422806622</c:v>
                </c:pt>
                <c:pt idx="798">
                  <c:v>4.70992809845724</c:v>
                </c:pt>
                <c:pt idx="799">
                  <c:v>4.70463519203285</c:v>
                </c:pt>
                <c:pt idx="800">
                  <c:v>4.6651122559854</c:v>
                </c:pt>
                <c:pt idx="801">
                  <c:v>4.72267396878512</c:v>
                </c:pt>
                <c:pt idx="802">
                  <c:v>4.83977313617339</c:v>
                </c:pt>
                <c:pt idx="803">
                  <c:v>4.81675597092113</c:v>
                </c:pt>
                <c:pt idx="804">
                  <c:v>4.65985447449559</c:v>
                </c:pt>
                <c:pt idx="805">
                  <c:v>4.66583783202435</c:v>
                </c:pt>
                <c:pt idx="806">
                  <c:v>4.83248982283351</c:v>
                </c:pt>
                <c:pt idx="807">
                  <c:v>4.84096250392283</c:v>
                </c:pt>
                <c:pt idx="808">
                  <c:v>4.67732894359164</c:v>
                </c:pt>
                <c:pt idx="809">
                  <c:v>4.65460130074616</c:v>
                </c:pt>
                <c:pt idx="810">
                  <c:v>4.80705024914393</c:v>
                </c:pt>
                <c:pt idx="811">
                  <c:v>4.84620369737217</c:v>
                </c:pt>
                <c:pt idx="812">
                  <c:v>4.74593344067481</c:v>
                </c:pt>
                <c:pt idx="813">
                  <c:v>4.65503884964858</c:v>
                </c:pt>
                <c:pt idx="814">
                  <c:v>4.67639719808675</c:v>
                </c:pt>
                <c:pt idx="815">
                  <c:v>4.83812336090176</c:v>
                </c:pt>
                <c:pt idx="816">
                  <c:v>4.83731417836485</c:v>
                </c:pt>
                <c:pt idx="817">
                  <c:v>4.67105982586126</c:v>
                </c:pt>
                <c:pt idx="818">
                  <c:v>4.65584795114669</c:v>
                </c:pt>
                <c:pt idx="819">
                  <c:v>4.81451766980794</c:v>
                </c:pt>
                <c:pt idx="820">
                  <c:v>4.84652917345563</c:v>
                </c:pt>
                <c:pt idx="821">
                  <c:v>4.71734394700048</c:v>
                </c:pt>
                <c:pt idx="822">
                  <c:v>4.65378374691982</c:v>
                </c:pt>
                <c:pt idx="823">
                  <c:v>4.68255188964585</c:v>
                </c:pt>
                <c:pt idx="824">
                  <c:v>4.84015655755845</c:v>
                </c:pt>
                <c:pt idx="825">
                  <c:v>4.83447134145207</c:v>
                </c:pt>
                <c:pt idx="826">
                  <c:v>4.66762514417905</c:v>
                </c:pt>
                <c:pt idx="827">
                  <c:v>4.65837487349707</c:v>
                </c:pt>
                <c:pt idx="828">
                  <c:v>4.82206357707329</c:v>
                </c:pt>
                <c:pt idx="829">
                  <c:v>4.84512735282289</c:v>
                </c:pt>
                <c:pt idx="830">
                  <c:v>4.69402836279158</c:v>
                </c:pt>
                <c:pt idx="831">
                  <c:v>4.65344974599693</c:v>
                </c:pt>
                <c:pt idx="832">
                  <c:v>4.74465447627296</c:v>
                </c:pt>
                <c:pt idx="833">
                  <c:v>4.84439350766719</c:v>
                </c:pt>
                <c:pt idx="834">
                  <c:v>4.82563503394197</c:v>
                </c:pt>
                <c:pt idx="835">
                  <c:v>4.66280894986694</c:v>
                </c:pt>
                <c:pt idx="836">
                  <c:v>4.66092253367728</c:v>
                </c:pt>
                <c:pt idx="837">
                  <c:v>4.82693664146748</c:v>
                </c:pt>
                <c:pt idx="838">
                  <c:v>4.84461251423072</c:v>
                </c:pt>
                <c:pt idx="839">
                  <c:v>4.68822175168578</c:v>
                </c:pt>
                <c:pt idx="840">
                  <c:v>4.65347411187687</c:v>
                </c:pt>
                <c:pt idx="841">
                  <c:v>4.77690711618178</c:v>
                </c:pt>
                <c:pt idx="842">
                  <c:v>4.8458319029546</c:v>
                </c:pt>
                <c:pt idx="843">
                  <c:v>4.81896551159871</c:v>
                </c:pt>
                <c:pt idx="844">
                  <c:v>4.66018451971398</c:v>
                </c:pt>
                <c:pt idx="845">
                  <c:v>4.66511587299427</c:v>
                </c:pt>
                <c:pt idx="846">
                  <c:v>4.83198978052698</c:v>
                </c:pt>
                <c:pt idx="847">
                  <c:v>4.84180566558994</c:v>
                </c:pt>
                <c:pt idx="848">
                  <c:v>4.67848097012685</c:v>
                </c:pt>
                <c:pt idx="849">
                  <c:v>4.65472008605417</c:v>
                </c:pt>
                <c:pt idx="850">
                  <c:v>4.80464446417548</c:v>
                </c:pt>
                <c:pt idx="851">
                  <c:v>4.84667020780478</c:v>
                </c:pt>
                <c:pt idx="852">
                  <c:v>4.77536904123711</c:v>
                </c:pt>
                <c:pt idx="853">
                  <c:v>4.65637772527355</c:v>
                </c:pt>
                <c:pt idx="854">
                  <c:v>4.67107797757952</c:v>
                </c:pt>
                <c:pt idx="855">
                  <c:v>4.8357646603557</c:v>
                </c:pt>
                <c:pt idx="856">
                  <c:v>4.84032673556399</c:v>
                </c:pt>
                <c:pt idx="857">
                  <c:v>4.67486535762046</c:v>
                </c:pt>
                <c:pt idx="858">
                  <c:v>4.65521123982409</c:v>
                </c:pt>
                <c:pt idx="859">
                  <c:v>4.80996588864318</c:v>
                </c:pt>
                <c:pt idx="860">
                  <c:v>4.84648227787347</c:v>
                </c:pt>
                <c:pt idx="861">
                  <c:v>4.72791559355386</c:v>
                </c:pt>
                <c:pt idx="862">
                  <c:v>4.65444449050013</c:v>
                </c:pt>
                <c:pt idx="863">
                  <c:v>4.67994576833911</c:v>
                </c:pt>
                <c:pt idx="864">
                  <c:v>4.83952682614464</c:v>
                </c:pt>
                <c:pt idx="865">
                  <c:v>4.83527733099595</c:v>
                </c:pt>
                <c:pt idx="866">
                  <c:v>4.66841199230451</c:v>
                </c:pt>
                <c:pt idx="867">
                  <c:v>4.65795750334643</c:v>
                </c:pt>
                <c:pt idx="868">
                  <c:v>4.8207964203893</c:v>
                </c:pt>
                <c:pt idx="869">
                  <c:v>4.8455346580458</c:v>
                </c:pt>
                <c:pt idx="870">
                  <c:v>4.69761279861523</c:v>
                </c:pt>
                <c:pt idx="871">
                  <c:v>4.65311292015913</c:v>
                </c:pt>
                <c:pt idx="872">
                  <c:v>4.70336867735365</c:v>
                </c:pt>
                <c:pt idx="873">
                  <c:v>4.84256994818055</c:v>
                </c:pt>
                <c:pt idx="874">
                  <c:v>4.83176581451304</c:v>
                </c:pt>
                <c:pt idx="875">
                  <c:v>4.665632876757</c:v>
                </c:pt>
                <c:pt idx="876">
                  <c:v>4.65910297213076</c:v>
                </c:pt>
                <c:pt idx="877">
                  <c:v>4.82393819882204</c:v>
                </c:pt>
                <c:pt idx="878">
                  <c:v>4.84489181276196</c:v>
                </c:pt>
                <c:pt idx="879">
                  <c:v>4.69123282483255</c:v>
                </c:pt>
                <c:pt idx="880">
                  <c:v>4.65355832268036</c:v>
                </c:pt>
                <c:pt idx="881">
                  <c:v>4.76755455181414</c:v>
                </c:pt>
                <c:pt idx="882">
                  <c:v>4.84535218380784</c:v>
                </c:pt>
                <c:pt idx="883">
                  <c:v>4.82103502432946</c:v>
                </c:pt>
                <c:pt idx="884">
                  <c:v>4.66079283717571</c:v>
                </c:pt>
                <c:pt idx="885">
                  <c:v>4.66428507078403</c:v>
                </c:pt>
                <c:pt idx="886">
                  <c:v>4.83109105992048</c:v>
                </c:pt>
                <c:pt idx="887">
                  <c:v>4.84243637506926</c:v>
                </c:pt>
                <c:pt idx="888">
                  <c:v>4.68038660968892</c:v>
                </c:pt>
                <c:pt idx="889">
                  <c:v>4.65404095412493</c:v>
                </c:pt>
                <c:pt idx="890">
                  <c:v>4.79797812881712</c:v>
                </c:pt>
                <c:pt idx="891">
                  <c:v>4.84699801267011</c:v>
                </c:pt>
                <c:pt idx="892">
                  <c:v>4.80926124201262</c:v>
                </c:pt>
                <c:pt idx="893">
                  <c:v>4.65852676704233</c:v>
                </c:pt>
                <c:pt idx="894">
                  <c:v>4.66675904484433</c:v>
                </c:pt>
                <c:pt idx="895">
                  <c:v>4.83342401060694</c:v>
                </c:pt>
                <c:pt idx="896">
                  <c:v>4.84120702706363</c:v>
                </c:pt>
                <c:pt idx="897">
                  <c:v>4.67683694281763</c:v>
                </c:pt>
                <c:pt idx="898">
                  <c:v>4.65505142001787</c:v>
                </c:pt>
                <c:pt idx="899">
                  <c:v>4.80782854130162</c:v>
                </c:pt>
                <c:pt idx="900">
                  <c:v>4.84646719606173</c:v>
                </c:pt>
                <c:pt idx="901">
                  <c:v>4.73730698108548</c:v>
                </c:pt>
                <c:pt idx="902">
                  <c:v>4.65489056712335</c:v>
                </c:pt>
                <c:pt idx="903">
                  <c:v>4.67791071617931</c:v>
                </c:pt>
                <c:pt idx="904">
                  <c:v>4.83883884549663</c:v>
                </c:pt>
                <c:pt idx="905">
                  <c:v>4.83635483487783</c:v>
                </c:pt>
                <c:pt idx="906">
                  <c:v>4.66972030838796</c:v>
                </c:pt>
                <c:pt idx="907">
                  <c:v>4.65690438058789</c:v>
                </c:pt>
                <c:pt idx="908">
                  <c:v>4.8175635230637</c:v>
                </c:pt>
                <c:pt idx="909">
                  <c:v>4.8464741309332</c:v>
                </c:pt>
                <c:pt idx="910">
                  <c:v>4.70925768341736</c:v>
                </c:pt>
                <c:pt idx="911">
                  <c:v>4.6533622812147</c:v>
                </c:pt>
                <c:pt idx="912">
                  <c:v>4.68512190589204</c:v>
                </c:pt>
                <c:pt idx="913">
                  <c:v>4.84070298695101</c:v>
                </c:pt>
                <c:pt idx="914">
                  <c:v>4.83400164492369</c:v>
                </c:pt>
                <c:pt idx="915">
                  <c:v>4.66719325651043</c:v>
                </c:pt>
                <c:pt idx="916">
                  <c:v>4.65859929154784</c:v>
                </c:pt>
                <c:pt idx="917">
                  <c:v>4.82259403981656</c:v>
                </c:pt>
                <c:pt idx="918">
                  <c:v>4.8450504195823</c:v>
                </c:pt>
                <c:pt idx="919">
                  <c:v>4.69302934290154</c:v>
                </c:pt>
                <c:pt idx="920">
                  <c:v>4.65352848714785</c:v>
                </c:pt>
                <c:pt idx="921">
                  <c:v>4.75601941124139</c:v>
                </c:pt>
                <c:pt idx="922">
                  <c:v>4.84484926836012</c:v>
                </c:pt>
                <c:pt idx="923">
                  <c:v>4.82345206783871</c:v>
                </c:pt>
                <c:pt idx="924">
                  <c:v>4.66176762952581</c:v>
                </c:pt>
                <c:pt idx="925">
                  <c:v>4.66259473224287</c:v>
                </c:pt>
                <c:pt idx="926">
                  <c:v>4.82892562842403</c:v>
                </c:pt>
                <c:pt idx="927">
                  <c:v>4.84404286436118</c:v>
                </c:pt>
                <c:pt idx="928">
                  <c:v>4.68541845242601</c:v>
                </c:pt>
                <c:pt idx="929">
                  <c:v>4.65341175690363</c:v>
                </c:pt>
                <c:pt idx="930">
                  <c:v>4.78310637943746</c:v>
                </c:pt>
                <c:pt idx="931">
                  <c:v>4.84620040180207</c:v>
                </c:pt>
                <c:pt idx="932">
                  <c:v>4.81743984997621</c:v>
                </c:pt>
                <c:pt idx="933">
                  <c:v>4.65981945921374</c:v>
                </c:pt>
                <c:pt idx="934">
                  <c:v>4.66552229435141</c:v>
                </c:pt>
                <c:pt idx="935">
                  <c:v>4.83237857342007</c:v>
                </c:pt>
                <c:pt idx="936">
                  <c:v>4.84160311214993</c:v>
                </c:pt>
                <c:pt idx="937">
                  <c:v>4.67791773180093</c:v>
                </c:pt>
                <c:pt idx="938">
                  <c:v>4.65486736517594</c:v>
                </c:pt>
                <c:pt idx="939">
                  <c:v>4.80600150376429</c:v>
                </c:pt>
                <c:pt idx="940">
                  <c:v>4.84654745841019</c:v>
                </c:pt>
                <c:pt idx="941">
                  <c:v>4.75497489052698</c:v>
                </c:pt>
                <c:pt idx="942">
                  <c:v>4.65559749509134</c:v>
                </c:pt>
                <c:pt idx="943">
                  <c:v>4.67443981492484</c:v>
                </c:pt>
                <c:pt idx="944">
                  <c:v>4.83723178700715</c:v>
                </c:pt>
                <c:pt idx="945">
                  <c:v>4.8390362706382</c:v>
                </c:pt>
                <c:pt idx="946">
                  <c:v>4.67300932622275</c:v>
                </c:pt>
                <c:pt idx="947">
                  <c:v>4.65540613103459</c:v>
                </c:pt>
                <c:pt idx="948">
                  <c:v>4.81183909558006</c:v>
                </c:pt>
                <c:pt idx="949">
                  <c:v>4.84654177204906</c:v>
                </c:pt>
                <c:pt idx="950">
                  <c:v>4.72292263068733</c:v>
                </c:pt>
                <c:pt idx="951">
                  <c:v>4.65417467168382</c:v>
                </c:pt>
                <c:pt idx="952">
                  <c:v>4.68106659813441</c:v>
                </c:pt>
                <c:pt idx="953">
                  <c:v>4.839835932905</c:v>
                </c:pt>
                <c:pt idx="954">
                  <c:v>4.83488064346486</c:v>
                </c:pt>
                <c:pt idx="955">
                  <c:v>4.66800685827869</c:v>
                </c:pt>
                <c:pt idx="956">
                  <c:v>4.65821315302967</c:v>
                </c:pt>
                <c:pt idx="957">
                  <c:v>4.82153799561351</c:v>
                </c:pt>
                <c:pt idx="958">
                  <c:v>4.84529185648785</c:v>
                </c:pt>
                <c:pt idx="959">
                  <c:v>4.69530403694866</c:v>
                </c:pt>
                <c:pt idx="960">
                  <c:v>4.65335444971499</c:v>
                </c:pt>
                <c:pt idx="961">
                  <c:v>4.72523786636825</c:v>
                </c:pt>
                <c:pt idx="962">
                  <c:v>4.84366536287748</c:v>
                </c:pt>
                <c:pt idx="963">
                  <c:v>4.82882948147601</c:v>
                </c:pt>
                <c:pt idx="964">
                  <c:v>4.6642035166582</c:v>
                </c:pt>
                <c:pt idx="965">
                  <c:v>4.65970926275822</c:v>
                </c:pt>
                <c:pt idx="966">
                  <c:v>4.82518007917957</c:v>
                </c:pt>
                <c:pt idx="967">
                  <c:v>4.84480192504366</c:v>
                </c:pt>
                <c:pt idx="968">
                  <c:v>4.68998680691225</c:v>
                </c:pt>
                <c:pt idx="969">
                  <c:v>4.65353570465119</c:v>
                </c:pt>
                <c:pt idx="970">
                  <c:v>4.77216377335173</c:v>
                </c:pt>
                <c:pt idx="971">
                  <c:v>4.84557980411195</c:v>
                </c:pt>
                <c:pt idx="972">
                  <c:v>4.82002401030943</c:v>
                </c:pt>
                <c:pt idx="973">
                  <c:v>4.66047799486847</c:v>
                </c:pt>
                <c:pt idx="974">
                  <c:v>4.66474406668374</c:v>
                </c:pt>
                <c:pt idx="975">
                  <c:v>4.83160826611821</c:v>
                </c:pt>
                <c:pt idx="976">
                  <c:v>4.8420497141046</c:v>
                </c:pt>
                <c:pt idx="977">
                  <c:v>4.67918111298998</c:v>
                </c:pt>
                <c:pt idx="978">
                  <c:v>4.6544936765186</c:v>
                </c:pt>
                <c:pt idx="979">
                  <c:v>4.8024683578168</c:v>
                </c:pt>
                <c:pt idx="980">
                  <c:v>4.84690128338105</c:v>
                </c:pt>
                <c:pt idx="981">
                  <c:v>4.79610107296749</c:v>
                </c:pt>
                <c:pt idx="982">
                  <c:v>4.657414022192</c:v>
                </c:pt>
                <c:pt idx="983">
                  <c:v>4.66829891755757</c:v>
                </c:pt>
                <c:pt idx="984">
                  <c:v>4.83441021231394</c:v>
                </c:pt>
                <c:pt idx="985">
                  <c:v>4.84089856418633</c:v>
                </c:pt>
                <c:pt idx="986">
                  <c:v>4.67603724812536</c:v>
                </c:pt>
                <c:pt idx="987">
                  <c:v>4.65512750579694</c:v>
                </c:pt>
                <c:pt idx="988">
                  <c:v>4.80879017649993</c:v>
                </c:pt>
                <c:pt idx="989">
                  <c:v>4.84646156283359</c:v>
                </c:pt>
                <c:pt idx="990">
                  <c:v>4.73225987031372</c:v>
                </c:pt>
                <c:pt idx="991">
                  <c:v>4.65465930715211</c:v>
                </c:pt>
                <c:pt idx="992">
                  <c:v>4.67899334069018</c:v>
                </c:pt>
                <c:pt idx="993">
                  <c:v>4.83922964900163</c:v>
                </c:pt>
                <c:pt idx="994">
                  <c:v>4.83571149792109</c:v>
                </c:pt>
                <c:pt idx="995">
                  <c:v>4.66889975342786</c:v>
                </c:pt>
                <c:pt idx="996">
                  <c:v>4.65759395585365</c:v>
                </c:pt>
                <c:pt idx="997">
                  <c:v>4.81966015874929</c:v>
                </c:pt>
                <c:pt idx="998">
                  <c:v>4.84596309959891</c:v>
                </c:pt>
                <c:pt idx="999">
                  <c:v>4.70184287326743</c:v>
                </c:pt>
                <c:pt idx="1000">
                  <c:v>4.6027668451458</c:v>
                </c:pt>
                <c:pt idx="1001">
                  <c:v>4.63435203306701</c:v>
                </c:pt>
                <c:pt idx="1002">
                  <c:v>4.79053692213607</c:v>
                </c:pt>
                <c:pt idx="1003">
                  <c:v>4.79692063757163</c:v>
                </c:pt>
                <c:pt idx="1004">
                  <c:v>4.79062520112012</c:v>
                </c:pt>
                <c:pt idx="1005">
                  <c:v>4.76772382159491</c:v>
                </c:pt>
                <c:pt idx="1006">
                  <c:v>4.64005248967642</c:v>
                </c:pt>
                <c:pt idx="1007">
                  <c:v>4.75112247676332</c:v>
                </c:pt>
                <c:pt idx="1008">
                  <c:v>4.79431760830557</c:v>
                </c:pt>
                <c:pt idx="1009">
                  <c:v>4.79326331776657</c:v>
                </c:pt>
                <c:pt idx="1010">
                  <c:v>4.77779488698031</c:v>
                </c:pt>
                <c:pt idx="1011">
                  <c:v>4.65797881791977</c:v>
                </c:pt>
                <c:pt idx="1012">
                  <c:v>4.64853243279022</c:v>
                </c:pt>
                <c:pt idx="1013">
                  <c:v>4.78910188406122</c:v>
                </c:pt>
                <c:pt idx="1014">
                  <c:v>4.79522018487635</c:v>
                </c:pt>
                <c:pt idx="1015">
                  <c:v>4.78481857492404</c:v>
                </c:pt>
                <c:pt idx="1016">
                  <c:v>4.72688220026751</c:v>
                </c:pt>
                <c:pt idx="1017">
                  <c:v>4.62836649934613</c:v>
                </c:pt>
                <c:pt idx="1018">
                  <c:v>4.77886888756913</c:v>
                </c:pt>
                <c:pt idx="1019">
                  <c:v>4.79568365788986</c:v>
                </c:pt>
                <c:pt idx="1020">
                  <c:v>4.78891796081724</c:v>
                </c:pt>
                <c:pt idx="1021">
                  <c:v>4.75852603206225</c:v>
                </c:pt>
                <c:pt idx="1022">
                  <c:v>4.63325666413296</c:v>
                </c:pt>
                <c:pt idx="1023">
                  <c:v>4.76572396468503</c:v>
                </c:pt>
                <c:pt idx="1024">
                  <c:v>4.7956424671587</c:v>
                </c:pt>
                <c:pt idx="1025">
                  <c:v>4.7924682318769</c:v>
                </c:pt>
                <c:pt idx="1026">
                  <c:v>4.77348114606944</c:v>
                </c:pt>
                <c:pt idx="1027">
                  <c:v>4.6462958064582</c:v>
                </c:pt>
                <c:pt idx="1028">
                  <c:v>4.72847364424368</c:v>
                </c:pt>
                <c:pt idx="1029">
                  <c:v>4.79337194780896</c:v>
                </c:pt>
                <c:pt idx="1030">
                  <c:v>4.79444189677989</c:v>
                </c:pt>
                <c:pt idx="1031">
                  <c:v>4.78107354892652</c:v>
                </c:pt>
                <c:pt idx="1032">
                  <c:v>4.67158031848091</c:v>
                </c:pt>
                <c:pt idx="1033">
                  <c:v>4.63105629537038</c:v>
                </c:pt>
                <c:pt idx="1034">
                  <c:v>4.78589082260376</c:v>
                </c:pt>
                <c:pt idx="1035">
                  <c:v>4.79554965604851</c:v>
                </c:pt>
                <c:pt idx="1036">
                  <c:v>4.78634116354528</c:v>
                </c:pt>
                <c:pt idx="1037">
                  <c:v>4.74101906372895</c:v>
                </c:pt>
                <c:pt idx="1038">
                  <c:v>4.62902480721809</c:v>
                </c:pt>
                <c:pt idx="1039">
                  <c:v>4.77544851784887</c:v>
                </c:pt>
                <c:pt idx="1040">
                  <c:v>4.79604486645188</c:v>
                </c:pt>
                <c:pt idx="1041">
                  <c:v>4.7906954216687</c:v>
                </c:pt>
                <c:pt idx="1042">
                  <c:v>4.76610444492505</c:v>
                </c:pt>
                <c:pt idx="1043">
                  <c:v>4.63764759396281</c:v>
                </c:pt>
                <c:pt idx="1044">
                  <c:v>4.75587835461219</c:v>
                </c:pt>
                <c:pt idx="1045">
                  <c:v>4.79495718027113</c:v>
                </c:pt>
                <c:pt idx="1046">
                  <c:v>4.79310574642037</c:v>
                </c:pt>
                <c:pt idx="1047">
                  <c:v>4.77601581454518</c:v>
                </c:pt>
                <c:pt idx="1048">
                  <c:v>4.65127652895837</c:v>
                </c:pt>
                <c:pt idx="1049">
                  <c:v>4.68730422997744</c:v>
                </c:pt>
                <c:pt idx="1050">
                  <c:v>4.79145596939106</c:v>
                </c:pt>
                <c:pt idx="1051">
                  <c:v>4.79500318973691</c:v>
                </c:pt>
                <c:pt idx="1052">
                  <c:v>4.78321064515078</c:v>
                </c:pt>
                <c:pt idx="1053">
                  <c:v>4.69505150879392</c:v>
                </c:pt>
                <c:pt idx="1054">
                  <c:v>4.62820286032614</c:v>
                </c:pt>
                <c:pt idx="1055">
                  <c:v>4.78249838990293</c:v>
                </c:pt>
                <c:pt idx="1056">
                  <c:v>4.79593157776631</c:v>
                </c:pt>
                <c:pt idx="1057">
                  <c:v>4.78830190116291</c:v>
                </c:pt>
                <c:pt idx="1058">
                  <c:v>4.75428252492203</c:v>
                </c:pt>
                <c:pt idx="1059">
                  <c:v>4.63162555627208</c:v>
                </c:pt>
                <c:pt idx="1060">
                  <c:v>4.76928451773007</c:v>
                </c:pt>
                <c:pt idx="1061">
                  <c:v>4.79563443539922</c:v>
                </c:pt>
                <c:pt idx="1062">
                  <c:v>4.79138188810355</c:v>
                </c:pt>
                <c:pt idx="1063">
                  <c:v>4.7692773214833</c:v>
                </c:pt>
                <c:pt idx="1064">
                  <c:v>4.64057866081821</c:v>
                </c:pt>
                <c:pt idx="1065">
                  <c:v>4.74874117328487</c:v>
                </c:pt>
                <c:pt idx="1066">
                  <c:v>4.79471130153003</c:v>
                </c:pt>
                <c:pt idx="1067">
                  <c:v>4.79409228152743</c:v>
                </c:pt>
                <c:pt idx="1068">
                  <c:v>4.77938734315839</c:v>
                </c:pt>
                <c:pt idx="1069">
                  <c:v>4.6618005245511</c:v>
                </c:pt>
                <c:pt idx="1070">
                  <c:v>4.6384909797222</c:v>
                </c:pt>
                <c:pt idx="1071">
                  <c:v>4.78814535630175</c:v>
                </c:pt>
                <c:pt idx="1072">
                  <c:v>4.79539631038084</c:v>
                </c:pt>
                <c:pt idx="1073">
                  <c:v>4.7852065853297</c:v>
                </c:pt>
                <c:pt idx="1074">
                  <c:v>4.72895437262652</c:v>
                </c:pt>
                <c:pt idx="1075">
                  <c:v>4.62827895519224</c:v>
                </c:pt>
                <c:pt idx="1076">
                  <c:v>4.77851822353484</c:v>
                </c:pt>
                <c:pt idx="1077">
                  <c:v>4.79582601520105</c:v>
                </c:pt>
                <c:pt idx="1078">
                  <c:v>4.78923013573789</c:v>
                </c:pt>
                <c:pt idx="1079">
                  <c:v>4.75954941185574</c:v>
                </c:pt>
                <c:pt idx="1080">
                  <c:v>4.63358560374285</c:v>
                </c:pt>
                <c:pt idx="1081">
                  <c:v>4.76488106370497</c:v>
                </c:pt>
                <c:pt idx="1082">
                  <c:v>4.79567835872944</c:v>
                </c:pt>
                <c:pt idx="1083">
                  <c:v>4.79269357069305</c:v>
                </c:pt>
                <c:pt idx="1084">
                  <c:v>4.774130504753</c:v>
                </c:pt>
                <c:pt idx="1085">
                  <c:v>4.6472826934335</c:v>
                </c:pt>
                <c:pt idx="1086">
                  <c:v>4.72260659305933</c:v>
                </c:pt>
                <c:pt idx="1087">
                  <c:v>4.79305949544769</c:v>
                </c:pt>
                <c:pt idx="1088">
                  <c:v>4.7945034679102</c:v>
                </c:pt>
                <c:pt idx="1089">
                  <c:v>4.7813063102977</c:v>
                </c:pt>
                <c:pt idx="1090">
                  <c:v>4.67309208839919</c:v>
                </c:pt>
                <c:pt idx="1091">
                  <c:v>4.63054922946122</c:v>
                </c:pt>
                <c:pt idx="1092">
                  <c:v>4.7855508634157</c:v>
                </c:pt>
                <c:pt idx="1093">
                  <c:v>4.79564713982627</c:v>
                </c:pt>
                <c:pt idx="1094">
                  <c:v>4.78667943526009</c:v>
                </c:pt>
                <c:pt idx="1095">
                  <c:v>4.74358286452045</c:v>
                </c:pt>
                <c:pt idx="1096">
                  <c:v>4.62931320659073</c:v>
                </c:pt>
                <c:pt idx="1097">
                  <c:v>4.77463091929435</c:v>
                </c:pt>
                <c:pt idx="1098">
                  <c:v>4.79601269778357</c:v>
                </c:pt>
                <c:pt idx="1099">
                  <c:v>4.79082984303942</c:v>
                </c:pt>
                <c:pt idx="1100">
                  <c:v>4.76668143873097</c:v>
                </c:pt>
                <c:pt idx="1101">
                  <c:v>4.63811054322957</c:v>
                </c:pt>
                <c:pt idx="1102">
                  <c:v>4.75479583052862</c:v>
                </c:pt>
                <c:pt idx="1103">
                  <c:v>4.79489381077786</c:v>
                </c:pt>
                <c:pt idx="1104">
                  <c:v>4.79319746004645</c:v>
                </c:pt>
                <c:pt idx="1105">
                  <c:v>4.77635582720321</c:v>
                </c:pt>
                <c:pt idx="1106">
                  <c:v>4.65207380562329</c:v>
                </c:pt>
                <c:pt idx="1107">
                  <c:v>4.67841395724176</c:v>
                </c:pt>
                <c:pt idx="1108">
                  <c:v>4.79109406622329</c:v>
                </c:pt>
                <c:pt idx="1109">
                  <c:v>4.79515306464123</c:v>
                </c:pt>
                <c:pt idx="1110">
                  <c:v>4.7837176811278</c:v>
                </c:pt>
                <c:pt idx="1111">
                  <c:v>4.70400155515128</c:v>
                </c:pt>
                <c:pt idx="1112">
                  <c:v>4.6280469980167</c:v>
                </c:pt>
                <c:pt idx="1113">
                  <c:v>4.78163127544887</c:v>
                </c:pt>
                <c:pt idx="1114">
                  <c:v>4.79587349208188</c:v>
                </c:pt>
                <c:pt idx="1115">
                  <c:v>4.78840182485143</c:v>
                </c:pt>
                <c:pt idx="1116">
                  <c:v>4.75496157417195</c:v>
                </c:pt>
                <c:pt idx="1117">
                  <c:v>4.63184770154428</c:v>
                </c:pt>
                <c:pt idx="1118">
                  <c:v>4.76880873509096</c:v>
                </c:pt>
                <c:pt idx="1119">
                  <c:v>4.79562908350078</c:v>
                </c:pt>
                <c:pt idx="1120">
                  <c:v>4.79150594757235</c:v>
                </c:pt>
                <c:pt idx="1121">
                  <c:v>4.76977194835901</c:v>
                </c:pt>
                <c:pt idx="1122">
                  <c:v>4.64110402386702</c:v>
                </c:pt>
                <c:pt idx="1123">
                  <c:v>4.74737619715218</c:v>
                </c:pt>
                <c:pt idx="1124">
                  <c:v>4.79465256136411</c:v>
                </c:pt>
                <c:pt idx="1125">
                  <c:v>4.79422610899303</c:v>
                </c:pt>
                <c:pt idx="1126">
                  <c:v>4.77983832021557</c:v>
                </c:pt>
                <c:pt idx="1127">
                  <c:v>4.66384680913658</c:v>
                </c:pt>
                <c:pt idx="1128">
                  <c:v>4.63582562596789</c:v>
                </c:pt>
                <c:pt idx="1129">
                  <c:v>4.78763394814318</c:v>
                </c:pt>
                <c:pt idx="1130">
                  <c:v>4.79538929177667</c:v>
                </c:pt>
                <c:pt idx="1131">
                  <c:v>4.7853428552261</c:v>
                </c:pt>
                <c:pt idx="1132">
                  <c:v>4.73077316101493</c:v>
                </c:pt>
                <c:pt idx="1133">
                  <c:v>4.62834963484916</c:v>
                </c:pt>
                <c:pt idx="1134">
                  <c:v>4.77814395951399</c:v>
                </c:pt>
                <c:pt idx="1135">
                  <c:v>4.79586373664911</c:v>
                </c:pt>
                <c:pt idx="1136">
                  <c:v>4.78944237192305</c:v>
                </c:pt>
                <c:pt idx="1137">
                  <c:v>4.76056477510862</c:v>
                </c:pt>
                <c:pt idx="1138">
                  <c:v>4.63406209279295</c:v>
                </c:pt>
                <c:pt idx="1139">
                  <c:v>4.76389272808209</c:v>
                </c:pt>
                <c:pt idx="1140">
                  <c:v>4.79562316472618</c:v>
                </c:pt>
                <c:pt idx="1141">
                  <c:v>4.79280659238702</c:v>
                </c:pt>
                <c:pt idx="1142">
                  <c:v>4.77456344969231</c:v>
                </c:pt>
                <c:pt idx="1143">
                  <c:v>4.64808689721934</c:v>
                </c:pt>
                <c:pt idx="1144">
                  <c:v>4.71736788581024</c:v>
                </c:pt>
                <c:pt idx="1145">
                  <c:v>4.79277969655215</c:v>
                </c:pt>
                <c:pt idx="1146">
                  <c:v>4.79455175098315</c:v>
                </c:pt>
                <c:pt idx="1147">
                  <c:v>4.78153730837608</c:v>
                </c:pt>
                <c:pt idx="1148">
                  <c:v>4.67496697119908</c:v>
                </c:pt>
                <c:pt idx="1149">
                  <c:v>4.63007364903205</c:v>
                </c:pt>
                <c:pt idx="1150">
                  <c:v>4.7851429562965</c:v>
                </c:pt>
                <c:pt idx="1151">
                  <c:v>4.79574814261408</c:v>
                </c:pt>
                <c:pt idx="1152">
                  <c:v>4.78706589041436</c:v>
                </c:pt>
                <c:pt idx="1153">
                  <c:v>4.74639432291927</c:v>
                </c:pt>
                <c:pt idx="1154">
                  <c:v>4.6297462468236</c:v>
                </c:pt>
                <c:pt idx="1155">
                  <c:v>4.77355235237109</c:v>
                </c:pt>
                <c:pt idx="1156">
                  <c:v>4.79592846224888</c:v>
                </c:pt>
                <c:pt idx="1157">
                  <c:v>4.79091623201898</c:v>
                </c:pt>
                <c:pt idx="1158">
                  <c:v>4.76712107371776</c:v>
                </c:pt>
                <c:pt idx="1159">
                  <c:v>4.63849736637009</c:v>
                </c:pt>
                <c:pt idx="1160">
                  <c:v>4.75390686426072</c:v>
                </c:pt>
                <c:pt idx="1161">
                  <c:v>4.79484710779666</c:v>
                </c:pt>
                <c:pt idx="1162">
                  <c:v>4.79329052805551</c:v>
                </c:pt>
                <c:pt idx="1163">
                  <c:v>4.77669849919486</c:v>
                </c:pt>
                <c:pt idx="1164">
                  <c:v>4.65293054455552</c:v>
                </c:pt>
                <c:pt idx="1165">
                  <c:v>4.6705068008721</c:v>
                </c:pt>
                <c:pt idx="1166">
                  <c:v>4.79074389493539</c:v>
                </c:pt>
                <c:pt idx="1167">
                  <c:v>4.7952696959245</c:v>
                </c:pt>
                <c:pt idx="1168">
                  <c:v>4.78413107724194</c:v>
                </c:pt>
                <c:pt idx="1169">
                  <c:v>4.71163794933623</c:v>
                </c:pt>
                <c:pt idx="1170">
                  <c:v>4.62801747956314</c:v>
                </c:pt>
                <c:pt idx="1171">
                  <c:v>4.78086416481914</c:v>
                </c:pt>
                <c:pt idx="1172">
                  <c:v>4.79582173676684</c:v>
                </c:pt>
                <c:pt idx="1173">
                  <c:v>4.78849602694226</c:v>
                </c:pt>
                <c:pt idx="1174">
                  <c:v>4.7555887897572</c:v>
                </c:pt>
                <c:pt idx="1175">
                  <c:v>4.63206154429308</c:v>
                </c:pt>
                <c:pt idx="1176">
                  <c:v>4.7683391867452</c:v>
                </c:pt>
                <c:pt idx="1177">
                  <c:v>4.79563293986096</c:v>
                </c:pt>
                <c:pt idx="1178">
                  <c:v>4.79165078386854</c:v>
                </c:pt>
                <c:pt idx="1179">
                  <c:v>4.77033297506976</c:v>
                </c:pt>
                <c:pt idx="1180">
                  <c:v>4.64173318356946</c:v>
                </c:pt>
                <c:pt idx="1181">
                  <c:v>4.74569545288206</c:v>
                </c:pt>
                <c:pt idx="1182">
                  <c:v>4.79455793396739</c:v>
                </c:pt>
                <c:pt idx="1183">
                  <c:v>4.79432673144078</c:v>
                </c:pt>
                <c:pt idx="1184">
                  <c:v>4.78019726520989</c:v>
                </c:pt>
                <c:pt idx="1185">
                  <c:v>4.66565621574684</c:v>
                </c:pt>
                <c:pt idx="1186">
                  <c:v>4.63412050316651</c:v>
                </c:pt>
                <c:pt idx="1187">
                  <c:v>4.78720761257296</c:v>
                </c:pt>
                <c:pt idx="1188">
                  <c:v>4.79539965386853</c:v>
                </c:pt>
                <c:pt idx="1189">
                  <c:v>4.78550208773936</c:v>
                </c:pt>
                <c:pt idx="1190">
                  <c:v>4.73269055563684</c:v>
                </c:pt>
                <c:pt idx="1191">
                  <c:v>4.62843264871421</c:v>
                </c:pt>
                <c:pt idx="1192">
                  <c:v>4.77770041071151</c:v>
                </c:pt>
                <c:pt idx="1193">
                  <c:v>4.79591912129121</c:v>
                </c:pt>
                <c:pt idx="1194">
                  <c:v>4.78971764522472</c:v>
                </c:pt>
                <c:pt idx="1195">
                  <c:v>4.7618290186358</c:v>
                </c:pt>
                <c:pt idx="1196">
                  <c:v>4.6347268204366</c:v>
                </c:pt>
                <c:pt idx="1197">
                  <c:v>4.76250243224693</c:v>
                </c:pt>
                <c:pt idx="1198">
                  <c:v>4.79551649025956</c:v>
                </c:pt>
                <c:pt idx="1199">
                  <c:v>4.79288756892137</c:v>
                </c:pt>
                <c:pt idx="1200">
                  <c:v>4.7749133563465</c:v>
                </c:pt>
                <c:pt idx="1201">
                  <c:v>4.84402587261402</c:v>
                </c:pt>
                <c:pt idx="1202">
                  <c:v>4.86817500792063</c:v>
                </c:pt>
                <c:pt idx="1203">
                  <c:v>4.88740716103457</c:v>
                </c:pt>
                <c:pt idx="1204">
                  <c:v>4.90503174978362</c:v>
                </c:pt>
                <c:pt idx="1205">
                  <c:v>4.92185492479794</c:v>
                </c:pt>
                <c:pt idx="1206">
                  <c:v>4.93819943255395</c:v>
                </c:pt>
                <c:pt idx="1207">
                  <c:v>4.95422048216655</c:v>
                </c:pt>
                <c:pt idx="1208">
                  <c:v>4.97000018210059</c:v>
                </c:pt>
                <c:pt idx="1209">
                  <c:v>4.98558414272479</c:v>
                </c:pt>
                <c:pt idx="1210">
                  <c:v>5.00099796601946</c:v>
                </c:pt>
                <c:pt idx="1211">
                  <c:v>5.01625547433722</c:v>
                </c:pt>
                <c:pt idx="1212">
                  <c:v>5.03136313034267</c:v>
                </c:pt>
                <c:pt idx="1213">
                  <c:v>5.04632254153393</c:v>
                </c:pt>
                <c:pt idx="1214">
                  <c:v>5.06113193265559</c:v>
                </c:pt>
                <c:pt idx="1215">
                  <c:v>5.07578702860747</c:v>
                </c:pt>
                <c:pt idx="1216">
                  <c:v>5.09028158229025</c:v>
                </c:pt>
                <c:pt idx="1217">
                  <c:v>5.1046076768047</c:v>
                </c:pt>
                <c:pt idx="1218">
                  <c:v>5.11875587525459</c:v>
                </c:pt>
                <c:pt idx="1219">
                  <c:v>5.13271525960011</c:v>
                </c:pt>
                <c:pt idx="1220">
                  <c:v>5.14647338078034</c:v>
                </c:pt>
                <c:pt idx="1221">
                  <c:v>5.16001612961996</c:v>
                </c:pt>
                <c:pt idx="1222">
                  <c:v>5.17332752849734</c:v>
                </c:pt>
                <c:pt idx="1223">
                  <c:v>5.18638943526132</c:v>
                </c:pt>
                <c:pt idx="1224">
                  <c:v>5.19918114180933</c:v>
                </c:pt>
                <c:pt idx="1225">
                  <c:v>5.21167883841923</c:v>
                </c:pt>
                <c:pt idx="1226">
                  <c:v>5.22385489919916</c:v>
                </c:pt>
                <c:pt idx="1227">
                  <c:v>5.23567692055926</c:v>
                </c:pt>
                <c:pt idx="1228">
                  <c:v>5.24710640780144</c:v>
                </c:pt>
                <c:pt idx="1229">
                  <c:v>5.25809694467847</c:v>
                </c:pt>
                <c:pt idx="1230">
                  <c:v>5.26859157801777</c:v>
                </c:pt>
                <c:pt idx="1231">
                  <c:v>5.27851896626311</c:v>
                </c:pt>
                <c:pt idx="1232">
                  <c:v>5.28778749699241</c:v>
                </c:pt>
                <c:pt idx="1233">
                  <c:v>5.29627589354894</c:v>
                </c:pt>
                <c:pt idx="1234">
                  <c:v>5.3038173632497</c:v>
                </c:pt>
                <c:pt idx="1235">
                  <c:v>5.31017089499358</c:v>
                </c:pt>
                <c:pt idx="1236">
                  <c:v>5.31496421944474</c:v>
                </c:pt>
                <c:pt idx="1237">
                  <c:v>5.31756476923383</c:v>
                </c:pt>
                <c:pt idx="1238">
                  <c:v>5.31672462747288</c:v>
                </c:pt>
                <c:pt idx="1239">
                  <c:v>5.30920309438961</c:v>
                </c:pt>
                <c:pt idx="1240">
                  <c:v>5.27596280913258</c:v>
                </c:pt>
                <c:pt idx="1241">
                  <c:v>5.13082535683767</c:v>
                </c:pt>
                <c:pt idx="1242">
                  <c:v>5.26174752153825</c:v>
                </c:pt>
                <c:pt idx="1243">
                  <c:v>5.30399113740496</c:v>
                </c:pt>
                <c:pt idx="1244">
                  <c:v>5.30042628657264</c:v>
                </c:pt>
                <c:pt idx="1245">
                  <c:v>5.2737185287418</c:v>
                </c:pt>
                <c:pt idx="1246">
                  <c:v>5.13366059820997</c:v>
                </c:pt>
                <c:pt idx="1247">
                  <c:v>5.25791631308618</c:v>
                </c:pt>
                <c:pt idx="1248">
                  <c:v>5.29960048973417</c:v>
                </c:pt>
                <c:pt idx="1249">
                  <c:v>5.29700726799952</c:v>
                </c:pt>
                <c:pt idx="1250">
                  <c:v>5.27597699417791</c:v>
                </c:pt>
                <c:pt idx="1251">
                  <c:v>5.14053758780111</c:v>
                </c:pt>
                <c:pt idx="1252">
                  <c:v>5.24013820599546</c:v>
                </c:pt>
                <c:pt idx="1253">
                  <c:v>5.29647632531514</c:v>
                </c:pt>
                <c:pt idx="1254">
                  <c:v>5.29630562982131</c:v>
                </c:pt>
                <c:pt idx="1255">
                  <c:v>5.28084077368864</c:v>
                </c:pt>
                <c:pt idx="1256">
                  <c:v>5.15588551460493</c:v>
                </c:pt>
                <c:pt idx="1257">
                  <c:v>5.14413899000091</c:v>
                </c:pt>
                <c:pt idx="1258">
                  <c:v>5.290166009644</c:v>
                </c:pt>
                <c:pt idx="1259">
                  <c:v>5.29632146715769</c:v>
                </c:pt>
                <c:pt idx="1260">
                  <c:v>5.28519468982229</c:v>
                </c:pt>
                <c:pt idx="1261">
                  <c:v>5.20733433068149</c:v>
                </c:pt>
                <c:pt idx="1262">
                  <c:v>5.12721726407926</c:v>
                </c:pt>
                <c:pt idx="1263">
                  <c:v>5.28142950584123</c:v>
                </c:pt>
                <c:pt idx="1264">
                  <c:v>5.2961802650606</c:v>
                </c:pt>
                <c:pt idx="1265">
                  <c:v>5.28846407680994</c:v>
                </c:pt>
                <c:pt idx="1266">
                  <c:v>5.2529334461012</c:v>
                </c:pt>
                <c:pt idx="1267">
                  <c:v>5.13094481341242</c:v>
                </c:pt>
                <c:pt idx="1268">
                  <c:v>5.27037528613151</c:v>
                </c:pt>
                <c:pt idx="1269">
                  <c:v>5.29573463094422</c:v>
                </c:pt>
                <c:pt idx="1270">
                  <c:v>5.29103734826966</c:v>
                </c:pt>
                <c:pt idx="1271">
                  <c:v>5.26748307628308</c:v>
                </c:pt>
                <c:pt idx="1272">
                  <c:v>5.13876298022676</c:v>
                </c:pt>
                <c:pt idx="1273">
                  <c:v>5.25326298123869</c:v>
                </c:pt>
                <c:pt idx="1274">
                  <c:v>5.29474182950325</c:v>
                </c:pt>
                <c:pt idx="1275">
                  <c:v>5.29313406891996</c:v>
                </c:pt>
                <c:pt idx="1276">
                  <c:v>5.27630727061802</c:v>
                </c:pt>
                <c:pt idx="1277">
                  <c:v>5.15227504520619</c:v>
                </c:pt>
                <c:pt idx="1278">
                  <c:v>5.17839875628827</c:v>
                </c:pt>
                <c:pt idx="1279">
                  <c:v>5.29094408967733</c:v>
                </c:pt>
                <c:pt idx="1280">
                  <c:v>5.29489062206634</c:v>
                </c:pt>
                <c:pt idx="1281">
                  <c:v>5.28317899792292</c:v>
                </c:pt>
                <c:pt idx="1282">
                  <c:v>5.19819651141605</c:v>
                </c:pt>
                <c:pt idx="1283">
                  <c:v>5.12834075092386</c:v>
                </c:pt>
                <c:pt idx="1284">
                  <c:v>5.28211871372672</c:v>
                </c:pt>
                <c:pt idx="1285">
                  <c:v>5.29565967952658</c:v>
                </c:pt>
                <c:pt idx="1286">
                  <c:v>5.28787074866021</c:v>
                </c:pt>
                <c:pt idx="1287">
                  <c:v>5.25300041016139</c:v>
                </c:pt>
                <c:pt idx="1288">
                  <c:v>5.1314643002784</c:v>
                </c:pt>
                <c:pt idx="1289">
                  <c:v>5.26994308031293</c:v>
                </c:pt>
                <c:pt idx="1290">
                  <c:v>5.29540612675125</c:v>
                </c:pt>
                <c:pt idx="1291">
                  <c:v>5.29079780723745</c:v>
                </c:pt>
                <c:pt idx="1292">
                  <c:v>5.26765755585486</c:v>
                </c:pt>
                <c:pt idx="1293">
                  <c:v>5.13939713004266</c:v>
                </c:pt>
                <c:pt idx="1294">
                  <c:v>5.25226941425238</c:v>
                </c:pt>
                <c:pt idx="1295">
                  <c:v>5.29454192192313</c:v>
                </c:pt>
                <c:pt idx="1296">
                  <c:v>5.29310984037116</c:v>
                </c:pt>
                <c:pt idx="1297">
                  <c:v>5.2766784335167</c:v>
                </c:pt>
                <c:pt idx="1298">
                  <c:v>5.15380232611089</c:v>
                </c:pt>
                <c:pt idx="1299">
                  <c:v>5.1671767172225</c:v>
                </c:pt>
                <c:pt idx="1300">
                  <c:v>5.29034049359279</c:v>
                </c:pt>
                <c:pt idx="1301">
                  <c:v>5.29497442117501</c:v>
                </c:pt>
                <c:pt idx="1302">
                  <c:v>5.28371205312658</c:v>
                </c:pt>
                <c:pt idx="1303">
                  <c:v>5.2098346877363</c:v>
                </c:pt>
                <c:pt idx="1304">
                  <c:v>5.12828621875267</c:v>
                </c:pt>
                <c:pt idx="1305">
                  <c:v>5.28096655665636</c:v>
                </c:pt>
                <c:pt idx="1306">
                  <c:v>5.29554387852484</c:v>
                </c:pt>
                <c:pt idx="1307">
                  <c:v>5.28797311052331</c:v>
                </c:pt>
                <c:pt idx="1308">
                  <c:v>5.25398727855868</c:v>
                </c:pt>
                <c:pt idx="1309">
                  <c:v>5.13180446117141</c:v>
                </c:pt>
                <c:pt idx="1310">
                  <c:v>5.26928656623484</c:v>
                </c:pt>
                <c:pt idx="1311">
                  <c:v>5.29535748115159</c:v>
                </c:pt>
                <c:pt idx="1312">
                  <c:v>5.29089776886741</c:v>
                </c:pt>
                <c:pt idx="1313">
                  <c:v>5.26816651569079</c:v>
                </c:pt>
                <c:pt idx="1314">
                  <c:v>5.13991275521701</c:v>
                </c:pt>
                <c:pt idx="1315">
                  <c:v>5.25102760644226</c:v>
                </c:pt>
                <c:pt idx="1316">
                  <c:v>5.29450571337578</c:v>
                </c:pt>
                <c:pt idx="1317">
                  <c:v>5.29331285315047</c:v>
                </c:pt>
                <c:pt idx="1318">
                  <c:v>5.27738853268235</c:v>
                </c:pt>
                <c:pt idx="1319">
                  <c:v>5.155863413659</c:v>
                </c:pt>
                <c:pt idx="1320">
                  <c:v>5.15561921384101</c:v>
                </c:pt>
                <c:pt idx="1321">
                  <c:v>5.28966767841708</c:v>
                </c:pt>
                <c:pt idx="1322">
                  <c:v>5.29507779390125</c:v>
                </c:pt>
                <c:pt idx="1323">
                  <c:v>5.28418283503897</c:v>
                </c:pt>
                <c:pt idx="1324">
                  <c:v>5.21815727205257</c:v>
                </c:pt>
                <c:pt idx="1325">
                  <c:v>5.1283050866692</c:v>
                </c:pt>
                <c:pt idx="1326">
                  <c:v>5.28005367506065</c:v>
                </c:pt>
                <c:pt idx="1327">
                  <c:v>5.29549300353943</c:v>
                </c:pt>
                <c:pt idx="1328">
                  <c:v>5.28812094529719</c:v>
                </c:pt>
                <c:pt idx="1329">
                  <c:v>5.25493896562069</c:v>
                </c:pt>
                <c:pt idx="1330">
                  <c:v>5.13211186313074</c:v>
                </c:pt>
                <c:pt idx="1331">
                  <c:v>5.26862922389135</c:v>
                </c:pt>
                <c:pt idx="1332">
                  <c:v>5.29534636368031</c:v>
                </c:pt>
                <c:pt idx="1333">
                  <c:v>5.29106059650871</c:v>
                </c:pt>
                <c:pt idx="1334">
                  <c:v>5.26882873837381</c:v>
                </c:pt>
                <c:pt idx="1335">
                  <c:v>5.1405689348669</c:v>
                </c:pt>
                <c:pt idx="1336">
                  <c:v>5.24933995630121</c:v>
                </c:pt>
                <c:pt idx="1337">
                  <c:v>5.29447567362362</c:v>
                </c:pt>
                <c:pt idx="1338">
                  <c:v>5.29359989515213</c:v>
                </c:pt>
                <c:pt idx="1339">
                  <c:v>5.27833159811419</c:v>
                </c:pt>
                <c:pt idx="1340">
                  <c:v>5.15901555681134</c:v>
                </c:pt>
                <c:pt idx="1341">
                  <c:v>5.14500980500174</c:v>
                </c:pt>
                <c:pt idx="1342">
                  <c:v>5.28876741662402</c:v>
                </c:pt>
                <c:pt idx="1343">
                  <c:v>5.29509569799228</c:v>
                </c:pt>
                <c:pt idx="1344">
                  <c:v>5.28448217137247</c:v>
                </c:pt>
                <c:pt idx="1345">
                  <c:v>5.22304426324997</c:v>
                </c:pt>
                <c:pt idx="1346">
                  <c:v>5.12837026055017</c:v>
                </c:pt>
                <c:pt idx="1347">
                  <c:v>5.27942297321336</c:v>
                </c:pt>
                <c:pt idx="1348">
                  <c:v>5.29547866441794</c:v>
                </c:pt>
                <c:pt idx="1349">
                  <c:v>5.28827969511283</c:v>
                </c:pt>
                <c:pt idx="1350">
                  <c:v>5.25586439084233</c:v>
                </c:pt>
                <c:pt idx="1351">
                  <c:v>5.13242074598299</c:v>
                </c:pt>
                <c:pt idx="1352">
                  <c:v>5.26792785177975</c:v>
                </c:pt>
                <c:pt idx="1353">
                  <c:v>5.29535714381906</c:v>
                </c:pt>
                <c:pt idx="1354">
                  <c:v>5.29128606159758</c:v>
                </c:pt>
                <c:pt idx="1355">
                  <c:v>5.26969846350071</c:v>
                </c:pt>
                <c:pt idx="1356">
                  <c:v>5.14149122875168</c:v>
                </c:pt>
                <c:pt idx="1357">
                  <c:v>5.24692613444527</c:v>
                </c:pt>
                <c:pt idx="1358">
                  <c:v>5.29438451940689</c:v>
                </c:pt>
                <c:pt idx="1359">
                  <c:v>5.2938680138382</c:v>
                </c:pt>
                <c:pt idx="1360">
                  <c:v>5.27922416246772</c:v>
                </c:pt>
                <c:pt idx="1361">
                  <c:v>5.16264433538526</c:v>
                </c:pt>
                <c:pt idx="1362">
                  <c:v>5.13803499249717</c:v>
                </c:pt>
                <c:pt idx="1363">
                  <c:v>5.28781825699044</c:v>
                </c:pt>
                <c:pt idx="1364">
                  <c:v>5.29506786707971</c:v>
                </c:pt>
                <c:pt idx="1365">
                  <c:v>5.2846859408788</c:v>
                </c:pt>
                <c:pt idx="1366">
                  <c:v>5.22625103907538</c:v>
                </c:pt>
                <c:pt idx="1367">
                  <c:v>5.12844815961022</c:v>
                </c:pt>
                <c:pt idx="1368">
                  <c:v>5.27894074729276</c:v>
                </c:pt>
                <c:pt idx="1369">
                  <c:v>5.29548345024614</c:v>
                </c:pt>
                <c:pt idx="1370">
                  <c:v>5.28844459019177</c:v>
                </c:pt>
                <c:pt idx="1371">
                  <c:v>5.25677319043958</c:v>
                </c:pt>
                <c:pt idx="1372">
                  <c:v>5.13274123170778</c:v>
                </c:pt>
                <c:pt idx="1373">
                  <c:v>5.2671660703645</c:v>
                </c:pt>
                <c:pt idx="1374">
                  <c:v>5.29538681078187</c:v>
                </c:pt>
                <c:pt idx="1375">
                  <c:v>5.29157186346385</c:v>
                </c:pt>
                <c:pt idx="1376">
                  <c:v>5.27076194360822</c:v>
                </c:pt>
                <c:pt idx="1377">
                  <c:v>5.14274869470836</c:v>
                </c:pt>
                <c:pt idx="1378">
                  <c:v>5.24339818490175</c:v>
                </c:pt>
                <c:pt idx="1379">
                  <c:v>5.2941698787945</c:v>
                </c:pt>
                <c:pt idx="1380">
                  <c:v>5.29402507088242</c:v>
                </c:pt>
                <c:pt idx="1381">
                  <c:v>5.27980859326622</c:v>
                </c:pt>
                <c:pt idx="1382">
                  <c:v>5.16549924617995</c:v>
                </c:pt>
                <c:pt idx="1383">
                  <c:v>5.13488122245861</c:v>
                </c:pt>
                <c:pt idx="1384">
                  <c:v>5.28714967323282</c:v>
                </c:pt>
                <c:pt idx="1385">
                  <c:v>5.29506761625409</c:v>
                </c:pt>
                <c:pt idx="1386">
                  <c:v>5.28489006684901</c:v>
                </c:pt>
                <c:pt idx="1387">
                  <c:v>5.229054911274</c:v>
                </c:pt>
                <c:pt idx="1388">
                  <c:v>5.12853011312621</c:v>
                </c:pt>
                <c:pt idx="1389">
                  <c:v>5.2784475918187</c:v>
                </c:pt>
                <c:pt idx="1390">
                  <c:v>5.29551026938297</c:v>
                </c:pt>
                <c:pt idx="1391">
                  <c:v>5.28866687430518</c:v>
                </c:pt>
                <c:pt idx="1392">
                  <c:v>5.2579227058782</c:v>
                </c:pt>
                <c:pt idx="1393">
                  <c:v>5.13317501870549</c:v>
                </c:pt>
                <c:pt idx="1394">
                  <c:v>5.26613377733528</c:v>
                </c:pt>
                <c:pt idx="1395">
                  <c:v>5.29542426289172</c:v>
                </c:pt>
                <c:pt idx="1396">
                  <c:v>5.29194239382106</c:v>
                </c:pt>
                <c:pt idx="1397">
                  <c:v>5.27210130042029</c:v>
                </c:pt>
                <c:pt idx="1398">
                  <c:v>5.14458997247417</c:v>
                </c:pt>
                <c:pt idx="1399">
                  <c:v>5.23707597466012</c:v>
                </c:pt>
                <c:pt idx="1400">
                  <c:v>5.29372955904775</c:v>
                </c:pt>
                <c:pt idx="1401">
                  <c:v>5.2940867194299</c:v>
                </c:pt>
                <c:pt idx="1402">
                  <c:v>5.28017657365485</c:v>
                </c:pt>
                <c:pt idx="1403">
                  <c:v>5.16765098702258</c:v>
                </c:pt>
                <c:pt idx="1404">
                  <c:v>5.13333347866536</c:v>
                </c:pt>
                <c:pt idx="1405">
                  <c:v>5.28668373775302</c:v>
                </c:pt>
                <c:pt idx="1406">
                  <c:v>5.29508912889806</c:v>
                </c:pt>
                <c:pt idx="1407">
                  <c:v>5.28509596948349</c:v>
                </c:pt>
                <c:pt idx="1408">
                  <c:v>5.23157882944383</c:v>
                </c:pt>
                <c:pt idx="1409">
                  <c:v>5.12862052968373</c:v>
                </c:pt>
                <c:pt idx="1410">
                  <c:v>5.27792089577323</c:v>
                </c:pt>
                <c:pt idx="1411">
                  <c:v>5.29556199656208</c:v>
                </c:pt>
                <c:pt idx="1412">
                  <c:v>5.28896115229308</c:v>
                </c:pt>
                <c:pt idx="1413">
                  <c:v>5.2593641557653</c:v>
                </c:pt>
                <c:pt idx="1414">
                  <c:v>5.13378114331473</c:v>
                </c:pt>
                <c:pt idx="1415">
                  <c:v>5.26479403075646</c:v>
                </c:pt>
                <c:pt idx="1416">
                  <c:v>5.29541251499478</c:v>
                </c:pt>
                <c:pt idx="1417">
                  <c:v>5.292260362689</c:v>
                </c:pt>
                <c:pt idx="1418">
                  <c:v>5.27324994354443</c:v>
                </c:pt>
                <c:pt idx="1419">
                  <c:v>5.14642250845045</c:v>
                </c:pt>
                <c:pt idx="1420">
                  <c:v>5.22891268176519</c:v>
                </c:pt>
                <c:pt idx="1421">
                  <c:v>5.29319237198508</c:v>
                </c:pt>
                <c:pt idx="1422">
                  <c:v>5.29411106599997</c:v>
                </c:pt>
                <c:pt idx="1423">
                  <c:v>5.28044780987531</c:v>
                </c:pt>
                <c:pt idx="1424">
                  <c:v>5.16946346053097</c:v>
                </c:pt>
                <c:pt idx="1425">
                  <c:v>5.13237936256382</c:v>
                </c:pt>
                <c:pt idx="1426">
                  <c:v>5.2863042832478</c:v>
                </c:pt>
                <c:pt idx="1427">
                  <c:v>5.29512564557756</c:v>
                </c:pt>
                <c:pt idx="1428">
                  <c:v>5.28531601415345</c:v>
                </c:pt>
                <c:pt idx="1429">
                  <c:v>5.23401802153162</c:v>
                </c:pt>
                <c:pt idx="1430">
                  <c:v>5.12872942825177</c:v>
                </c:pt>
                <c:pt idx="1431">
                  <c:v>5.27732203453246</c:v>
                </c:pt>
                <c:pt idx="1432">
                  <c:v>5.29563872139492</c:v>
                </c:pt>
                <c:pt idx="1433">
                  <c:v>5.28933713755484</c:v>
                </c:pt>
                <c:pt idx="1434">
                  <c:v>5.26111089501429</c:v>
                </c:pt>
                <c:pt idx="1435">
                  <c:v>5.13463875830735</c:v>
                </c:pt>
                <c:pt idx="1436">
                  <c:v>5.262989481908</c:v>
                </c:pt>
                <c:pt idx="1437">
                  <c:v>5.29530657637832</c:v>
                </c:pt>
                <c:pt idx="1438">
                  <c:v>5.29245122233107</c:v>
                </c:pt>
                <c:pt idx="1439">
                  <c:v>5.27398956856248</c:v>
                </c:pt>
                <c:pt idx="1440">
                  <c:v>5.14774430747142</c:v>
                </c:pt>
                <c:pt idx="1441">
                  <c:v>5.22170824212703</c:v>
                </c:pt>
                <c:pt idx="1442">
                  <c:v>5.29276955889899</c:v>
                </c:pt>
                <c:pt idx="1443">
                  <c:v>5.29415530122777</c:v>
                </c:pt>
                <c:pt idx="1444">
                  <c:v>5.28072281203023</c:v>
                </c:pt>
                <c:pt idx="1445">
                  <c:v>5.1713941473681</c:v>
                </c:pt>
                <c:pt idx="1446">
                  <c:v>5.13157992464062</c:v>
                </c:pt>
                <c:pt idx="1447">
                  <c:v>5.28589852481438</c:v>
                </c:pt>
                <c:pt idx="1448">
                  <c:v>5.2951905779857</c:v>
                </c:pt>
                <c:pt idx="1449">
                  <c:v>5.28561631287315</c:v>
                </c:pt>
                <c:pt idx="1450">
                  <c:v>5.23699053361969</c:v>
                </c:pt>
                <c:pt idx="1451">
                  <c:v>5.128900367832</c:v>
                </c:pt>
                <c:pt idx="1452">
                  <c:v>5.27650929548084</c:v>
                </c:pt>
                <c:pt idx="1453">
                  <c:v>5.29573033095698</c:v>
                </c:pt>
                <c:pt idx="1454">
                  <c:v>5.28980594979028</c:v>
                </c:pt>
                <c:pt idx="1455">
                  <c:v>5.2631820344524</c:v>
                </c:pt>
                <c:pt idx="1456">
                  <c:v>5.13587583099453</c:v>
                </c:pt>
                <c:pt idx="1457">
                  <c:v>5.26029215796192</c:v>
                </c:pt>
                <c:pt idx="1458">
                  <c:v>5.2950769689831</c:v>
                </c:pt>
                <c:pt idx="1459">
                  <c:v>5.29254541836865</c:v>
                </c:pt>
                <c:pt idx="1460">
                  <c:v>5.27446084300665</c:v>
                </c:pt>
                <c:pt idx="1461">
                  <c:v>5.14868962408321</c:v>
                </c:pt>
                <c:pt idx="1462">
                  <c:v>5.21573358083235</c:v>
                </c:pt>
                <c:pt idx="1463">
                  <c:v>5.29245030538154</c:v>
                </c:pt>
                <c:pt idx="1464">
                  <c:v>5.29421103535937</c:v>
                </c:pt>
                <c:pt idx="1465">
                  <c:v>5.28099216815903</c:v>
                </c:pt>
                <c:pt idx="1466">
                  <c:v>5.1734313938126</c:v>
                </c:pt>
                <c:pt idx="1467">
                  <c:v>5.13092079409881</c:v>
                </c:pt>
                <c:pt idx="1468">
                  <c:v>5.28546314798774</c:v>
                </c:pt>
                <c:pt idx="1469">
                  <c:v>5.29528521023349</c:v>
                </c:pt>
                <c:pt idx="1470">
                  <c:v>5.28600141323696</c:v>
                </c:pt>
                <c:pt idx="1471">
                  <c:v>5.24038731333808</c:v>
                </c:pt>
                <c:pt idx="1472">
                  <c:v>5.12917261810194</c:v>
                </c:pt>
                <c:pt idx="1473">
                  <c:v>5.27552532708878</c:v>
                </c:pt>
                <c:pt idx="1474">
                  <c:v>5.29576749710092</c:v>
                </c:pt>
                <c:pt idx="1475">
                  <c:v>5.29017725576001</c:v>
                </c:pt>
                <c:pt idx="1476">
                  <c:v>5.26478368357655</c:v>
                </c:pt>
                <c:pt idx="1477">
                  <c:v>5.13699578758758</c:v>
                </c:pt>
                <c:pt idx="1478">
                  <c:v>5.25774919173876</c:v>
                </c:pt>
                <c:pt idx="1479">
                  <c:v>5.29485652021824</c:v>
                </c:pt>
                <c:pt idx="1480">
                  <c:v>5.29261420258914</c:v>
                </c:pt>
                <c:pt idx="1481">
                  <c:v>5.27483370338429</c:v>
                </c:pt>
                <c:pt idx="1482">
                  <c:v>5.14948721627324</c:v>
                </c:pt>
                <c:pt idx="1483">
                  <c:v>5.20986402548792</c:v>
                </c:pt>
                <c:pt idx="1484">
                  <c:v>5.29216254142244</c:v>
                </c:pt>
                <c:pt idx="1485">
                  <c:v>5.29428288269233</c:v>
                </c:pt>
                <c:pt idx="1486">
                  <c:v>5.28129169881823</c:v>
                </c:pt>
                <c:pt idx="1487">
                  <c:v>5.17589864765179</c:v>
                </c:pt>
                <c:pt idx="1488">
                  <c:v>5.13030684884412</c:v>
                </c:pt>
                <c:pt idx="1489">
                  <c:v>5.28494287059846</c:v>
                </c:pt>
                <c:pt idx="1490">
                  <c:v>5.29541521337016</c:v>
                </c:pt>
                <c:pt idx="1491">
                  <c:v>5.28649943572907</c:v>
                </c:pt>
                <c:pt idx="1492">
                  <c:v>5.24426639206495</c:v>
                </c:pt>
                <c:pt idx="1493">
                  <c:v>5.12963265344335</c:v>
                </c:pt>
                <c:pt idx="1494">
                  <c:v>5.2742311370339</c:v>
                </c:pt>
                <c:pt idx="1495">
                  <c:v>5.2957151668117</c:v>
                </c:pt>
                <c:pt idx="1496">
                  <c:v>5.29040373999585</c:v>
                </c:pt>
                <c:pt idx="1497">
                  <c:v>5.26580129940491</c:v>
                </c:pt>
                <c:pt idx="1498">
                  <c:v>5.1377844466696</c:v>
                </c:pt>
                <c:pt idx="1499">
                  <c:v>5.25597048831837</c:v>
                </c:pt>
                <c:pt idx="1500">
                  <c:v>5.29471943955042</c:v>
                </c:pt>
                <c:pt idx="1501">
                  <c:v>5.29270011723706</c:v>
                </c:pt>
                <c:pt idx="1502">
                  <c:v>5.27521221017836</c:v>
                </c:pt>
                <c:pt idx="1503">
                  <c:v>5.15031011992482</c:v>
                </c:pt>
                <c:pt idx="1504">
                  <c:v>5.20257913252829</c:v>
                </c:pt>
                <c:pt idx="1505">
                  <c:v>5.29183622741343</c:v>
                </c:pt>
                <c:pt idx="1506">
                  <c:v>5.29439257954351</c:v>
                </c:pt>
                <c:pt idx="1507">
                  <c:v>5.28170170324562</c:v>
                </c:pt>
                <c:pt idx="1508">
                  <c:v>5.17970790642603</c:v>
                </c:pt>
                <c:pt idx="1509">
                  <c:v>5.1296327822892</c:v>
                </c:pt>
                <c:pt idx="1510">
                  <c:v>5.28424685433095</c:v>
                </c:pt>
                <c:pt idx="1511">
                  <c:v>5.29556317425824</c:v>
                </c:pt>
                <c:pt idx="1512">
                  <c:v>5.28708704605265</c:v>
                </c:pt>
                <c:pt idx="1513">
                  <c:v>5.24831100114684</c:v>
                </c:pt>
                <c:pt idx="1514">
                  <c:v>5.13034767731283</c:v>
                </c:pt>
                <c:pt idx="1515">
                  <c:v>5.27248595943312</c:v>
                </c:pt>
                <c:pt idx="1516">
                  <c:v>5.29557216004589</c:v>
                </c:pt>
                <c:pt idx="1517">
                  <c:v>5.29052865335421</c:v>
                </c:pt>
                <c:pt idx="1518">
                  <c:v>5.26645859521985</c:v>
                </c:pt>
                <c:pt idx="1519">
                  <c:v>5.13834825880665</c:v>
                </c:pt>
                <c:pt idx="1520">
                  <c:v>5.25472820804263</c:v>
                </c:pt>
                <c:pt idx="1521">
                  <c:v>5.29463616327417</c:v>
                </c:pt>
                <c:pt idx="1522">
                  <c:v>5.29279112812846</c:v>
                </c:pt>
                <c:pt idx="1523">
                  <c:v>5.275576732843</c:v>
                </c:pt>
                <c:pt idx="1524">
                  <c:v>5.15113318402736</c:v>
                </c:pt>
                <c:pt idx="1525">
                  <c:v>5.19394636964228</c:v>
                </c:pt>
                <c:pt idx="1526">
                  <c:v>5.29147615946488</c:v>
                </c:pt>
                <c:pt idx="1527">
                  <c:v>5.294538031478</c:v>
                </c:pt>
                <c:pt idx="1528">
                  <c:v>5.28221417378533</c:v>
                </c:pt>
                <c:pt idx="1529">
                  <c:v>5.18545744864964</c:v>
                </c:pt>
                <c:pt idx="1530">
                  <c:v>5.12901074644535</c:v>
                </c:pt>
                <c:pt idx="1531">
                  <c:v>5.28344890967792</c:v>
                </c:pt>
                <c:pt idx="1532">
                  <c:v>5.29564326898325</c:v>
                </c:pt>
                <c:pt idx="1533">
                  <c:v>5.28752059838047</c:v>
                </c:pt>
                <c:pt idx="1534">
                  <c:v>5.2510563698128</c:v>
                </c:pt>
                <c:pt idx="1535">
                  <c:v>5.13097687253944</c:v>
                </c:pt>
                <c:pt idx="1536">
                  <c:v>5.27104848664855</c:v>
                </c:pt>
                <c:pt idx="1537">
                  <c:v>5.29545376301956</c:v>
                </c:pt>
                <c:pt idx="1538">
                  <c:v>5.29063517983984</c:v>
                </c:pt>
                <c:pt idx="1539">
                  <c:v>5.26700861136941</c:v>
                </c:pt>
                <c:pt idx="1540">
                  <c:v>5.13884033517104</c:v>
                </c:pt>
                <c:pt idx="1541">
                  <c:v>5.25362388078075</c:v>
                </c:pt>
                <c:pt idx="1542">
                  <c:v>5.29457725004766</c:v>
                </c:pt>
                <c:pt idx="1543">
                  <c:v>5.29290522088421</c:v>
                </c:pt>
                <c:pt idx="1544">
                  <c:v>5.27599960071974</c:v>
                </c:pt>
                <c:pt idx="1545">
                  <c:v>5.15212792131729</c:v>
                </c:pt>
                <c:pt idx="1546">
                  <c:v>5.18266929271895</c:v>
                </c:pt>
                <c:pt idx="1547">
                  <c:v>5.29102008715918</c:v>
                </c:pt>
                <c:pt idx="1548">
                  <c:v>5.29473396410244</c:v>
                </c:pt>
                <c:pt idx="1549">
                  <c:v>5.28288280673853</c:v>
                </c:pt>
                <c:pt idx="1550">
                  <c:v>5.19513271829859</c:v>
                </c:pt>
                <c:pt idx="1551">
                  <c:v>5.12851178478979</c:v>
                </c:pt>
                <c:pt idx="1552">
                  <c:v>5.28240606462172</c:v>
                </c:pt>
                <c:pt idx="1553">
                  <c:v>5.29563307582841</c:v>
                </c:pt>
                <c:pt idx="1554">
                  <c:v>5.28778892343837</c:v>
                </c:pt>
                <c:pt idx="1555">
                  <c:v>5.25274973760421</c:v>
                </c:pt>
                <c:pt idx="1556">
                  <c:v>5.13142904684785</c:v>
                </c:pt>
                <c:pt idx="1557">
                  <c:v>5.27006791844544</c:v>
                </c:pt>
                <c:pt idx="1558">
                  <c:v>5.29539043725811</c:v>
                </c:pt>
                <c:pt idx="1559">
                  <c:v>5.29075568562524</c:v>
                </c:pt>
                <c:pt idx="1560">
                  <c:v>5.26756089844054</c:v>
                </c:pt>
                <c:pt idx="1561">
                  <c:v>5.13934283301688</c:v>
                </c:pt>
                <c:pt idx="1562">
                  <c:v>5.25244111959843</c:v>
                </c:pt>
                <c:pt idx="1563">
                  <c:v>5.29453418506253</c:v>
                </c:pt>
                <c:pt idx="1564">
                  <c:v>5.29306962871466</c:v>
                </c:pt>
                <c:pt idx="1565">
                  <c:v>5.27657364023498</c:v>
                </c:pt>
                <c:pt idx="1566">
                  <c:v>5.15356927666748</c:v>
                </c:pt>
                <c:pt idx="1567">
                  <c:v>5.16905823714757</c:v>
                </c:pt>
                <c:pt idx="1568">
                  <c:v>5.29042547598279</c:v>
                </c:pt>
                <c:pt idx="1569">
                  <c:v>5.29494431140786</c:v>
                </c:pt>
                <c:pt idx="1570">
                  <c:v>5.28361767764782</c:v>
                </c:pt>
                <c:pt idx="1571">
                  <c:v>5.20824998834812</c:v>
                </c:pt>
                <c:pt idx="1572">
                  <c:v>5.12829895082846</c:v>
                </c:pt>
                <c:pt idx="1573">
                  <c:v>5.28112578332392</c:v>
                </c:pt>
                <c:pt idx="1574">
                  <c:v>5.29555160351372</c:v>
                </c:pt>
                <c:pt idx="1575">
                  <c:v>5.28795046701068</c:v>
                </c:pt>
                <c:pt idx="1576">
                  <c:v>5.25385425022341</c:v>
                </c:pt>
                <c:pt idx="1577">
                  <c:v>5.13176501101715</c:v>
                </c:pt>
                <c:pt idx="1578">
                  <c:v>5.26937220016651</c:v>
                </c:pt>
                <c:pt idx="1579">
                  <c:v>5.29535865965966</c:v>
                </c:pt>
                <c:pt idx="1580">
                  <c:v>5.29087811893519</c:v>
                </c:pt>
                <c:pt idx="1581">
                  <c:v>5.26809006304177</c:v>
                </c:pt>
                <c:pt idx="1582">
                  <c:v>5.13984174121546</c:v>
                </c:pt>
                <c:pt idx="1583">
                  <c:v>5.25121026434479</c:v>
                </c:pt>
                <c:pt idx="1584">
                  <c:v>5.29450772079159</c:v>
                </c:pt>
                <c:pt idx="1585">
                  <c:v>5.2932790280264</c:v>
                </c:pt>
                <c:pt idx="1586">
                  <c:v>5.27727861950083</c:v>
                </c:pt>
                <c:pt idx="1587">
                  <c:v>5.15553683559415</c:v>
                </c:pt>
                <c:pt idx="1588">
                  <c:v>5.15712216760285</c:v>
                </c:pt>
                <c:pt idx="1589">
                  <c:v>5.28976693967869</c:v>
                </c:pt>
                <c:pt idx="1590">
                  <c:v>5.29506789969999</c:v>
                </c:pt>
                <c:pt idx="1591">
                  <c:v>5.28412984548957</c:v>
                </c:pt>
                <c:pt idx="1592">
                  <c:v>5.21728268233092</c:v>
                </c:pt>
                <c:pt idx="1593">
                  <c:v>5.12829939397318</c:v>
                </c:pt>
                <c:pt idx="1594">
                  <c:v>5.28015713341056</c:v>
                </c:pt>
                <c:pt idx="1595">
                  <c:v>5.29549683718552</c:v>
                </c:pt>
                <c:pt idx="1596">
                  <c:v>5.28809962819348</c:v>
                </c:pt>
                <c:pt idx="1597">
                  <c:v>5.25481133919545</c:v>
                </c:pt>
                <c:pt idx="1598">
                  <c:v>5.13207061644426</c:v>
                </c:pt>
                <c:pt idx="1599">
                  <c:v>5.26872036666285</c:v>
                </c:pt>
                <c:pt idx="1600">
                  <c:v>5.29534638677759</c:v>
                </c:pt>
                <c:pt idx="1601">
                  <c:v>5.29103485807193</c:v>
                </c:pt>
                <c:pt idx="1602">
                  <c:v>5.26872743835858</c:v>
                </c:pt>
                <c:pt idx="1603">
                  <c:v>5.14046678682097</c:v>
                </c:pt>
                <c:pt idx="1604">
                  <c:v>5.24960526968373</c:v>
                </c:pt>
                <c:pt idx="1605">
                  <c:v>5.29448151461495</c:v>
                </c:pt>
                <c:pt idx="1606">
                  <c:v>5.29355878195714</c:v>
                </c:pt>
                <c:pt idx="1607">
                  <c:v>5.27819726400931</c:v>
                </c:pt>
                <c:pt idx="1608">
                  <c:v>5.15852877939321</c:v>
                </c:pt>
                <c:pt idx="1609">
                  <c:v>5.1463023382093</c:v>
                </c:pt>
                <c:pt idx="1610">
                  <c:v>5.28890177324053</c:v>
                </c:pt>
                <c:pt idx="1611">
                  <c:v>5.29509816907614</c:v>
                </c:pt>
                <c:pt idx="1612">
                  <c:v>5.28445067825022</c:v>
                </c:pt>
                <c:pt idx="1613">
                  <c:v>5.2225329146272</c:v>
                </c:pt>
                <c:pt idx="1614">
                  <c:v>5.12836033391542</c:v>
                </c:pt>
                <c:pt idx="1615">
                  <c:v>5.27949395143552</c:v>
                </c:pt>
                <c:pt idx="1616">
                  <c:v>5.2954792984189</c:v>
                </c:pt>
                <c:pt idx="1617">
                  <c:v>5.2882589941225</c:v>
                </c:pt>
                <c:pt idx="1618">
                  <c:v>5.25574662353891</c:v>
                </c:pt>
                <c:pt idx="1619">
                  <c:v>5.13238051019014</c:v>
                </c:pt>
                <c:pt idx="1620">
                  <c:v>5.26802126573493</c:v>
                </c:pt>
                <c:pt idx="1621">
                  <c:v>5.29535457990456</c:v>
                </c:pt>
                <c:pt idx="1622">
                  <c:v>5.29125335780288</c:v>
                </c:pt>
                <c:pt idx="1623">
                  <c:v>5.26957428381639</c:v>
                </c:pt>
                <c:pt idx="1624">
                  <c:v>5.14135430761932</c:v>
                </c:pt>
                <c:pt idx="1625">
                  <c:v>5.24728889026484</c:v>
                </c:pt>
                <c:pt idx="1626">
                  <c:v>5.29440223933542</c:v>
                </c:pt>
                <c:pt idx="1627">
                  <c:v>5.29383897935611</c:v>
                </c:pt>
                <c:pt idx="1628">
                  <c:v>5.2791247349443</c:v>
                </c:pt>
                <c:pt idx="1629">
                  <c:v>5.16220238684165</c:v>
                </c:pt>
                <c:pt idx="1630">
                  <c:v>5.13867553576729</c:v>
                </c:pt>
                <c:pt idx="1631">
                  <c:v>5.28792803377981</c:v>
                </c:pt>
                <c:pt idx="1632">
                  <c:v>5.29507044124538</c:v>
                </c:pt>
                <c:pt idx="1633">
                  <c:v>5.28465988868152</c:v>
                </c:pt>
                <c:pt idx="1634">
                  <c:v>5.22586261306947</c:v>
                </c:pt>
                <c:pt idx="1635">
                  <c:v>5.12843775709794</c:v>
                </c:pt>
                <c:pt idx="1636">
                  <c:v>5.27900312761554</c:v>
                </c:pt>
                <c:pt idx="1637">
                  <c:v>5.29548171526848</c:v>
                </c:pt>
                <c:pt idx="1638">
                  <c:v>5.2884204956262</c:v>
                </c:pt>
                <c:pt idx="1639">
                  <c:v>5.25664393279164</c:v>
                </c:pt>
                <c:pt idx="1640">
                  <c:v>5.13269458963894</c:v>
                </c:pt>
                <c:pt idx="1641">
                  <c:v>5.26727841150667</c:v>
                </c:pt>
                <c:pt idx="1642">
                  <c:v>5.29538180075152</c:v>
                </c:pt>
                <c:pt idx="1643">
                  <c:v>5.29152853646544</c:v>
                </c:pt>
                <c:pt idx="1644">
                  <c:v>5.27060298903754</c:v>
                </c:pt>
                <c:pt idx="1645">
                  <c:v>5.14255030705882</c:v>
                </c:pt>
                <c:pt idx="1646">
                  <c:v>5.24398644582723</c:v>
                </c:pt>
                <c:pt idx="1647">
                  <c:v>5.29420912228442</c:v>
                </c:pt>
                <c:pt idx="1648">
                  <c:v>5.29400990299021</c:v>
                </c:pt>
                <c:pt idx="1649">
                  <c:v>5.27974483901448</c:v>
                </c:pt>
                <c:pt idx="1650">
                  <c:v>5.16516176408064</c:v>
                </c:pt>
                <c:pt idx="1651">
                  <c:v>5.13517941214601</c:v>
                </c:pt>
                <c:pt idx="1652">
                  <c:v>5.28722534524513</c:v>
                </c:pt>
                <c:pt idx="1653">
                  <c:v>5.29506596168122</c:v>
                </c:pt>
                <c:pt idx="1654">
                  <c:v>5.28486207920081</c:v>
                </c:pt>
                <c:pt idx="1655">
                  <c:v>5.22869184606774</c:v>
                </c:pt>
                <c:pt idx="1656">
                  <c:v>5.12851864651106</c:v>
                </c:pt>
                <c:pt idx="1657">
                  <c:v>5.27851626588242</c:v>
                </c:pt>
                <c:pt idx="1658">
                  <c:v>5.29550516768609</c:v>
                </c:pt>
                <c:pt idx="1659">
                  <c:v>5.28863257614095</c:v>
                </c:pt>
                <c:pt idx="1660">
                  <c:v>5.25774950889504</c:v>
                </c:pt>
                <c:pt idx="1661">
                  <c:v>5.13310721088433</c:v>
                </c:pt>
                <c:pt idx="1662">
                  <c:v>5.26629161066537</c:v>
                </c:pt>
                <c:pt idx="1663">
                  <c:v>5.29542059262681</c:v>
                </c:pt>
                <c:pt idx="1664">
                  <c:v>5.29189152047301</c:v>
                </c:pt>
                <c:pt idx="1665">
                  <c:v>5.27191873959183</c:v>
                </c:pt>
                <c:pt idx="1666">
                  <c:v>5.14432034087221</c:v>
                </c:pt>
                <c:pt idx="1667">
                  <c:v>5.23811265090186</c:v>
                </c:pt>
                <c:pt idx="1668">
                  <c:v>5.29380163658267</c:v>
                </c:pt>
                <c:pt idx="1669">
                  <c:v>5.29408290893897</c:v>
                </c:pt>
                <c:pt idx="1670">
                  <c:v>5.28013684629785</c:v>
                </c:pt>
                <c:pt idx="1671">
                  <c:v>5.16739825964543</c:v>
                </c:pt>
                <c:pt idx="1672">
                  <c:v>5.13348757476694</c:v>
                </c:pt>
                <c:pt idx="1673">
                  <c:v>5.28673721369005</c:v>
                </c:pt>
                <c:pt idx="1674">
                  <c:v>5.29508560452406</c:v>
                </c:pt>
                <c:pt idx="1675">
                  <c:v>5.28506920765703</c:v>
                </c:pt>
                <c:pt idx="1676">
                  <c:v>5.23126386772522</c:v>
                </c:pt>
                <c:pt idx="1677">
                  <c:v>5.1286080770483</c:v>
                </c:pt>
                <c:pt idx="1678">
                  <c:v>5.27799172710759</c:v>
                </c:pt>
                <c:pt idx="1679">
                  <c:v>5.29555389983366</c:v>
                </c:pt>
                <c:pt idx="1680">
                  <c:v>5.2889187784421</c:v>
                </c:pt>
                <c:pt idx="1681">
                  <c:v>5.25916097524516</c:v>
                </c:pt>
                <c:pt idx="1682">
                  <c:v>5.13369074380629</c:v>
                </c:pt>
                <c:pt idx="1683">
                  <c:v>5.26498739446164</c:v>
                </c:pt>
                <c:pt idx="1684">
                  <c:v>5.29541871207151</c:v>
                </c:pt>
                <c:pt idx="1685">
                  <c:v>5.29222632134478</c:v>
                </c:pt>
                <c:pt idx="1686">
                  <c:v>5.27312499146693</c:v>
                </c:pt>
                <c:pt idx="1687">
                  <c:v>5.14621154084527</c:v>
                </c:pt>
                <c:pt idx="1688">
                  <c:v>5.22995444367652</c:v>
                </c:pt>
                <c:pt idx="1689">
                  <c:v>5.29325748399861</c:v>
                </c:pt>
                <c:pt idx="1690">
                  <c:v>5.29410692709696</c:v>
                </c:pt>
                <c:pt idx="1691">
                  <c:v>5.2804124602904</c:v>
                </c:pt>
                <c:pt idx="1692">
                  <c:v>5.16922217146684</c:v>
                </c:pt>
                <c:pt idx="1693">
                  <c:v>5.1324935582874</c:v>
                </c:pt>
                <c:pt idx="1694">
                  <c:v>5.28635467534908</c:v>
                </c:pt>
                <c:pt idx="1695">
                  <c:v>5.29511946324241</c:v>
                </c:pt>
                <c:pt idx="1696">
                  <c:v>5.2852834336604</c:v>
                </c:pt>
                <c:pt idx="1697">
                  <c:v>5.23367309127792</c:v>
                </c:pt>
                <c:pt idx="1698">
                  <c:v>5.12871258450901</c:v>
                </c:pt>
                <c:pt idx="1699">
                  <c:v>5.27741170180145</c:v>
                </c:pt>
              </c:numCache>
            </c:numRef>
          </c:yVal>
          <c:smooth val="0"/>
        </c:ser>
        <c:ser>
          <c:idx val="2"/>
          <c:order val="2"/>
          <c:tx>
            <c:strRef>
              <c:f>"IMC-scheduled PID"</c:f>
              <c:strCache>
                <c:ptCount val="1"/>
                <c:pt idx="0">
                  <c:v>IMC-scheduled PID</c:v>
                </c:pt>
              </c:strCache>
            </c:strRef>
          </c:tx>
          <c:spPr>
            <a:solidFill>
              <a:srgbClr val="2ca02c"/>
            </a:solidFill>
            <a:ln w="18000">
              <a:solidFill>
                <a:srgbClr val="2ca02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12_Traces!$I$5:$I$1704</c:f>
              <c:numCache>
                <c:formatCode>0.0000</c:formatCode>
                <c:ptCount val="170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4.92949977635707</c:v>
                </c:pt>
                <c:pt idx="202">
                  <c:v>4.94465000442282</c:v>
                </c:pt>
                <c:pt idx="203">
                  <c:v>4.96082744107048</c:v>
                </c:pt>
                <c:pt idx="204">
                  <c:v>4.97923053787755</c:v>
                </c:pt>
                <c:pt idx="205">
                  <c:v>4.99820232552084</c:v>
                </c:pt>
                <c:pt idx="206">
                  <c:v>5.01733323994596</c:v>
                </c:pt>
                <c:pt idx="207">
                  <c:v>5.03644883416274</c:v>
                </c:pt>
                <c:pt idx="208">
                  <c:v>5.05544423150248</c:v>
                </c:pt>
                <c:pt idx="209">
                  <c:v>5.07424426211926</c:v>
                </c:pt>
                <c:pt idx="210">
                  <c:v>5.09278635942651</c:v>
                </c:pt>
                <c:pt idx="211">
                  <c:v>5.11101398701436</c:v>
                </c:pt>
                <c:pt idx="212">
                  <c:v>5.1288734974363</c:v>
                </c:pt>
                <c:pt idx="213">
                  <c:v>5.14631234330175</c:v>
                </c:pt>
                <c:pt idx="214">
                  <c:v>5.16327784897598</c:v>
                </c:pt>
                <c:pt idx="215">
                  <c:v>5.17971620440864</c:v>
                </c:pt>
                <c:pt idx="216">
                  <c:v>5.19557151399254</c:v>
                </c:pt>
                <c:pt idx="217">
                  <c:v>5.21078479874729</c:v>
                </c:pt>
                <c:pt idx="218">
                  <c:v>5.22529287037173</c:v>
                </c:pt>
                <c:pt idx="219">
                  <c:v>5.23902699218311</c:v>
                </c:pt>
                <c:pt idx="220">
                  <c:v>5.25191122045492</c:v>
                </c:pt>
                <c:pt idx="221">
                  <c:v>5.26386027775661</c:v>
                </c:pt>
                <c:pt idx="222">
                  <c:v>5.2747767377693</c:v>
                </c:pt>
                <c:pt idx="223">
                  <c:v>5.2845471779564</c:v>
                </c:pt>
                <c:pt idx="224">
                  <c:v>5.2930367411447</c:v>
                </c:pt>
                <c:pt idx="225">
                  <c:v>5.30008115601628</c:v>
                </c:pt>
                <c:pt idx="226">
                  <c:v>5.30547452598075</c:v>
                </c:pt>
                <c:pt idx="227">
                  <c:v>5.30894974563993</c:v>
                </c:pt>
                <c:pt idx="228">
                  <c:v>5.31014562622676</c:v>
                </c:pt>
                <c:pt idx="229">
                  <c:v>5.30855145157553</c:v>
                </c:pt>
                <c:pt idx="230">
                  <c:v>5.30344901628633</c:v>
                </c:pt>
                <c:pt idx="231">
                  <c:v>5.2949050996021</c:v>
                </c:pt>
                <c:pt idx="232">
                  <c:v>5.28172920898778</c:v>
                </c:pt>
                <c:pt idx="233">
                  <c:v>5.28073607317788</c:v>
                </c:pt>
                <c:pt idx="234">
                  <c:v>5.26255701667199</c:v>
                </c:pt>
                <c:pt idx="235">
                  <c:v>5.24028429273887</c:v>
                </c:pt>
                <c:pt idx="236">
                  <c:v>5.22309681491469</c:v>
                </c:pt>
                <c:pt idx="237">
                  <c:v>5.21684715904598</c:v>
                </c:pt>
                <c:pt idx="238">
                  <c:v>5.21869602388451</c:v>
                </c:pt>
                <c:pt idx="239">
                  <c:v>5.22280008251567</c:v>
                </c:pt>
                <c:pt idx="240">
                  <c:v>5.21817479767433</c:v>
                </c:pt>
                <c:pt idx="241">
                  <c:v>5.22161236238847</c:v>
                </c:pt>
                <c:pt idx="242">
                  <c:v>5.22547528520375</c:v>
                </c:pt>
                <c:pt idx="243">
                  <c:v>5.22992161494377</c:v>
                </c:pt>
                <c:pt idx="244">
                  <c:v>5.23446237852577</c:v>
                </c:pt>
                <c:pt idx="245">
                  <c:v>5.23885362539992</c:v>
                </c:pt>
                <c:pt idx="246">
                  <c:v>5.24294301689019</c:v>
                </c:pt>
                <c:pt idx="247">
                  <c:v>5.2466226377995</c:v>
                </c:pt>
                <c:pt idx="248">
                  <c:v>5.24981280213602</c:v>
                </c:pt>
                <c:pt idx="249">
                  <c:v>5.25245432370968</c:v>
                </c:pt>
                <c:pt idx="250">
                  <c:v>5.25450797360383</c:v>
                </c:pt>
                <c:pt idx="251">
                  <c:v>5.25595803375011</c:v>
                </c:pt>
                <c:pt idx="252">
                  <c:v>5.25682000982272</c:v>
                </c:pt>
                <c:pt idx="253">
                  <c:v>5.25715365594777</c:v>
                </c:pt>
                <c:pt idx="254">
                  <c:v>5.25708528587665</c:v>
                </c:pt>
                <c:pt idx="255">
                  <c:v>5.25685464991691</c:v>
                </c:pt>
                <c:pt idx="256">
                  <c:v>5.25654171022264</c:v>
                </c:pt>
                <c:pt idx="257">
                  <c:v>5.25595368862957</c:v>
                </c:pt>
                <c:pt idx="258">
                  <c:v>5.25479639953055</c:v>
                </c:pt>
                <c:pt idx="259">
                  <c:v>5.25236539941658</c:v>
                </c:pt>
                <c:pt idx="260">
                  <c:v>5.25177214662983</c:v>
                </c:pt>
                <c:pt idx="261">
                  <c:v>5.25145812233444</c:v>
                </c:pt>
                <c:pt idx="262">
                  <c:v>5.25112671799593</c:v>
                </c:pt>
                <c:pt idx="263">
                  <c:v>5.25082042910402</c:v>
                </c:pt>
                <c:pt idx="264">
                  <c:v>5.2505420882147</c:v>
                </c:pt>
                <c:pt idx="265">
                  <c:v>5.25029520422704</c:v>
                </c:pt>
                <c:pt idx="266">
                  <c:v>5.25008317780379</c:v>
                </c:pt>
                <c:pt idx="267">
                  <c:v>5.24990886768528</c:v>
                </c:pt>
                <c:pt idx="268">
                  <c:v>5.2497742062395</c:v>
                </c:pt>
                <c:pt idx="269">
                  <c:v>5.24967974820012</c:v>
                </c:pt>
                <c:pt idx="270">
                  <c:v>5.2496241353643</c:v>
                </c:pt>
                <c:pt idx="271">
                  <c:v>5.24960352732322</c:v>
                </c:pt>
                <c:pt idx="272">
                  <c:v>5.24961120679871</c:v>
                </c:pt>
                <c:pt idx="273">
                  <c:v>5.2496443077666</c:v>
                </c:pt>
                <c:pt idx="274">
                  <c:v>5.2497011454269</c:v>
                </c:pt>
                <c:pt idx="275">
                  <c:v>5.24977001515766</c:v>
                </c:pt>
                <c:pt idx="276">
                  <c:v>5.24983571129136</c:v>
                </c:pt>
                <c:pt idx="277">
                  <c:v>5.24988816179891</c:v>
                </c:pt>
                <c:pt idx="278">
                  <c:v>5.2499257113597</c:v>
                </c:pt>
                <c:pt idx="279">
                  <c:v>5.24995125982125</c:v>
                </c:pt>
                <c:pt idx="280">
                  <c:v>5.24996826776964</c:v>
                </c:pt>
                <c:pt idx="281">
                  <c:v>5.24997945725629</c:v>
                </c:pt>
                <c:pt idx="282">
                  <c:v>5.24998676530297</c:v>
                </c:pt>
                <c:pt idx="283">
                  <c:v>5.24999151596338</c:v>
                </c:pt>
                <c:pt idx="284">
                  <c:v>5.24999459340926</c:v>
                </c:pt>
                <c:pt idx="285">
                  <c:v>5.24999658087634</c:v>
                </c:pt>
                <c:pt idx="286">
                  <c:v>5.24999786042155</c:v>
                </c:pt>
                <c:pt idx="287">
                  <c:v>5.24999868120896</c:v>
                </c:pt>
                <c:pt idx="288">
                  <c:v>5.24999920527726</c:v>
                </c:pt>
                <c:pt idx="289">
                  <c:v>5.24999953780547</c:v>
                </c:pt>
                <c:pt idx="290">
                  <c:v>5.24999974696816</c:v>
                </c:pt>
                <c:pt idx="291">
                  <c:v>5.24999987690095</c:v>
                </c:pt>
                <c:pt idx="292">
                  <c:v>5.24999995614226</c:v>
                </c:pt>
                <c:pt idx="293">
                  <c:v>5.25000000311951</c:v>
                </c:pt>
                <c:pt idx="294">
                  <c:v>5.25000002971055</c:v>
                </c:pt>
                <c:pt idx="295">
                  <c:v>5.25000004355374</c:v>
                </c:pt>
                <c:pt idx="296">
                  <c:v>5.25000004954554</c:v>
                </c:pt>
                <c:pt idx="297">
                  <c:v>5.25000005081106</c:v>
                </c:pt>
                <c:pt idx="298">
                  <c:v>5.25000004933261</c:v>
                </c:pt>
                <c:pt idx="299">
                  <c:v>5.25000004635672</c:v>
                </c:pt>
                <c:pt idx="300">
                  <c:v>5.2500000426574</c:v>
                </c:pt>
                <c:pt idx="301">
                  <c:v>5.25000003870637</c:v>
                </c:pt>
                <c:pt idx="302">
                  <c:v>5.25000003478297</c:v>
                </c:pt>
                <c:pt idx="303">
                  <c:v>5.25000003104497</c:v>
                </c:pt>
                <c:pt idx="304">
                  <c:v>5.25000002757417</c:v>
                </c:pt>
                <c:pt idx="305">
                  <c:v>5.25000002440556</c:v>
                </c:pt>
                <c:pt idx="306">
                  <c:v>5.25000002154601</c:v>
                </c:pt>
                <c:pt idx="307">
                  <c:v>5.25000001898605</c:v>
                </c:pt>
                <c:pt idx="308">
                  <c:v>5.25000001670737</c:v>
                </c:pt>
                <c:pt idx="309">
                  <c:v>5.25000001468735</c:v>
                </c:pt>
                <c:pt idx="310">
                  <c:v>5.25000001290196</c:v>
                </c:pt>
                <c:pt idx="311">
                  <c:v>5.25000001132737</c:v>
                </c:pt>
                <c:pt idx="312">
                  <c:v>5.25000000994089</c:v>
                </c:pt>
                <c:pt idx="313">
                  <c:v>5.25000000872147</c:v>
                </c:pt>
                <c:pt idx="314">
                  <c:v>5.25000000764992</c:v>
                </c:pt>
                <c:pt idx="315">
                  <c:v>5.2500000067089</c:v>
                </c:pt>
                <c:pt idx="316">
                  <c:v>5.2500000058829</c:v>
                </c:pt>
                <c:pt idx="317">
                  <c:v>5.25000000515811</c:v>
                </c:pt>
                <c:pt idx="318">
                  <c:v>5.25000000452231</c:v>
                </c:pt>
                <c:pt idx="319">
                  <c:v>5.25000000396467</c:v>
                </c:pt>
                <c:pt idx="320">
                  <c:v>5.25000000347565</c:v>
                </c:pt>
                <c:pt idx="321">
                  <c:v>5.25000000304686</c:v>
                </c:pt>
                <c:pt idx="322">
                  <c:v>5.25000000267091</c:v>
                </c:pt>
                <c:pt idx="323">
                  <c:v>5.25000000234132</c:v>
                </c:pt>
                <c:pt idx="324">
                  <c:v>5.25000000205236</c:v>
                </c:pt>
                <c:pt idx="325">
                  <c:v>5.25000000179905</c:v>
                </c:pt>
                <c:pt idx="326">
                  <c:v>5.250000001577</c:v>
                </c:pt>
                <c:pt idx="327">
                  <c:v>5.25000000138234</c:v>
                </c:pt>
                <c:pt idx="328">
                  <c:v>5.25000000121171</c:v>
                </c:pt>
                <c:pt idx="329">
                  <c:v>5.25000000106213</c:v>
                </c:pt>
                <c:pt idx="330">
                  <c:v>5.25000000093102</c:v>
                </c:pt>
                <c:pt idx="331">
                  <c:v>5.25000000081608</c:v>
                </c:pt>
                <c:pt idx="332">
                  <c:v>5.25000000071534</c:v>
                </c:pt>
                <c:pt idx="333">
                  <c:v>5.25000000062703</c:v>
                </c:pt>
                <c:pt idx="334">
                  <c:v>5.25000000054963</c:v>
                </c:pt>
                <c:pt idx="335">
                  <c:v>5.25000000048177</c:v>
                </c:pt>
                <c:pt idx="336">
                  <c:v>5.2500000004223</c:v>
                </c:pt>
                <c:pt idx="337">
                  <c:v>5.25000000037017</c:v>
                </c:pt>
                <c:pt idx="338">
                  <c:v>5.25000000032447</c:v>
                </c:pt>
                <c:pt idx="339">
                  <c:v>5.25000000028441</c:v>
                </c:pt>
                <c:pt idx="340">
                  <c:v>5.2500000002493</c:v>
                </c:pt>
                <c:pt idx="341">
                  <c:v>5.25000000021852</c:v>
                </c:pt>
                <c:pt idx="342">
                  <c:v>5.25000000019155</c:v>
                </c:pt>
                <c:pt idx="343">
                  <c:v>5.2500000001679</c:v>
                </c:pt>
                <c:pt idx="344">
                  <c:v>5.25000000014717</c:v>
                </c:pt>
                <c:pt idx="345">
                  <c:v>5.250000000129</c:v>
                </c:pt>
                <c:pt idx="346">
                  <c:v>5.25000000011308</c:v>
                </c:pt>
                <c:pt idx="347">
                  <c:v>5.25000000009912</c:v>
                </c:pt>
                <c:pt idx="348">
                  <c:v>5.25000000008688</c:v>
                </c:pt>
                <c:pt idx="349">
                  <c:v>5.25000000007615</c:v>
                </c:pt>
                <c:pt idx="350">
                  <c:v>5.25000000006675</c:v>
                </c:pt>
                <c:pt idx="351">
                  <c:v>5.25000000005851</c:v>
                </c:pt>
                <c:pt idx="352">
                  <c:v>5.25000000005129</c:v>
                </c:pt>
                <c:pt idx="353">
                  <c:v>5.25000000004496</c:v>
                </c:pt>
                <c:pt idx="354">
                  <c:v>5.25000000003941</c:v>
                </c:pt>
                <c:pt idx="355">
                  <c:v>5.25000000003454</c:v>
                </c:pt>
                <c:pt idx="356">
                  <c:v>5.25000000003028</c:v>
                </c:pt>
                <c:pt idx="357">
                  <c:v>5.25000000002654</c:v>
                </c:pt>
                <c:pt idx="358">
                  <c:v>5.25000000002326</c:v>
                </c:pt>
                <c:pt idx="359">
                  <c:v>5.25000000002039</c:v>
                </c:pt>
                <c:pt idx="360">
                  <c:v>5.25000000001787</c:v>
                </c:pt>
                <c:pt idx="361">
                  <c:v>5.25000000001567</c:v>
                </c:pt>
                <c:pt idx="362">
                  <c:v>5.25000000001373</c:v>
                </c:pt>
                <c:pt idx="363">
                  <c:v>5.25000000001204</c:v>
                </c:pt>
                <c:pt idx="364">
                  <c:v>5.25000000001055</c:v>
                </c:pt>
                <c:pt idx="365">
                  <c:v>5.25000000000925</c:v>
                </c:pt>
                <c:pt idx="366">
                  <c:v>5.25000000000811</c:v>
                </c:pt>
                <c:pt idx="367">
                  <c:v>5.25000000000711</c:v>
                </c:pt>
                <c:pt idx="368">
                  <c:v>5.25000000000623</c:v>
                </c:pt>
                <c:pt idx="369">
                  <c:v>5.25000000000546</c:v>
                </c:pt>
                <c:pt idx="370">
                  <c:v>5.25000000000479</c:v>
                </c:pt>
                <c:pt idx="371">
                  <c:v>5.2500000000042</c:v>
                </c:pt>
                <c:pt idx="372">
                  <c:v>5.25000000000368</c:v>
                </c:pt>
                <c:pt idx="373">
                  <c:v>5.25000000000322</c:v>
                </c:pt>
                <c:pt idx="374">
                  <c:v>5.25000000000283</c:v>
                </c:pt>
                <c:pt idx="375">
                  <c:v>5.25000000000248</c:v>
                </c:pt>
                <c:pt idx="376">
                  <c:v>5.25000000000217</c:v>
                </c:pt>
                <c:pt idx="377">
                  <c:v>5.2500000000019</c:v>
                </c:pt>
                <c:pt idx="378">
                  <c:v>5.25000000000167</c:v>
                </c:pt>
                <c:pt idx="379">
                  <c:v>5.25000000000146</c:v>
                </c:pt>
                <c:pt idx="380">
                  <c:v>5.25000000000128</c:v>
                </c:pt>
                <c:pt idx="381">
                  <c:v>5.25000000000112</c:v>
                </c:pt>
                <c:pt idx="382">
                  <c:v>5.25000000000098</c:v>
                </c:pt>
                <c:pt idx="383">
                  <c:v>5.25000000000086</c:v>
                </c:pt>
                <c:pt idx="384">
                  <c:v>5.25000000000076</c:v>
                </c:pt>
                <c:pt idx="385">
                  <c:v>5.25000000000066</c:v>
                </c:pt>
                <c:pt idx="386">
                  <c:v>5.25000000000058</c:v>
                </c:pt>
                <c:pt idx="387">
                  <c:v>5.25000000000051</c:v>
                </c:pt>
                <c:pt idx="388">
                  <c:v>5.25000000000045</c:v>
                </c:pt>
                <c:pt idx="389">
                  <c:v>5.25000000000039</c:v>
                </c:pt>
                <c:pt idx="390">
                  <c:v>5.25000000000034</c:v>
                </c:pt>
                <c:pt idx="391">
                  <c:v>5.2500000000003</c:v>
                </c:pt>
                <c:pt idx="392">
                  <c:v>5.25000000000026</c:v>
                </c:pt>
                <c:pt idx="393">
                  <c:v>5.25000000000023</c:v>
                </c:pt>
                <c:pt idx="394">
                  <c:v>5.2500000000002</c:v>
                </c:pt>
                <c:pt idx="395">
                  <c:v>5.25000000000018</c:v>
                </c:pt>
                <c:pt idx="396">
                  <c:v>5.25000000000016</c:v>
                </c:pt>
                <c:pt idx="397">
                  <c:v>5.25000000000014</c:v>
                </c:pt>
                <c:pt idx="398">
                  <c:v>5.25000000000012</c:v>
                </c:pt>
                <c:pt idx="399">
                  <c:v>5.25000000000011</c:v>
                </c:pt>
                <c:pt idx="400">
                  <c:v>5.25000000000009</c:v>
                </c:pt>
                <c:pt idx="401">
                  <c:v>5.25000000000008</c:v>
                </c:pt>
                <c:pt idx="402">
                  <c:v>5.25000000000007</c:v>
                </c:pt>
                <c:pt idx="403">
                  <c:v>5.25000000000006</c:v>
                </c:pt>
                <c:pt idx="404">
                  <c:v>5.25000000000005</c:v>
                </c:pt>
                <c:pt idx="405">
                  <c:v>5.25000000000005</c:v>
                </c:pt>
                <c:pt idx="406">
                  <c:v>5.25000000000004</c:v>
                </c:pt>
                <c:pt idx="407">
                  <c:v>5.25000000000004</c:v>
                </c:pt>
                <c:pt idx="408">
                  <c:v>5.25000000000003</c:v>
                </c:pt>
                <c:pt idx="409">
                  <c:v>5.25000000000003</c:v>
                </c:pt>
                <c:pt idx="410">
                  <c:v>5.25000000000003</c:v>
                </c:pt>
                <c:pt idx="411">
                  <c:v>5.25000000000002</c:v>
                </c:pt>
                <c:pt idx="412">
                  <c:v>5.25000000000002</c:v>
                </c:pt>
                <c:pt idx="413">
                  <c:v>5.25000000000002</c:v>
                </c:pt>
                <c:pt idx="414">
                  <c:v>5.25000000000002</c:v>
                </c:pt>
                <c:pt idx="415">
                  <c:v>5.25000000000001</c:v>
                </c:pt>
                <c:pt idx="416">
                  <c:v>5.25000000000001</c:v>
                </c:pt>
                <c:pt idx="417">
                  <c:v>5.25000000000001</c:v>
                </c:pt>
                <c:pt idx="418">
                  <c:v>5.25000000000001</c:v>
                </c:pt>
                <c:pt idx="419">
                  <c:v>5.25000000000001</c:v>
                </c:pt>
                <c:pt idx="420">
                  <c:v>5.25000000000001</c:v>
                </c:pt>
                <c:pt idx="421">
                  <c:v>5.25000000000001</c:v>
                </c:pt>
                <c:pt idx="422">
                  <c:v>5.25000000000001</c:v>
                </c:pt>
                <c:pt idx="423">
                  <c:v>5.25000000000001</c:v>
                </c:pt>
                <c:pt idx="424">
                  <c:v>5.25000000000001</c:v>
                </c:pt>
                <c:pt idx="425">
                  <c:v>5.25000000000001</c:v>
                </c:pt>
                <c:pt idx="426">
                  <c:v>5.25000000000001</c:v>
                </c:pt>
                <c:pt idx="427">
                  <c:v>5.25000000000001</c:v>
                </c:pt>
                <c:pt idx="428">
                  <c:v>5.25000000000001</c:v>
                </c:pt>
                <c:pt idx="429">
                  <c:v>5.25000000000001</c:v>
                </c:pt>
                <c:pt idx="430">
                  <c:v>5.25000000000001</c:v>
                </c:pt>
                <c:pt idx="431">
                  <c:v>5.25000000000001</c:v>
                </c:pt>
                <c:pt idx="432">
                  <c:v>5.25000000000001</c:v>
                </c:pt>
                <c:pt idx="433">
                  <c:v>5.25000000000001</c:v>
                </c:pt>
                <c:pt idx="434">
                  <c:v>5.25000000000001</c:v>
                </c:pt>
                <c:pt idx="435">
                  <c:v>5.25000000000001</c:v>
                </c:pt>
                <c:pt idx="436">
                  <c:v>5.25000000000001</c:v>
                </c:pt>
                <c:pt idx="437">
                  <c:v>5.25000000000001</c:v>
                </c:pt>
                <c:pt idx="438">
                  <c:v>5.25000000000001</c:v>
                </c:pt>
                <c:pt idx="439">
                  <c:v>5.25000000000001</c:v>
                </c:pt>
                <c:pt idx="440">
                  <c:v>5.25000000000001</c:v>
                </c:pt>
                <c:pt idx="441">
                  <c:v>5.25000000000001</c:v>
                </c:pt>
                <c:pt idx="442">
                  <c:v>5.25000000000001</c:v>
                </c:pt>
                <c:pt idx="443">
                  <c:v>5.25000000000001</c:v>
                </c:pt>
                <c:pt idx="444">
                  <c:v>5.25000000000001</c:v>
                </c:pt>
                <c:pt idx="445">
                  <c:v>5.25000000000001</c:v>
                </c:pt>
                <c:pt idx="446">
                  <c:v>5.25000000000001</c:v>
                </c:pt>
                <c:pt idx="447">
                  <c:v>5.25000000000001</c:v>
                </c:pt>
                <c:pt idx="448">
                  <c:v>5.25000000000001</c:v>
                </c:pt>
                <c:pt idx="449">
                  <c:v>5.25000000000001</c:v>
                </c:pt>
                <c:pt idx="450">
                  <c:v>5.25000000000001</c:v>
                </c:pt>
                <c:pt idx="451">
                  <c:v>5.25000000000001</c:v>
                </c:pt>
                <c:pt idx="452">
                  <c:v>5.25000000000001</c:v>
                </c:pt>
                <c:pt idx="453">
                  <c:v>5.25000000000001</c:v>
                </c:pt>
                <c:pt idx="454">
                  <c:v>5.25000000000001</c:v>
                </c:pt>
                <c:pt idx="455">
                  <c:v>5.25000000000001</c:v>
                </c:pt>
                <c:pt idx="456">
                  <c:v>5.25000000000001</c:v>
                </c:pt>
                <c:pt idx="457">
                  <c:v>5.25</c:v>
                </c:pt>
                <c:pt idx="458">
                  <c:v>5.25</c:v>
                </c:pt>
                <c:pt idx="459">
                  <c:v>5.25</c:v>
                </c:pt>
                <c:pt idx="460">
                  <c:v>5.25</c:v>
                </c:pt>
                <c:pt idx="461">
                  <c:v>5.25</c:v>
                </c:pt>
                <c:pt idx="462">
                  <c:v>5.25</c:v>
                </c:pt>
                <c:pt idx="463">
                  <c:v>5.25</c:v>
                </c:pt>
                <c:pt idx="464">
                  <c:v>5.25</c:v>
                </c:pt>
                <c:pt idx="465">
                  <c:v>5.25</c:v>
                </c:pt>
                <c:pt idx="466">
                  <c:v>5.25</c:v>
                </c:pt>
                <c:pt idx="467">
                  <c:v>5.25</c:v>
                </c:pt>
                <c:pt idx="468">
                  <c:v>5.25</c:v>
                </c:pt>
                <c:pt idx="469">
                  <c:v>5.25</c:v>
                </c:pt>
                <c:pt idx="470">
                  <c:v>5.25</c:v>
                </c:pt>
                <c:pt idx="471">
                  <c:v>5.25</c:v>
                </c:pt>
                <c:pt idx="472">
                  <c:v>5.25</c:v>
                </c:pt>
                <c:pt idx="473">
                  <c:v>5.25</c:v>
                </c:pt>
                <c:pt idx="474">
                  <c:v>5.25</c:v>
                </c:pt>
                <c:pt idx="475">
                  <c:v>5.25</c:v>
                </c:pt>
                <c:pt idx="476">
                  <c:v>5.25</c:v>
                </c:pt>
                <c:pt idx="477">
                  <c:v>5.25</c:v>
                </c:pt>
                <c:pt idx="478">
                  <c:v>5.25</c:v>
                </c:pt>
                <c:pt idx="479">
                  <c:v>5.25</c:v>
                </c:pt>
                <c:pt idx="480">
                  <c:v>5.25</c:v>
                </c:pt>
                <c:pt idx="481">
                  <c:v>5.25</c:v>
                </c:pt>
                <c:pt idx="482">
                  <c:v>5.25</c:v>
                </c:pt>
                <c:pt idx="483">
                  <c:v>5.25</c:v>
                </c:pt>
                <c:pt idx="484">
                  <c:v>5.25</c:v>
                </c:pt>
                <c:pt idx="485">
                  <c:v>5.25</c:v>
                </c:pt>
                <c:pt idx="486">
                  <c:v>5.25</c:v>
                </c:pt>
                <c:pt idx="487">
                  <c:v>5.25</c:v>
                </c:pt>
                <c:pt idx="488">
                  <c:v>5.25</c:v>
                </c:pt>
                <c:pt idx="489">
                  <c:v>5.25</c:v>
                </c:pt>
                <c:pt idx="490">
                  <c:v>5.25</c:v>
                </c:pt>
                <c:pt idx="491">
                  <c:v>5.25</c:v>
                </c:pt>
                <c:pt idx="492">
                  <c:v>5.25</c:v>
                </c:pt>
                <c:pt idx="493">
                  <c:v>5.25</c:v>
                </c:pt>
                <c:pt idx="494">
                  <c:v>5.25</c:v>
                </c:pt>
                <c:pt idx="495">
                  <c:v>5.25</c:v>
                </c:pt>
                <c:pt idx="496">
                  <c:v>5.25</c:v>
                </c:pt>
                <c:pt idx="497">
                  <c:v>5.25</c:v>
                </c:pt>
                <c:pt idx="498">
                  <c:v>5.25</c:v>
                </c:pt>
                <c:pt idx="499">
                  <c:v>5.25</c:v>
                </c:pt>
                <c:pt idx="500">
                  <c:v>5.25</c:v>
                </c:pt>
                <c:pt idx="501">
                  <c:v>5.25</c:v>
                </c:pt>
                <c:pt idx="502">
                  <c:v>5.25</c:v>
                </c:pt>
                <c:pt idx="503">
                  <c:v>5.25</c:v>
                </c:pt>
                <c:pt idx="504">
                  <c:v>5.25</c:v>
                </c:pt>
                <c:pt idx="505">
                  <c:v>5.25</c:v>
                </c:pt>
                <c:pt idx="506">
                  <c:v>5.25</c:v>
                </c:pt>
                <c:pt idx="507">
                  <c:v>5.25</c:v>
                </c:pt>
                <c:pt idx="508">
                  <c:v>5.25</c:v>
                </c:pt>
                <c:pt idx="509">
                  <c:v>5.25</c:v>
                </c:pt>
                <c:pt idx="510">
                  <c:v>5.25</c:v>
                </c:pt>
                <c:pt idx="511">
                  <c:v>5.25</c:v>
                </c:pt>
                <c:pt idx="512">
                  <c:v>5.25</c:v>
                </c:pt>
                <c:pt idx="513">
                  <c:v>5.25</c:v>
                </c:pt>
                <c:pt idx="514">
                  <c:v>5.25</c:v>
                </c:pt>
                <c:pt idx="515">
                  <c:v>5.25</c:v>
                </c:pt>
                <c:pt idx="516">
                  <c:v>5.25</c:v>
                </c:pt>
                <c:pt idx="517">
                  <c:v>5.25</c:v>
                </c:pt>
                <c:pt idx="518">
                  <c:v>5.25</c:v>
                </c:pt>
                <c:pt idx="519">
                  <c:v>5.25</c:v>
                </c:pt>
                <c:pt idx="520">
                  <c:v>5.25</c:v>
                </c:pt>
                <c:pt idx="521">
                  <c:v>5.25</c:v>
                </c:pt>
                <c:pt idx="522">
                  <c:v>5.25</c:v>
                </c:pt>
                <c:pt idx="523">
                  <c:v>5.25</c:v>
                </c:pt>
                <c:pt idx="524">
                  <c:v>5.25</c:v>
                </c:pt>
                <c:pt idx="525">
                  <c:v>5.25</c:v>
                </c:pt>
                <c:pt idx="526">
                  <c:v>5.25</c:v>
                </c:pt>
                <c:pt idx="527">
                  <c:v>5.25</c:v>
                </c:pt>
                <c:pt idx="528">
                  <c:v>5.25</c:v>
                </c:pt>
                <c:pt idx="529">
                  <c:v>5.25</c:v>
                </c:pt>
                <c:pt idx="530">
                  <c:v>5.25</c:v>
                </c:pt>
                <c:pt idx="531">
                  <c:v>5.25</c:v>
                </c:pt>
                <c:pt idx="532">
                  <c:v>5.25</c:v>
                </c:pt>
                <c:pt idx="533">
                  <c:v>5.25</c:v>
                </c:pt>
                <c:pt idx="534">
                  <c:v>5.25</c:v>
                </c:pt>
                <c:pt idx="535">
                  <c:v>5.25</c:v>
                </c:pt>
                <c:pt idx="536">
                  <c:v>5.25</c:v>
                </c:pt>
                <c:pt idx="537">
                  <c:v>5.25</c:v>
                </c:pt>
                <c:pt idx="538">
                  <c:v>5.25</c:v>
                </c:pt>
                <c:pt idx="539">
                  <c:v>5.25</c:v>
                </c:pt>
                <c:pt idx="540">
                  <c:v>5.25</c:v>
                </c:pt>
                <c:pt idx="541">
                  <c:v>5.25</c:v>
                </c:pt>
                <c:pt idx="542">
                  <c:v>5.25</c:v>
                </c:pt>
                <c:pt idx="543">
                  <c:v>5.25</c:v>
                </c:pt>
                <c:pt idx="544">
                  <c:v>5.25</c:v>
                </c:pt>
                <c:pt idx="545">
                  <c:v>5.25</c:v>
                </c:pt>
                <c:pt idx="546">
                  <c:v>5.25</c:v>
                </c:pt>
                <c:pt idx="547">
                  <c:v>5.25</c:v>
                </c:pt>
                <c:pt idx="548">
                  <c:v>5.25</c:v>
                </c:pt>
                <c:pt idx="549">
                  <c:v>5.25</c:v>
                </c:pt>
                <c:pt idx="550">
                  <c:v>5.25</c:v>
                </c:pt>
                <c:pt idx="551">
                  <c:v>5.25</c:v>
                </c:pt>
                <c:pt idx="552">
                  <c:v>5.25</c:v>
                </c:pt>
                <c:pt idx="553">
                  <c:v>5.25</c:v>
                </c:pt>
                <c:pt idx="554">
                  <c:v>5.25</c:v>
                </c:pt>
                <c:pt idx="555">
                  <c:v>5.25</c:v>
                </c:pt>
                <c:pt idx="556">
                  <c:v>5.25</c:v>
                </c:pt>
                <c:pt idx="557">
                  <c:v>5.25</c:v>
                </c:pt>
                <c:pt idx="558">
                  <c:v>5.25</c:v>
                </c:pt>
                <c:pt idx="559">
                  <c:v>5.25</c:v>
                </c:pt>
                <c:pt idx="560">
                  <c:v>5.25</c:v>
                </c:pt>
                <c:pt idx="561">
                  <c:v>5.25</c:v>
                </c:pt>
                <c:pt idx="562">
                  <c:v>5.25</c:v>
                </c:pt>
                <c:pt idx="563">
                  <c:v>5.25</c:v>
                </c:pt>
                <c:pt idx="564">
                  <c:v>5.25</c:v>
                </c:pt>
                <c:pt idx="565">
                  <c:v>5.25</c:v>
                </c:pt>
                <c:pt idx="566">
                  <c:v>5.25</c:v>
                </c:pt>
                <c:pt idx="567">
                  <c:v>5.25</c:v>
                </c:pt>
                <c:pt idx="568">
                  <c:v>5.25</c:v>
                </c:pt>
                <c:pt idx="569">
                  <c:v>5.25</c:v>
                </c:pt>
                <c:pt idx="570">
                  <c:v>5.25</c:v>
                </c:pt>
                <c:pt idx="571">
                  <c:v>5.25</c:v>
                </c:pt>
                <c:pt idx="572">
                  <c:v>5.25</c:v>
                </c:pt>
                <c:pt idx="573">
                  <c:v>5.25</c:v>
                </c:pt>
                <c:pt idx="574">
                  <c:v>5.25</c:v>
                </c:pt>
                <c:pt idx="575">
                  <c:v>5.25</c:v>
                </c:pt>
                <c:pt idx="576">
                  <c:v>5.25</c:v>
                </c:pt>
                <c:pt idx="577">
                  <c:v>5.25</c:v>
                </c:pt>
                <c:pt idx="578">
                  <c:v>5.25</c:v>
                </c:pt>
                <c:pt idx="579">
                  <c:v>5.25</c:v>
                </c:pt>
                <c:pt idx="580">
                  <c:v>5.25</c:v>
                </c:pt>
                <c:pt idx="581">
                  <c:v>5.25</c:v>
                </c:pt>
                <c:pt idx="582">
                  <c:v>5.25</c:v>
                </c:pt>
                <c:pt idx="583">
                  <c:v>5.25</c:v>
                </c:pt>
                <c:pt idx="584">
                  <c:v>5.25</c:v>
                </c:pt>
                <c:pt idx="585">
                  <c:v>5.25</c:v>
                </c:pt>
                <c:pt idx="586">
                  <c:v>5.25</c:v>
                </c:pt>
                <c:pt idx="587">
                  <c:v>5.25</c:v>
                </c:pt>
                <c:pt idx="588">
                  <c:v>5.25</c:v>
                </c:pt>
                <c:pt idx="589">
                  <c:v>5.25</c:v>
                </c:pt>
                <c:pt idx="590">
                  <c:v>5.25</c:v>
                </c:pt>
                <c:pt idx="591">
                  <c:v>5.25</c:v>
                </c:pt>
                <c:pt idx="592">
                  <c:v>5.25</c:v>
                </c:pt>
                <c:pt idx="593">
                  <c:v>5.25</c:v>
                </c:pt>
                <c:pt idx="594">
                  <c:v>5.25</c:v>
                </c:pt>
                <c:pt idx="595">
                  <c:v>5.25</c:v>
                </c:pt>
                <c:pt idx="596">
                  <c:v>5.25</c:v>
                </c:pt>
                <c:pt idx="597">
                  <c:v>5.25</c:v>
                </c:pt>
                <c:pt idx="598">
                  <c:v>5.25</c:v>
                </c:pt>
                <c:pt idx="599">
                  <c:v>5.25</c:v>
                </c:pt>
                <c:pt idx="600">
                  <c:v>5.25184480538498</c:v>
                </c:pt>
                <c:pt idx="601">
                  <c:v>5.25205437876771</c:v>
                </c:pt>
                <c:pt idx="602">
                  <c:v>5.25139149269818</c:v>
                </c:pt>
                <c:pt idx="603">
                  <c:v>5.25131572395599</c:v>
                </c:pt>
                <c:pt idx="604">
                  <c:v>5.25127192732219</c:v>
                </c:pt>
                <c:pt idx="605">
                  <c:v>5.25123992578026</c:v>
                </c:pt>
                <c:pt idx="606">
                  <c:v>5.25121715937568</c:v>
                </c:pt>
                <c:pt idx="607">
                  <c:v>5.25119997854791</c:v>
                </c:pt>
                <c:pt idx="608">
                  <c:v>5.25118619220629</c:v>
                </c:pt>
                <c:pt idx="609">
                  <c:v>5.25117447401037</c:v>
                </c:pt>
                <c:pt idx="610">
                  <c:v>5.25116401978898</c:v>
                </c:pt>
                <c:pt idx="611">
                  <c:v>5.2511543469437</c:v>
                </c:pt>
                <c:pt idx="612">
                  <c:v>5.2511451731766</c:v>
                </c:pt>
                <c:pt idx="613">
                  <c:v>5.251136341815</c:v>
                </c:pt>
                <c:pt idx="614">
                  <c:v>5.25112777487564</c:v>
                </c:pt>
                <c:pt idx="615">
                  <c:v>5.25111944301701</c:v>
                </c:pt>
                <c:pt idx="616">
                  <c:v>5.25111134602716</c:v>
                </c:pt>
                <c:pt idx="617">
                  <c:v>5.25110350004036</c:v>
                </c:pt>
                <c:pt idx="618">
                  <c:v>5.2510959291447</c:v>
                </c:pt>
                <c:pt idx="619">
                  <c:v>5.25108865990919</c:v>
                </c:pt>
                <c:pt idx="620">
                  <c:v>5.25108171788223</c:v>
                </c:pt>
                <c:pt idx="621">
                  <c:v>5.25107512543749</c:v>
                </c:pt>
                <c:pt idx="622">
                  <c:v>5.25106890054713</c:v>
                </c:pt>
                <c:pt idx="623">
                  <c:v>5.25106305619513</c:v>
                </c:pt>
                <c:pt idx="624">
                  <c:v>5.25105760022981</c:v>
                </c:pt>
                <c:pt idx="625">
                  <c:v>5.25105253551362</c:v>
                </c:pt>
                <c:pt idx="626">
                  <c:v>5.25104786026826</c:v>
                </c:pt>
                <c:pt idx="627">
                  <c:v>5.25104356854113</c:v>
                </c:pt>
                <c:pt idx="628">
                  <c:v>5.25103965073948</c:v>
                </c:pt>
                <c:pt idx="629">
                  <c:v>5.25103609419303</c:v>
                </c:pt>
                <c:pt idx="630">
                  <c:v>5.25103288371669</c:v>
                </c:pt>
                <c:pt idx="631">
                  <c:v>5.25103000215333</c:v>
                </c:pt>
                <c:pt idx="632">
                  <c:v>5.25102743088256</c:v>
                </c:pt>
                <c:pt idx="633">
                  <c:v>5.25102515028655</c:v>
                </c:pt>
                <c:pt idx="634">
                  <c:v>5.25102314016744</c:v>
                </c:pt>
                <c:pt idx="635">
                  <c:v>5.25102138011383</c:v>
                </c:pt>
                <c:pt idx="636">
                  <c:v>5.25101984981607</c:v>
                </c:pt>
                <c:pt idx="637">
                  <c:v>5.25101852933161</c:v>
                </c:pt>
                <c:pt idx="638">
                  <c:v>5.25101739930306</c:v>
                </c:pt>
                <c:pt idx="639">
                  <c:v>5.25101644113209</c:v>
                </c:pt>
                <c:pt idx="640">
                  <c:v>5.25101563711333</c:v>
                </c:pt>
                <c:pt idx="641">
                  <c:v>5.25101497053219</c:v>
                </c:pt>
                <c:pt idx="642">
                  <c:v>5.25101442573104</c:v>
                </c:pt>
                <c:pt idx="643">
                  <c:v>5.25101398814796</c:v>
                </c:pt>
                <c:pt idx="644">
                  <c:v>5.25101364433198</c:v>
                </c:pt>
                <c:pt idx="645">
                  <c:v>5.25101338193891</c:v>
                </c:pt>
                <c:pt idx="646">
                  <c:v>5.25101318971102</c:v>
                </c:pt>
                <c:pt idx="647">
                  <c:v>5.25101305744393</c:v>
                </c:pt>
                <c:pt idx="648">
                  <c:v>5.25101297594356</c:v>
                </c:pt>
                <c:pt idx="649">
                  <c:v>5.25101293697557</c:v>
                </c:pt>
                <c:pt idx="650">
                  <c:v>5.25101293320966</c:v>
                </c:pt>
                <c:pt idx="651">
                  <c:v>5.08151045043242</c:v>
                </c:pt>
                <c:pt idx="652">
                  <c:v>5.00075342578757</c:v>
                </c:pt>
                <c:pt idx="653">
                  <c:v>4.92601846147949</c:v>
                </c:pt>
                <c:pt idx="654">
                  <c:v>4.8549665835507</c:v>
                </c:pt>
                <c:pt idx="655">
                  <c:v>4.78697980442651</c:v>
                </c:pt>
                <c:pt idx="656">
                  <c:v>4.72228701372177</c:v>
                </c:pt>
                <c:pt idx="657">
                  <c:v>4.66163887331106</c:v>
                </c:pt>
                <c:pt idx="658">
                  <c:v>4.60638471055337</c:v>
                </c:pt>
                <c:pt idx="659">
                  <c:v>4.5589504040469</c:v>
                </c:pt>
                <c:pt idx="660">
                  <c:v>4.52441943816074</c:v>
                </c:pt>
                <c:pt idx="661">
                  <c:v>4.51883234420581</c:v>
                </c:pt>
                <c:pt idx="662">
                  <c:v>4.58402707066894</c:v>
                </c:pt>
                <c:pt idx="663">
                  <c:v>4.40194875385862</c:v>
                </c:pt>
                <c:pt idx="664">
                  <c:v>4.42738573472872</c:v>
                </c:pt>
                <c:pt idx="665">
                  <c:v>4.44741310641145</c:v>
                </c:pt>
                <c:pt idx="666">
                  <c:v>4.47109478537129</c:v>
                </c:pt>
                <c:pt idx="667">
                  <c:v>4.49562061035081</c:v>
                </c:pt>
                <c:pt idx="668">
                  <c:v>4.52045670642223</c:v>
                </c:pt>
                <c:pt idx="669">
                  <c:v>4.5453324156938</c:v>
                </c:pt>
                <c:pt idx="670">
                  <c:v>4.57007864731435</c:v>
                </c:pt>
                <c:pt idx="671">
                  <c:v>4.59456784299336</c:v>
                </c:pt>
                <c:pt idx="672">
                  <c:v>4.6186907365369</c:v>
                </c:pt>
                <c:pt idx="673">
                  <c:v>4.64234620808426</c:v>
                </c:pt>
                <c:pt idx="674">
                  <c:v>4.66543569869025</c:v>
                </c:pt>
                <c:pt idx="675">
                  <c:v>4.68785938818667</c:v>
                </c:pt>
                <c:pt idx="676">
                  <c:v>4.70951294859711</c:v>
                </c:pt>
                <c:pt idx="677">
                  <c:v>4.73028423884995</c:v>
                </c:pt>
                <c:pt idx="678">
                  <c:v>4.75004946007955</c:v>
                </c:pt>
                <c:pt idx="679">
                  <c:v>4.76866824298593</c:v>
                </c:pt>
                <c:pt idx="680">
                  <c:v>4.78597691440264</c:v>
                </c:pt>
                <c:pt idx="681">
                  <c:v>4.80177870252357</c:v>
                </c:pt>
                <c:pt idx="682">
                  <c:v>4.81582863498834</c:v>
                </c:pt>
                <c:pt idx="683">
                  <c:v>4.82780871173273</c:v>
                </c:pt>
                <c:pt idx="684">
                  <c:v>4.83728382328336</c:v>
                </c:pt>
                <c:pt idx="685">
                  <c:v>4.84361541123808</c:v>
                </c:pt>
                <c:pt idx="686">
                  <c:v>4.84576894613807</c:v>
                </c:pt>
                <c:pt idx="687">
                  <c:v>4.8418106440311</c:v>
                </c:pt>
                <c:pt idx="688">
                  <c:v>4.82817485197188</c:v>
                </c:pt>
                <c:pt idx="689">
                  <c:v>4.81509430737766</c:v>
                </c:pt>
                <c:pt idx="690">
                  <c:v>4.80051476232711</c:v>
                </c:pt>
                <c:pt idx="691">
                  <c:v>4.77218555091627</c:v>
                </c:pt>
                <c:pt idx="692">
                  <c:v>4.74525141445025</c:v>
                </c:pt>
                <c:pt idx="693">
                  <c:v>4.72391817208925</c:v>
                </c:pt>
                <c:pt idx="694">
                  <c:v>4.71176164228701</c:v>
                </c:pt>
                <c:pt idx="695">
                  <c:v>4.71083668721021</c:v>
                </c:pt>
                <c:pt idx="696">
                  <c:v>4.7184459466847</c:v>
                </c:pt>
                <c:pt idx="697">
                  <c:v>4.72209313150423</c:v>
                </c:pt>
                <c:pt idx="698">
                  <c:v>4.72056803107379</c:v>
                </c:pt>
                <c:pt idx="699">
                  <c:v>4.72215757647761</c:v>
                </c:pt>
                <c:pt idx="700">
                  <c:v>4.7264227094943</c:v>
                </c:pt>
                <c:pt idx="701">
                  <c:v>4.73186111164413</c:v>
                </c:pt>
                <c:pt idx="702">
                  <c:v>4.73769224357305</c:v>
                </c:pt>
                <c:pt idx="703">
                  <c:v>4.74337806674879</c:v>
                </c:pt>
                <c:pt idx="704">
                  <c:v>4.74861535812498</c:v>
                </c:pt>
                <c:pt idx="705">
                  <c:v>4.75316733179256</c:v>
                </c:pt>
                <c:pt idx="706">
                  <c:v>4.75684651314199</c:v>
                </c:pt>
                <c:pt idx="707">
                  <c:v>4.75950793747115</c:v>
                </c:pt>
                <c:pt idx="708">
                  <c:v>4.76106640622774</c:v>
                </c:pt>
                <c:pt idx="709">
                  <c:v>4.76155799912104</c:v>
                </c:pt>
                <c:pt idx="710">
                  <c:v>4.76134168151407</c:v>
                </c:pt>
                <c:pt idx="711">
                  <c:v>4.76075181253029</c:v>
                </c:pt>
                <c:pt idx="712">
                  <c:v>4.75881040345469</c:v>
                </c:pt>
                <c:pt idx="713">
                  <c:v>4.75548250348294</c:v>
                </c:pt>
                <c:pt idx="714">
                  <c:v>4.75522420456772</c:v>
                </c:pt>
                <c:pt idx="715">
                  <c:v>4.75486472360184</c:v>
                </c:pt>
                <c:pt idx="716">
                  <c:v>4.75454301637853</c:v>
                </c:pt>
                <c:pt idx="717">
                  <c:v>4.75424299031079</c:v>
                </c:pt>
                <c:pt idx="718">
                  <c:v>4.7539573812708</c:v>
                </c:pt>
                <c:pt idx="719">
                  <c:v>4.75368306891685</c:v>
                </c:pt>
                <c:pt idx="720">
                  <c:v>4.75341882433075</c:v>
                </c:pt>
                <c:pt idx="721">
                  <c:v>4.75316439406517</c:v>
                </c:pt>
                <c:pt idx="722">
                  <c:v>4.7529200258693</c:v>
                </c:pt>
                <c:pt idx="723">
                  <c:v>4.75268621588461</c:v>
                </c:pt>
                <c:pt idx="724">
                  <c:v>4.75246356696761</c:v>
                </c:pt>
                <c:pt idx="725">
                  <c:v>4.75225270548765</c:v>
                </c:pt>
                <c:pt idx="726">
                  <c:v>4.75205423016523</c:v>
                </c:pt>
                <c:pt idx="727">
                  <c:v>4.75186867905048</c:v>
                </c:pt>
                <c:pt idx="728">
                  <c:v>4.75169650706133</c:v>
                </c:pt>
                <c:pt idx="729">
                  <c:v>4.7515380698515</c:v>
                </c:pt>
                <c:pt idx="730">
                  <c:v>4.75139361164385</c:v>
                </c:pt>
                <c:pt idx="731">
                  <c:v>4.7512632557598</c:v>
                </c:pt>
                <c:pt idx="732">
                  <c:v>4.75114699725499</c:v>
                </c:pt>
                <c:pt idx="733">
                  <c:v>4.75104469751921</c:v>
                </c:pt>
                <c:pt idx="734">
                  <c:v>4.75095608100706</c:v>
                </c:pt>
                <c:pt idx="735">
                  <c:v>4.75088073447866</c:v>
                </c:pt>
                <c:pt idx="736">
                  <c:v>4.75081810926247</c:v>
                </c:pt>
                <c:pt idx="737">
                  <c:v>4.75076752710015</c:v>
                </c:pt>
                <c:pt idx="738">
                  <c:v>4.750728190085</c:v>
                </c:pt>
                <c:pt idx="739">
                  <c:v>4.75069919504363</c:v>
                </c:pt>
                <c:pt idx="740">
                  <c:v>4.7506795524288</c:v>
                </c:pt>
                <c:pt idx="741">
                  <c:v>4.75066820939756</c:v>
                </c:pt>
                <c:pt idx="742">
                  <c:v>4.75066407627808</c:v>
                </c:pt>
                <c:pt idx="743">
                  <c:v>4.75066605514588</c:v>
                </c:pt>
                <c:pt idx="744">
                  <c:v>4.75067306882428</c:v>
                </c:pt>
                <c:pt idx="745">
                  <c:v>4.75068408839045</c:v>
                </c:pt>
                <c:pt idx="746">
                  <c:v>4.75069815728537</c:v>
                </c:pt>
                <c:pt idx="747">
                  <c:v>4.75071441042115</c:v>
                </c:pt>
                <c:pt idx="748">
                  <c:v>4.75073208721804</c:v>
                </c:pt>
                <c:pt idx="749">
                  <c:v>4.7507505381884</c:v>
                </c:pt>
                <c:pt idx="750">
                  <c:v>4.75076922538263</c:v>
                </c:pt>
                <c:pt idx="751">
                  <c:v>4.75078771759354</c:v>
                </c:pt>
                <c:pt idx="752">
                  <c:v>4.75080568158999</c:v>
                </c:pt>
                <c:pt idx="753">
                  <c:v>4.75082287078763</c:v>
                </c:pt>
                <c:pt idx="754">
                  <c:v>4.75083911269089</c:v>
                </c:pt>
                <c:pt idx="755">
                  <c:v>4.75085429621866</c:v>
                </c:pt>
                <c:pt idx="756">
                  <c:v>4.75086835973299</c:v>
                </c:pt>
                <c:pt idx="757">
                  <c:v>4.75088128028982</c:v>
                </c:pt>
                <c:pt idx="758">
                  <c:v>4.75089306437031</c:v>
                </c:pt>
                <c:pt idx="759">
                  <c:v>4.75090374015065</c:v>
                </c:pt>
                <c:pt idx="760">
                  <c:v>4.75091335123302</c:v>
                </c:pt>
                <c:pt idx="761">
                  <c:v>4.75092195168191</c:v>
                </c:pt>
                <c:pt idx="762">
                  <c:v>4.75092960217485</c:v>
                </c:pt>
                <c:pt idx="763">
                  <c:v>4.7509363670727</c:v>
                </c:pt>
                <c:pt idx="764">
                  <c:v>4.75094231222793</c:v>
                </c:pt>
                <c:pt idx="765">
                  <c:v>4.75094750337252</c:v>
                </c:pt>
                <c:pt idx="766">
                  <c:v>4.7509520049535</c:v>
                </c:pt>
                <c:pt idx="767">
                  <c:v>4.75095587930919</c:v>
                </c:pt>
                <c:pt idx="768">
                  <c:v>4.75095918610232</c:v>
                </c:pt>
                <c:pt idx="769">
                  <c:v>4.75096198194533</c:v>
                </c:pt>
                <c:pt idx="770">
                  <c:v>4.75096432016878</c:v>
                </c:pt>
                <c:pt idx="771">
                  <c:v>4.75096625069611</c:v>
                </c:pt>
                <c:pt idx="772">
                  <c:v>4.75096781999744</c:v>
                </c:pt>
                <c:pt idx="773">
                  <c:v>4.7509690711022</c:v>
                </c:pt>
                <c:pt idx="774">
                  <c:v>4.75097004365559</c:v>
                </c:pt>
                <c:pt idx="775">
                  <c:v>4.7509707740079</c:v>
                </c:pt>
                <c:pt idx="776">
                  <c:v>4.75097129532825</c:v>
                </c:pt>
                <c:pt idx="777">
                  <c:v>4.75097163773642</c:v>
                </c:pt>
                <c:pt idx="778">
                  <c:v>4.75097182844801</c:v>
                </c:pt>
                <c:pt idx="779">
                  <c:v>4.7509718919288</c:v>
                </c:pt>
                <c:pt idx="780">
                  <c:v>4.75097185005542</c:v>
                </c:pt>
                <c:pt idx="781">
                  <c:v>4.7509717222795</c:v>
                </c:pt>
                <c:pt idx="782">
                  <c:v>4.75097152579335</c:v>
                </c:pt>
                <c:pt idx="783">
                  <c:v>4.75097127569496</c:v>
                </c:pt>
                <c:pt idx="784">
                  <c:v>4.75097098515114</c:v>
                </c:pt>
                <c:pt idx="785">
                  <c:v>4.75097066555704</c:v>
                </c:pt>
                <c:pt idx="786">
                  <c:v>4.75097032669118</c:v>
                </c:pt>
                <c:pt idx="787">
                  <c:v>4.75096997686478</c:v>
                </c:pt>
                <c:pt idx="788">
                  <c:v>4.75096962306481</c:v>
                </c:pt>
                <c:pt idx="789">
                  <c:v>4.75096927108992</c:v>
                </c:pt>
                <c:pt idx="790">
                  <c:v>4.75096892567886</c:v>
                </c:pt>
                <c:pt idx="791">
                  <c:v>4.75096859063109</c:v>
                </c:pt>
                <c:pt idx="792">
                  <c:v>4.75096826891925</c:v>
                </c:pt>
                <c:pt idx="793">
                  <c:v>4.75096796279345</c:v>
                </c:pt>
                <c:pt idx="794">
                  <c:v>4.75096767387743</c:v>
                </c:pt>
                <c:pt idx="795">
                  <c:v>4.75096740325664</c:v>
                </c:pt>
                <c:pt idx="796">
                  <c:v>4.7509671515584</c:v>
                </c:pt>
                <c:pt idx="797">
                  <c:v>4.75096691902449</c:v>
                </c:pt>
                <c:pt idx="798">
                  <c:v>4.75096670557642</c:v>
                </c:pt>
                <c:pt idx="799">
                  <c:v>4.75096651087368</c:v>
                </c:pt>
                <c:pt idx="800">
                  <c:v>4.74853864628064</c:v>
                </c:pt>
                <c:pt idx="801">
                  <c:v>4.74819334162732</c:v>
                </c:pt>
                <c:pt idx="802">
                  <c:v>4.74824810320732</c:v>
                </c:pt>
                <c:pt idx="803">
                  <c:v>4.74834902992259</c:v>
                </c:pt>
                <c:pt idx="804">
                  <c:v>4.74854442970379</c:v>
                </c:pt>
                <c:pt idx="805">
                  <c:v>4.74888698490941</c:v>
                </c:pt>
                <c:pt idx="806">
                  <c:v>4.7493339441213</c:v>
                </c:pt>
                <c:pt idx="807">
                  <c:v>4.74957578025052</c:v>
                </c:pt>
                <c:pt idx="808">
                  <c:v>4.74971366508965</c:v>
                </c:pt>
                <c:pt idx="809">
                  <c:v>4.74982178702044</c:v>
                </c:pt>
                <c:pt idx="810">
                  <c:v>4.74989581021575</c:v>
                </c:pt>
                <c:pt idx="811">
                  <c:v>4.74994612866099</c:v>
                </c:pt>
                <c:pt idx="812">
                  <c:v>4.74997968653825</c:v>
                </c:pt>
                <c:pt idx="813">
                  <c:v>4.75000075177628</c:v>
                </c:pt>
                <c:pt idx="814">
                  <c:v>4.75001304731731</c:v>
                </c:pt>
                <c:pt idx="815">
                  <c:v>4.75001942888699</c:v>
                </c:pt>
                <c:pt idx="816">
                  <c:v>4.75002201251307</c:v>
                </c:pt>
                <c:pt idx="817">
                  <c:v>4.75002231193088</c:v>
                </c:pt>
                <c:pt idx="818">
                  <c:v>4.75002134570435</c:v>
                </c:pt>
                <c:pt idx="819">
                  <c:v>4.75001976078296</c:v>
                </c:pt>
                <c:pt idx="820">
                  <c:v>4.75001794440899</c:v>
                </c:pt>
                <c:pt idx="821">
                  <c:v>4.75001611292303</c:v>
                </c:pt>
                <c:pt idx="822">
                  <c:v>4.75001437664734</c:v>
                </c:pt>
                <c:pt idx="823">
                  <c:v>4.75001278374528</c:v>
                </c:pt>
                <c:pt idx="824">
                  <c:v>4.75001134808654</c:v>
                </c:pt>
                <c:pt idx="825">
                  <c:v>4.75001006604448</c:v>
                </c:pt>
                <c:pt idx="826">
                  <c:v>4.75000892611124</c:v>
                </c:pt>
                <c:pt idx="827">
                  <c:v>4.75000791409555</c:v>
                </c:pt>
                <c:pt idx="828">
                  <c:v>4.75000701573011</c:v>
                </c:pt>
                <c:pt idx="829">
                  <c:v>4.75000621783034</c:v>
                </c:pt>
                <c:pt idx="830">
                  <c:v>4.75000550868736</c:v>
                </c:pt>
                <c:pt idx="831">
                  <c:v>4.75000487808638</c:v>
                </c:pt>
                <c:pt idx="832">
                  <c:v>4.75000431716488</c:v>
                </c:pt>
                <c:pt idx="833">
                  <c:v>4.7500038182214</c:v>
                </c:pt>
                <c:pt idx="834">
                  <c:v>4.75000337452765</c:v>
                </c:pt>
                <c:pt idx="835">
                  <c:v>4.75000298016512</c:v>
                </c:pt>
                <c:pt idx="836">
                  <c:v>4.75000262989177</c:v>
                </c:pt>
                <c:pt idx="837">
                  <c:v>4.75000231903666</c:v>
                </c:pt>
                <c:pt idx="838">
                  <c:v>4.75000204341811</c:v>
                </c:pt>
                <c:pt idx="839">
                  <c:v>4.75000179928006</c:v>
                </c:pt>
                <c:pt idx="840">
                  <c:v>4.75000158324206</c:v>
                </c:pt>
                <c:pt idx="841">
                  <c:v>4.75000139225912</c:v>
                </c:pt>
                <c:pt idx="842">
                  <c:v>4.75000122358861</c:v>
                </c:pt>
                <c:pt idx="843">
                  <c:v>4.75000107476202</c:v>
                </c:pt>
                <c:pt idx="844">
                  <c:v>4.75000094356033</c:v>
                </c:pt>
                <c:pt idx="845">
                  <c:v>4.75000082799186</c:v>
                </c:pt>
                <c:pt idx="846">
                  <c:v>4.75000072627215</c:v>
                </c:pt>
                <c:pt idx="847">
                  <c:v>4.75000063680525</c:v>
                </c:pt>
                <c:pt idx="848">
                  <c:v>4.75000055816656</c:v>
                </c:pt>
                <c:pt idx="849">
                  <c:v>4.75000048908668</c:v>
                </c:pt>
                <c:pt idx="850">
                  <c:v>4.75000042843654</c:v>
                </c:pt>
                <c:pt idx="851">
                  <c:v>4.75000037521354</c:v>
                </c:pt>
                <c:pt idx="852">
                  <c:v>4.75000032852878</c:v>
                </c:pt>
                <c:pt idx="853">
                  <c:v>4.75000028759532</c:v>
                </c:pt>
                <c:pt idx="854">
                  <c:v>4.75000025171739</c:v>
                </c:pt>
                <c:pt idx="855">
                  <c:v>4.75000022028062</c:v>
                </c:pt>
                <c:pt idx="856">
                  <c:v>4.75000019274305</c:v>
                </c:pt>
                <c:pt idx="857">
                  <c:v>4.75000016862715</c:v>
                </c:pt>
                <c:pt idx="858">
                  <c:v>4.7500001475125</c:v>
                </c:pt>
                <c:pt idx="859">
                  <c:v>4.75000012902927</c:v>
                </c:pt>
                <c:pt idx="860">
                  <c:v>4.75000011285237</c:v>
                </c:pt>
                <c:pt idx="861">
                  <c:v>4.75000009869622</c:v>
                </c:pt>
                <c:pt idx="862">
                  <c:v>4.75000008631011</c:v>
                </c:pt>
                <c:pt idx="863">
                  <c:v>4.75000007547403</c:v>
                </c:pt>
                <c:pt idx="864">
                  <c:v>4.75000006599503</c:v>
                </c:pt>
                <c:pt idx="865">
                  <c:v>4.75000005770393</c:v>
                </c:pt>
                <c:pt idx="866">
                  <c:v>4.75000005045246</c:v>
                </c:pt>
                <c:pt idx="867">
                  <c:v>4.75000004411074</c:v>
                </c:pt>
                <c:pt idx="868">
                  <c:v>4.75000003856498</c:v>
                </c:pt>
                <c:pt idx="869">
                  <c:v>4.75000003371555</c:v>
                </c:pt>
                <c:pt idx="870">
                  <c:v>4.75000002947523</c:v>
                </c:pt>
                <c:pt idx="871">
                  <c:v>4.75000002576768</c:v>
                </c:pt>
                <c:pt idx="872">
                  <c:v>4.75000002252608</c:v>
                </c:pt>
                <c:pt idx="873">
                  <c:v>4.75000001969197</c:v>
                </c:pt>
                <c:pt idx="874">
                  <c:v>4.75000001721419</c:v>
                </c:pt>
                <c:pt idx="875">
                  <c:v>4.750000015048</c:v>
                </c:pt>
                <c:pt idx="876">
                  <c:v>4.75000001315426</c:v>
                </c:pt>
                <c:pt idx="877">
                  <c:v>4.75000001149874</c:v>
                </c:pt>
                <c:pt idx="878">
                  <c:v>4.75000001005148</c:v>
                </c:pt>
                <c:pt idx="879">
                  <c:v>4.75000000878632</c:v>
                </c:pt>
                <c:pt idx="880">
                  <c:v>4.75000000768036</c:v>
                </c:pt>
                <c:pt idx="881">
                  <c:v>4.75000000671357</c:v>
                </c:pt>
                <c:pt idx="882">
                  <c:v>4.75000000586845</c:v>
                </c:pt>
                <c:pt idx="883">
                  <c:v>4.7500000051297</c:v>
                </c:pt>
                <c:pt idx="884">
                  <c:v>4.75000000448392</c:v>
                </c:pt>
                <c:pt idx="885">
                  <c:v>4.75000000391943</c:v>
                </c:pt>
                <c:pt idx="886">
                  <c:v>4.750000003426</c:v>
                </c:pt>
                <c:pt idx="887">
                  <c:v>4.75000000299468</c:v>
                </c:pt>
                <c:pt idx="888">
                  <c:v>4.75000000261765</c:v>
                </c:pt>
                <c:pt idx="889">
                  <c:v>4.75000000228809</c:v>
                </c:pt>
                <c:pt idx="890">
                  <c:v>4.75000000200002</c:v>
                </c:pt>
                <c:pt idx="891">
                  <c:v>4.75000000174821</c:v>
                </c:pt>
                <c:pt idx="892">
                  <c:v>4.75000000152811</c:v>
                </c:pt>
                <c:pt idx="893">
                  <c:v>4.75000000133571</c:v>
                </c:pt>
                <c:pt idx="894">
                  <c:v>4.75000000116754</c:v>
                </c:pt>
                <c:pt idx="895">
                  <c:v>4.75000000102054</c:v>
                </c:pt>
                <c:pt idx="896">
                  <c:v>4.75000000089204</c:v>
                </c:pt>
                <c:pt idx="897">
                  <c:v>4.75000000077973</c:v>
                </c:pt>
                <c:pt idx="898">
                  <c:v>4.75000000068156</c:v>
                </c:pt>
                <c:pt idx="899">
                  <c:v>4.75000000059574</c:v>
                </c:pt>
                <c:pt idx="900">
                  <c:v>4.75000000052073</c:v>
                </c:pt>
                <c:pt idx="901">
                  <c:v>4.75000000045517</c:v>
                </c:pt>
                <c:pt idx="902">
                  <c:v>4.75000000039786</c:v>
                </c:pt>
                <c:pt idx="903">
                  <c:v>4.75000000034776</c:v>
                </c:pt>
                <c:pt idx="904">
                  <c:v>4.75000000030398</c:v>
                </c:pt>
                <c:pt idx="905">
                  <c:v>4.7500000002657</c:v>
                </c:pt>
                <c:pt idx="906">
                  <c:v>4.75000000023225</c:v>
                </c:pt>
                <c:pt idx="907">
                  <c:v>4.75000000020301</c:v>
                </c:pt>
                <c:pt idx="908">
                  <c:v>4.75000000017745</c:v>
                </c:pt>
                <c:pt idx="909">
                  <c:v>4.7500000001551</c:v>
                </c:pt>
                <c:pt idx="910">
                  <c:v>4.75000000013558</c:v>
                </c:pt>
                <c:pt idx="911">
                  <c:v>4.7500000001185</c:v>
                </c:pt>
                <c:pt idx="912">
                  <c:v>4.75000000010358</c:v>
                </c:pt>
                <c:pt idx="913">
                  <c:v>4.75000000009054</c:v>
                </c:pt>
                <c:pt idx="914">
                  <c:v>4.75000000007914</c:v>
                </c:pt>
                <c:pt idx="915">
                  <c:v>4.75000000006918</c:v>
                </c:pt>
                <c:pt idx="916">
                  <c:v>4.75000000006047</c:v>
                </c:pt>
                <c:pt idx="917">
                  <c:v>4.75000000005285</c:v>
                </c:pt>
                <c:pt idx="918">
                  <c:v>4.7500000000462</c:v>
                </c:pt>
                <c:pt idx="919">
                  <c:v>4.75000000004038</c:v>
                </c:pt>
                <c:pt idx="920">
                  <c:v>4.7500000000353</c:v>
                </c:pt>
                <c:pt idx="921">
                  <c:v>4.75000000003085</c:v>
                </c:pt>
                <c:pt idx="922">
                  <c:v>4.75000000002697</c:v>
                </c:pt>
                <c:pt idx="923">
                  <c:v>4.75000000002357</c:v>
                </c:pt>
                <c:pt idx="924">
                  <c:v>4.7500000000206</c:v>
                </c:pt>
                <c:pt idx="925">
                  <c:v>4.75000000001801</c:v>
                </c:pt>
                <c:pt idx="926">
                  <c:v>4.75000000001574</c:v>
                </c:pt>
                <c:pt idx="927">
                  <c:v>4.75000000001376</c:v>
                </c:pt>
                <c:pt idx="928">
                  <c:v>4.75000000001203</c:v>
                </c:pt>
                <c:pt idx="929">
                  <c:v>4.75000000001051</c:v>
                </c:pt>
                <c:pt idx="930">
                  <c:v>4.75000000000919</c:v>
                </c:pt>
                <c:pt idx="931">
                  <c:v>4.75000000000803</c:v>
                </c:pt>
                <c:pt idx="932">
                  <c:v>4.75000000000702</c:v>
                </c:pt>
                <c:pt idx="933">
                  <c:v>4.75000000000614</c:v>
                </c:pt>
                <c:pt idx="934">
                  <c:v>4.75000000000537</c:v>
                </c:pt>
                <c:pt idx="935">
                  <c:v>4.75000000000469</c:v>
                </c:pt>
                <c:pt idx="936">
                  <c:v>4.7500000000041</c:v>
                </c:pt>
                <c:pt idx="937">
                  <c:v>4.75000000000358</c:v>
                </c:pt>
                <c:pt idx="938">
                  <c:v>4.75000000000313</c:v>
                </c:pt>
                <c:pt idx="939">
                  <c:v>4.75000000000274</c:v>
                </c:pt>
                <c:pt idx="940">
                  <c:v>4.75000000000239</c:v>
                </c:pt>
                <c:pt idx="941">
                  <c:v>4.75000000000209</c:v>
                </c:pt>
                <c:pt idx="942">
                  <c:v>4.75000000000183</c:v>
                </c:pt>
                <c:pt idx="943">
                  <c:v>4.7500000000016</c:v>
                </c:pt>
                <c:pt idx="944">
                  <c:v>4.7500000000014</c:v>
                </c:pt>
                <c:pt idx="945">
                  <c:v>4.75000000000122</c:v>
                </c:pt>
                <c:pt idx="946">
                  <c:v>4.75000000000107</c:v>
                </c:pt>
                <c:pt idx="947">
                  <c:v>4.75000000000093</c:v>
                </c:pt>
                <c:pt idx="948">
                  <c:v>4.75000000000082</c:v>
                </c:pt>
                <c:pt idx="949">
                  <c:v>4.75000000000071</c:v>
                </c:pt>
                <c:pt idx="950">
                  <c:v>4.75000000000062</c:v>
                </c:pt>
                <c:pt idx="951">
                  <c:v>4.75000000000054</c:v>
                </c:pt>
                <c:pt idx="952">
                  <c:v>4.75000000000048</c:v>
                </c:pt>
                <c:pt idx="953">
                  <c:v>4.75000000000042</c:v>
                </c:pt>
                <c:pt idx="954">
                  <c:v>4.75000000000036</c:v>
                </c:pt>
                <c:pt idx="955">
                  <c:v>4.75000000000032</c:v>
                </c:pt>
                <c:pt idx="956">
                  <c:v>4.75000000000028</c:v>
                </c:pt>
                <c:pt idx="957">
                  <c:v>4.75000000000024</c:v>
                </c:pt>
                <c:pt idx="958">
                  <c:v>4.75000000000021</c:v>
                </c:pt>
                <c:pt idx="959">
                  <c:v>4.75000000000019</c:v>
                </c:pt>
                <c:pt idx="960">
                  <c:v>4.75000000000016</c:v>
                </c:pt>
                <c:pt idx="961">
                  <c:v>4.75000000000014</c:v>
                </c:pt>
                <c:pt idx="962">
                  <c:v>4.75000000000012</c:v>
                </c:pt>
                <c:pt idx="963">
                  <c:v>4.75000000000011</c:v>
                </c:pt>
                <c:pt idx="964">
                  <c:v>4.7500000000001</c:v>
                </c:pt>
                <c:pt idx="965">
                  <c:v>4.75000000000008</c:v>
                </c:pt>
                <c:pt idx="966">
                  <c:v>4.75000000000007</c:v>
                </c:pt>
                <c:pt idx="967">
                  <c:v>4.75000000000007</c:v>
                </c:pt>
                <c:pt idx="968">
                  <c:v>4.75000000000006</c:v>
                </c:pt>
                <c:pt idx="969">
                  <c:v>4.75000000000005</c:v>
                </c:pt>
                <c:pt idx="970">
                  <c:v>4.75000000000004</c:v>
                </c:pt>
                <c:pt idx="971">
                  <c:v>4.75000000000004</c:v>
                </c:pt>
                <c:pt idx="972">
                  <c:v>4.75000000000003</c:v>
                </c:pt>
                <c:pt idx="973">
                  <c:v>4.75000000000003</c:v>
                </c:pt>
                <c:pt idx="974">
                  <c:v>4.75000000000003</c:v>
                </c:pt>
                <c:pt idx="975">
                  <c:v>4.75000000000002</c:v>
                </c:pt>
                <c:pt idx="976">
                  <c:v>4.75000000000002</c:v>
                </c:pt>
                <c:pt idx="977">
                  <c:v>4.75000000000002</c:v>
                </c:pt>
                <c:pt idx="978">
                  <c:v>4.75000000000001</c:v>
                </c:pt>
                <c:pt idx="979">
                  <c:v>4.75000000000001</c:v>
                </c:pt>
                <c:pt idx="980">
                  <c:v>4.75000000000001</c:v>
                </c:pt>
                <c:pt idx="981">
                  <c:v>4.75000000000001</c:v>
                </c:pt>
                <c:pt idx="982">
                  <c:v>4.75000000000001</c:v>
                </c:pt>
                <c:pt idx="983">
                  <c:v>4.75000000000001</c:v>
                </c:pt>
                <c:pt idx="984">
                  <c:v>4.75000000000001</c:v>
                </c:pt>
                <c:pt idx="985">
                  <c:v>4.75000000000001</c:v>
                </c:pt>
                <c:pt idx="986">
                  <c:v>4.75000000000001</c:v>
                </c:pt>
                <c:pt idx="987">
                  <c:v>4.75000000000001</c:v>
                </c:pt>
                <c:pt idx="988">
                  <c:v>4.75000000000001</c:v>
                </c:pt>
                <c:pt idx="989">
                  <c:v>4.75000000000001</c:v>
                </c:pt>
                <c:pt idx="990">
                  <c:v>4.75000000000001</c:v>
                </c:pt>
                <c:pt idx="991">
                  <c:v>4.75000000000001</c:v>
                </c:pt>
                <c:pt idx="992">
                  <c:v>4.75000000000001</c:v>
                </c:pt>
                <c:pt idx="993">
                  <c:v>4.75000000000001</c:v>
                </c:pt>
                <c:pt idx="994">
                  <c:v>4.75000000000001</c:v>
                </c:pt>
                <c:pt idx="995">
                  <c:v>4.75000000000001</c:v>
                </c:pt>
                <c:pt idx="996">
                  <c:v>4.75000000000001</c:v>
                </c:pt>
                <c:pt idx="997">
                  <c:v>4.75000000000001</c:v>
                </c:pt>
                <c:pt idx="998">
                  <c:v>4.75000000000001</c:v>
                </c:pt>
                <c:pt idx="999">
                  <c:v>4.75</c:v>
                </c:pt>
                <c:pt idx="1000">
                  <c:v>4.74815519461502</c:v>
                </c:pt>
                <c:pt idx="1001">
                  <c:v>4.74794562123229</c:v>
                </c:pt>
                <c:pt idx="1002">
                  <c:v>4.74878434112253</c:v>
                </c:pt>
                <c:pt idx="1003">
                  <c:v>4.74878404869398</c:v>
                </c:pt>
                <c:pt idx="1004">
                  <c:v>4.74885520438318</c:v>
                </c:pt>
                <c:pt idx="1005">
                  <c:v>4.74891120278209</c:v>
                </c:pt>
                <c:pt idx="1006">
                  <c:v>4.74894603048046</c:v>
                </c:pt>
                <c:pt idx="1007">
                  <c:v>4.74897249923975</c:v>
                </c:pt>
                <c:pt idx="1008">
                  <c:v>4.74899173538217</c:v>
                </c:pt>
                <c:pt idx="1009">
                  <c:v>4.74900606488239</c:v>
                </c:pt>
                <c:pt idx="1010">
                  <c:v>4.74901679669294</c:v>
                </c:pt>
                <c:pt idx="1011">
                  <c:v>4.74902484835945</c:v>
                </c:pt>
                <c:pt idx="1012">
                  <c:v>4.74903089219965</c:v>
                </c:pt>
                <c:pt idx="1013">
                  <c:v>4.74903541381802</c:v>
                </c:pt>
                <c:pt idx="1014">
                  <c:v>4.74903877194931</c:v>
                </c:pt>
                <c:pt idx="1015">
                  <c:v>4.74904123526809</c:v>
                </c:pt>
                <c:pt idx="1016">
                  <c:v>4.74904300735784</c:v>
                </c:pt>
                <c:pt idx="1017">
                  <c:v>4.74904424403879</c:v>
                </c:pt>
                <c:pt idx="1018">
                  <c:v>4.74904506558332</c:v>
                </c:pt>
                <c:pt idx="1019">
                  <c:v>4.74904556548247</c:v>
                </c:pt>
                <c:pt idx="1020">
                  <c:v>4.74904581683148</c:v>
                </c:pt>
                <c:pt idx="1021">
                  <c:v>4.74904587704526</c:v>
                </c:pt>
                <c:pt idx="1022">
                  <c:v>4.74904579138348</c:v>
                </c:pt>
                <c:pt idx="1023">
                  <c:v>4.74904559561498</c:v>
                </c:pt>
                <c:pt idx="1024">
                  <c:v>4.74904531805154</c:v>
                </c:pt>
                <c:pt idx="1025">
                  <c:v>4.74904498111416</c:v>
                </c:pt>
                <c:pt idx="1026">
                  <c:v>4.74904460254892</c:v>
                </c:pt>
                <c:pt idx="1027">
                  <c:v>4.74904419637752</c:v>
                </c:pt>
                <c:pt idx="1028">
                  <c:v>4.74904377364527</c:v>
                </c:pt>
                <c:pt idx="1029">
                  <c:v>4.74904334301291</c:v>
                </c:pt>
                <c:pt idx="1030">
                  <c:v>4.74904291122731</c:v>
                </c:pt>
                <c:pt idx="1031">
                  <c:v>4.74904248349754</c:v>
                </c:pt>
                <c:pt idx="1032">
                  <c:v>4.74904206379639</c:v>
                </c:pt>
                <c:pt idx="1033">
                  <c:v>4.74904165510305</c:v>
                </c:pt>
                <c:pt idx="1034">
                  <c:v>4.74904125959894</c:v>
                </c:pt>
                <c:pt idx="1035">
                  <c:v>4.74904087882613</c:v>
                </c:pt>
                <c:pt idx="1036">
                  <c:v>4.74904051381576</c:v>
                </c:pt>
                <c:pt idx="1037">
                  <c:v>4.7490401651922</c:v>
                </c:pt>
                <c:pt idx="1038">
                  <c:v>4.74903983325777</c:v>
                </c:pt>
                <c:pt idx="1039">
                  <c:v>4.74903951806159</c:v>
                </c:pt>
                <c:pt idx="1040">
                  <c:v>4.74903921945546</c:v>
                </c:pt>
                <c:pt idx="1041">
                  <c:v>4.74903893713945</c:v>
                </c:pt>
                <c:pt idx="1042">
                  <c:v>4.7490386706987</c:v>
                </c:pt>
                <c:pt idx="1043">
                  <c:v>4.74903841963339</c:v>
                </c:pt>
                <c:pt idx="1044">
                  <c:v>4.74903818338289</c:v>
                </c:pt>
                <c:pt idx="1045">
                  <c:v>4.74903796134523</c:v>
                </c:pt>
                <c:pt idx="1046">
                  <c:v>4.74903775289276</c:v>
                </c:pt>
                <c:pt idx="1047">
                  <c:v>4.74903755738459</c:v>
                </c:pt>
                <c:pt idx="1048">
                  <c:v>4.74903737417647</c:v>
                </c:pt>
                <c:pt idx="1049">
                  <c:v>4.74903720262855</c:v>
                </c:pt>
                <c:pt idx="1050">
                  <c:v>4.74903704211143</c:v>
                </c:pt>
                <c:pt idx="1051">
                  <c:v>4.7490368920107</c:v>
                </c:pt>
                <c:pt idx="1052">
                  <c:v>4.74903675173042</c:v>
                </c:pt>
                <c:pt idx="1053">
                  <c:v>4.74903662069561</c:v>
                </c:pt>
                <c:pt idx="1054">
                  <c:v>4.74903649835399</c:v>
                </c:pt>
                <c:pt idx="1055">
                  <c:v>4.74903638417708</c:v>
                </c:pt>
                <c:pt idx="1056">
                  <c:v>4.74903627766081</c:v>
                </c:pt>
                <c:pt idx="1057">
                  <c:v>4.74903617832577</c:v>
                </c:pt>
                <c:pt idx="1058">
                  <c:v>4.74903608571711</c:v>
                </c:pt>
                <c:pt idx="1059">
                  <c:v>4.74903599940421</c:v>
                </c:pt>
                <c:pt idx="1060">
                  <c:v>4.74903591898014</c:v>
                </c:pt>
                <c:pt idx="1061">
                  <c:v>4.74903584406101</c:v>
                </c:pt>
                <c:pt idx="1062">
                  <c:v>4.7490357742852</c:v>
                </c:pt>
                <c:pt idx="1063">
                  <c:v>4.74903570931252</c:v>
                </c:pt>
                <c:pt idx="1064">
                  <c:v>4.7490356488233</c:v>
                </c:pt>
                <c:pt idx="1065">
                  <c:v>4.74903559251746</c:v>
                </c:pt>
                <c:pt idx="1066">
                  <c:v>4.74903554011361</c:v>
                </c:pt>
                <c:pt idx="1067">
                  <c:v>4.74903549134807</c:v>
                </c:pt>
                <c:pt idx="1068">
                  <c:v>4.74903544597396</c:v>
                </c:pt>
                <c:pt idx="1069">
                  <c:v>4.74903540376029</c:v>
                </c:pt>
                <c:pt idx="1070">
                  <c:v>4.74903536449107</c:v>
                </c:pt>
                <c:pt idx="1071">
                  <c:v>4.74903532796445</c:v>
                </c:pt>
                <c:pt idx="1072">
                  <c:v>4.74903529399187</c:v>
                </c:pt>
                <c:pt idx="1073">
                  <c:v>4.7490352623973</c:v>
                </c:pt>
                <c:pt idx="1074">
                  <c:v>4.74903523301644</c:v>
                </c:pt>
                <c:pt idx="1075">
                  <c:v>4.74903520569604</c:v>
                </c:pt>
                <c:pt idx="1076">
                  <c:v>4.74903518029317</c:v>
                </c:pt>
                <c:pt idx="1077">
                  <c:v>4.74903515667458</c:v>
                </c:pt>
                <c:pt idx="1078">
                  <c:v>4.74903513471607</c:v>
                </c:pt>
                <c:pt idx="1079">
                  <c:v>4.74903511430192</c:v>
                </c:pt>
                <c:pt idx="1080">
                  <c:v>4.74903509532435</c:v>
                </c:pt>
                <c:pt idx="1081">
                  <c:v>4.74903507768295</c:v>
                </c:pt>
                <c:pt idx="1082">
                  <c:v>4.74903506128424</c:v>
                </c:pt>
                <c:pt idx="1083">
                  <c:v>4.74903504604118</c:v>
                </c:pt>
                <c:pt idx="1084">
                  <c:v>4.74903503187277</c:v>
                </c:pt>
                <c:pt idx="1085">
                  <c:v>4.7490350187036</c:v>
                </c:pt>
                <c:pt idx="1086">
                  <c:v>4.74903500646351</c:v>
                </c:pt>
                <c:pt idx="1087">
                  <c:v>4.74903499508722</c:v>
                </c:pt>
                <c:pt idx="1088">
                  <c:v>4.74903498451398</c:v>
                </c:pt>
                <c:pt idx="1089">
                  <c:v>4.7490349746873</c:v>
                </c:pt>
                <c:pt idx="1090">
                  <c:v>4.74903496555463</c:v>
                </c:pt>
                <c:pt idx="1091">
                  <c:v>4.74903495706709</c:v>
                </c:pt>
                <c:pt idx="1092">
                  <c:v>4.74903494917922</c:v>
                </c:pt>
                <c:pt idx="1093">
                  <c:v>4.74903494184875</c:v>
                </c:pt>
                <c:pt idx="1094">
                  <c:v>4.74903493503637</c:v>
                </c:pt>
                <c:pt idx="1095">
                  <c:v>4.74903492870554</c:v>
                </c:pt>
                <c:pt idx="1096">
                  <c:v>4.74903492282227</c:v>
                </c:pt>
                <c:pt idx="1097">
                  <c:v>4.74903491735498</c:v>
                </c:pt>
                <c:pt idx="1098">
                  <c:v>4.7490349122743</c:v>
                </c:pt>
                <c:pt idx="1099">
                  <c:v>4.74903490755293</c:v>
                </c:pt>
                <c:pt idx="1100">
                  <c:v>4.74903490316547</c:v>
                </c:pt>
                <c:pt idx="1101">
                  <c:v>4.74903489908835</c:v>
                </c:pt>
                <c:pt idx="1102">
                  <c:v>4.74903489529964</c:v>
                </c:pt>
                <c:pt idx="1103">
                  <c:v>4.74903489177894</c:v>
                </c:pt>
                <c:pt idx="1104">
                  <c:v>4.74903488850732</c:v>
                </c:pt>
                <c:pt idx="1105">
                  <c:v>4.74903488546717</c:v>
                </c:pt>
                <c:pt idx="1106">
                  <c:v>4.74903488264212</c:v>
                </c:pt>
                <c:pt idx="1107">
                  <c:v>4.74903488001697</c:v>
                </c:pt>
                <c:pt idx="1108">
                  <c:v>4.74903487757757</c:v>
                </c:pt>
                <c:pt idx="1109">
                  <c:v>4.74903487531079</c:v>
                </c:pt>
                <c:pt idx="1110">
                  <c:v>4.74903487320441</c:v>
                </c:pt>
                <c:pt idx="1111">
                  <c:v>4.7490348712471</c:v>
                </c:pt>
                <c:pt idx="1112">
                  <c:v>4.74903486942831</c:v>
                </c:pt>
                <c:pt idx="1113">
                  <c:v>4.74903486773823</c:v>
                </c:pt>
                <c:pt idx="1114">
                  <c:v>4.74903486616776</c:v>
                </c:pt>
                <c:pt idx="1115">
                  <c:v>4.74903486470844</c:v>
                </c:pt>
                <c:pt idx="1116">
                  <c:v>4.74903486335241</c:v>
                </c:pt>
                <c:pt idx="1117">
                  <c:v>4.74903486209235</c:v>
                </c:pt>
                <c:pt idx="1118">
                  <c:v>4.74903486092147</c:v>
                </c:pt>
                <c:pt idx="1119">
                  <c:v>4.74903485983347</c:v>
                </c:pt>
                <c:pt idx="1120">
                  <c:v>4.74903485882247</c:v>
                </c:pt>
                <c:pt idx="1121">
                  <c:v>4.74903485788303</c:v>
                </c:pt>
                <c:pt idx="1122">
                  <c:v>4.74903485701009</c:v>
                </c:pt>
                <c:pt idx="1123">
                  <c:v>4.74903485619893</c:v>
                </c:pt>
                <c:pt idx="1124">
                  <c:v>4.74903485544519</c:v>
                </c:pt>
                <c:pt idx="1125">
                  <c:v>4.7490348547448</c:v>
                </c:pt>
                <c:pt idx="1126">
                  <c:v>4.74903485409398</c:v>
                </c:pt>
                <c:pt idx="1127">
                  <c:v>4.74903485348923</c:v>
                </c:pt>
                <c:pt idx="1128">
                  <c:v>4.74903485292728</c:v>
                </c:pt>
                <c:pt idx="1129">
                  <c:v>4.74903485240512</c:v>
                </c:pt>
                <c:pt idx="1130">
                  <c:v>4.74903485191991</c:v>
                </c:pt>
                <c:pt idx="1131">
                  <c:v>4.74903485146904</c:v>
                </c:pt>
                <c:pt idx="1132">
                  <c:v>4.74903485105009</c:v>
                </c:pt>
                <c:pt idx="1133">
                  <c:v>4.7490348506608</c:v>
                </c:pt>
                <c:pt idx="1134">
                  <c:v>4.74903485029906</c:v>
                </c:pt>
                <c:pt idx="1135">
                  <c:v>4.74903484996293</c:v>
                </c:pt>
                <c:pt idx="1136">
                  <c:v>4.74903484965059</c:v>
                </c:pt>
                <c:pt idx="1137">
                  <c:v>4.74903484936035</c:v>
                </c:pt>
                <c:pt idx="1138">
                  <c:v>4.74903484909066</c:v>
                </c:pt>
                <c:pt idx="1139">
                  <c:v>4.74903484884006</c:v>
                </c:pt>
                <c:pt idx="1140">
                  <c:v>4.7490348486072</c:v>
                </c:pt>
                <c:pt idx="1141">
                  <c:v>4.74903484839082</c:v>
                </c:pt>
                <c:pt idx="1142">
                  <c:v>4.74903484818976</c:v>
                </c:pt>
                <c:pt idx="1143">
                  <c:v>4.74903484800293</c:v>
                </c:pt>
                <c:pt idx="1144">
                  <c:v>4.74903484782933</c:v>
                </c:pt>
                <c:pt idx="1145">
                  <c:v>4.74903484766801</c:v>
                </c:pt>
                <c:pt idx="1146">
                  <c:v>4.74903484751811</c:v>
                </c:pt>
                <c:pt idx="1147">
                  <c:v>4.74903484737882</c:v>
                </c:pt>
                <c:pt idx="1148">
                  <c:v>4.74903484724939</c:v>
                </c:pt>
                <c:pt idx="1149">
                  <c:v>4.74903484712912</c:v>
                </c:pt>
                <c:pt idx="1150">
                  <c:v>4.74903484701737</c:v>
                </c:pt>
                <c:pt idx="1151">
                  <c:v>4.74903484691353</c:v>
                </c:pt>
                <c:pt idx="1152">
                  <c:v>4.74903484681703</c:v>
                </c:pt>
                <c:pt idx="1153">
                  <c:v>4.74903484672737</c:v>
                </c:pt>
                <c:pt idx="1154">
                  <c:v>4.74903484664405</c:v>
                </c:pt>
                <c:pt idx="1155">
                  <c:v>4.74903484656663</c:v>
                </c:pt>
                <c:pt idx="1156">
                  <c:v>4.74903484649469</c:v>
                </c:pt>
                <c:pt idx="1157">
                  <c:v>4.74903484642785</c:v>
                </c:pt>
                <c:pt idx="1158">
                  <c:v>4.74903484636573</c:v>
                </c:pt>
                <c:pt idx="1159">
                  <c:v>4.74903484630801</c:v>
                </c:pt>
                <c:pt idx="1160">
                  <c:v>4.74903484625438</c:v>
                </c:pt>
                <c:pt idx="1161">
                  <c:v>4.74903484620454</c:v>
                </c:pt>
                <c:pt idx="1162">
                  <c:v>4.74903484615823</c:v>
                </c:pt>
                <c:pt idx="1163">
                  <c:v>4.7490348461152</c:v>
                </c:pt>
                <c:pt idx="1164">
                  <c:v>4.74903484607522</c:v>
                </c:pt>
                <c:pt idx="1165">
                  <c:v>4.74903484603806</c:v>
                </c:pt>
                <c:pt idx="1166">
                  <c:v>4.74903484600353</c:v>
                </c:pt>
                <c:pt idx="1167">
                  <c:v>4.74903484597145</c:v>
                </c:pt>
                <c:pt idx="1168">
                  <c:v>4.74903484594164</c:v>
                </c:pt>
                <c:pt idx="1169">
                  <c:v>4.74903484591394</c:v>
                </c:pt>
                <c:pt idx="1170">
                  <c:v>4.7490348458882</c:v>
                </c:pt>
                <c:pt idx="1171">
                  <c:v>4.74903484586428</c:v>
                </c:pt>
                <c:pt idx="1172">
                  <c:v>4.74903484584206</c:v>
                </c:pt>
                <c:pt idx="1173">
                  <c:v>4.7490348458214</c:v>
                </c:pt>
                <c:pt idx="1174">
                  <c:v>4.74903484580221</c:v>
                </c:pt>
                <c:pt idx="1175">
                  <c:v>4.74903484578438</c:v>
                </c:pt>
                <c:pt idx="1176">
                  <c:v>4.74903484576781</c:v>
                </c:pt>
                <c:pt idx="1177">
                  <c:v>4.74903484575242</c:v>
                </c:pt>
                <c:pt idx="1178">
                  <c:v>4.74903484573811</c:v>
                </c:pt>
                <c:pt idx="1179">
                  <c:v>4.74903484572482</c:v>
                </c:pt>
                <c:pt idx="1180">
                  <c:v>4.74903484571246</c:v>
                </c:pt>
                <c:pt idx="1181">
                  <c:v>4.74903484570098</c:v>
                </c:pt>
                <c:pt idx="1182">
                  <c:v>4.74903484569032</c:v>
                </c:pt>
                <c:pt idx="1183">
                  <c:v>4.74903484568041</c:v>
                </c:pt>
                <c:pt idx="1184">
                  <c:v>4.7490348456712</c:v>
                </c:pt>
                <c:pt idx="1185">
                  <c:v>4.74903484566264</c:v>
                </c:pt>
                <c:pt idx="1186">
                  <c:v>4.74903484565469</c:v>
                </c:pt>
                <c:pt idx="1187">
                  <c:v>4.7490348456473</c:v>
                </c:pt>
                <c:pt idx="1188">
                  <c:v>4.74903484564043</c:v>
                </c:pt>
                <c:pt idx="1189">
                  <c:v>4.74903484563405</c:v>
                </c:pt>
                <c:pt idx="1190">
                  <c:v>4.74903484562812</c:v>
                </c:pt>
                <c:pt idx="1191">
                  <c:v>4.74903484562262</c:v>
                </c:pt>
                <c:pt idx="1192">
                  <c:v>4.7490348456175</c:v>
                </c:pt>
                <c:pt idx="1193">
                  <c:v>4.74903484561274</c:v>
                </c:pt>
                <c:pt idx="1194">
                  <c:v>4.74903484560832</c:v>
                </c:pt>
                <c:pt idx="1195">
                  <c:v>4.74903484560421</c:v>
                </c:pt>
                <c:pt idx="1196">
                  <c:v>4.74903484560039</c:v>
                </c:pt>
                <c:pt idx="1197">
                  <c:v>4.74903484559685</c:v>
                </c:pt>
                <c:pt idx="1198">
                  <c:v>4.74903484559355</c:v>
                </c:pt>
                <c:pt idx="1199">
                  <c:v>4.74903484559049</c:v>
                </c:pt>
                <c:pt idx="1200">
                  <c:v>4.74903484558765</c:v>
                </c:pt>
                <c:pt idx="1201">
                  <c:v>4.75424833992051</c:v>
                </c:pt>
                <c:pt idx="1202">
                  <c:v>4.76381764469194</c:v>
                </c:pt>
                <c:pt idx="1203">
                  <c:v>4.77990884841569</c:v>
                </c:pt>
                <c:pt idx="1204">
                  <c:v>4.79691920773867</c:v>
                </c:pt>
                <c:pt idx="1205">
                  <c:v>4.81423340532248</c:v>
                </c:pt>
                <c:pt idx="1206">
                  <c:v>4.83160970763005</c:v>
                </c:pt>
                <c:pt idx="1207">
                  <c:v>4.84896634624113</c:v>
                </c:pt>
                <c:pt idx="1208">
                  <c:v>4.86626206773352</c:v>
                </c:pt>
                <c:pt idx="1209">
                  <c:v>4.88346970668859</c:v>
                </c:pt>
                <c:pt idx="1210">
                  <c:v>4.90056722414035</c:v>
                </c:pt>
                <c:pt idx="1211">
                  <c:v>4.91753471460236</c:v>
                </c:pt>
                <c:pt idx="1212">
                  <c:v>4.93435333415997</c:v>
                </c:pt>
                <c:pt idx="1213">
                  <c:v>4.9510048960393</c:v>
                </c:pt>
                <c:pt idx="1214">
                  <c:v>4.96747170225433</c:v>
                </c:pt>
                <c:pt idx="1215">
                  <c:v>4.98373645592235</c:v>
                </c:pt>
                <c:pt idx="1216">
                  <c:v>4.99978219749036</c:v>
                </c:pt>
                <c:pt idx="1217">
                  <c:v>5.01559224467001</c:v>
                </c:pt>
                <c:pt idx="1218">
                  <c:v>5.03115012955229</c:v>
                </c:pt>
                <c:pt idx="1219">
                  <c:v>5.04643953133533</c:v>
                </c:pt>
                <c:pt idx="1220">
                  <c:v>5.06144420470325</c:v>
                </c:pt>
                <c:pt idx="1221">
                  <c:v>5.07614790422409</c:v>
                </c:pt>
                <c:pt idx="1222">
                  <c:v>5.09053430501021</c:v>
                </c:pt>
                <c:pt idx="1223">
                  <c:v>5.10458691962303</c:v>
                </c:pt>
                <c:pt idx="1224">
                  <c:v>5.11828901092282</c:v>
                </c:pt>
                <c:pt idx="1225">
                  <c:v>5.13162350029759</c:v>
                </c:pt>
                <c:pt idx="1226">
                  <c:v>5.14457287045937</c:v>
                </c:pt>
                <c:pt idx="1227">
                  <c:v>5.15711906176266</c:v>
                </c:pt>
                <c:pt idx="1228">
                  <c:v>5.16924336077065</c:v>
                </c:pt>
                <c:pt idx="1229">
                  <c:v>5.18092627956166</c:v>
                </c:pt>
                <c:pt idx="1230">
                  <c:v>5.19214742402493</c:v>
                </c:pt>
                <c:pt idx="1231">
                  <c:v>5.20288534914222</c:v>
                </c:pt>
                <c:pt idx="1232">
                  <c:v>5.21311739899654</c:v>
                </c:pt>
                <c:pt idx="1233">
                  <c:v>5.22281952901317</c:v>
                </c:pt>
                <c:pt idx="1234">
                  <c:v>5.23196610776695</c:v>
                </c:pt>
                <c:pt idx="1235">
                  <c:v>5.24052969567314</c:v>
                </c:pt>
                <c:pt idx="1236">
                  <c:v>5.24848079818488</c:v>
                </c:pt>
                <c:pt idx="1237">
                  <c:v>5.25578759206459</c:v>
                </c:pt>
                <c:pt idx="1238">
                  <c:v>5.26241562546723</c:v>
                </c:pt>
                <c:pt idx="1239">
                  <c:v>5.26832749708199</c:v>
                </c:pt>
                <c:pt idx="1240">
                  <c:v>5.27348252855778</c:v>
                </c:pt>
                <c:pt idx="1241">
                  <c:v>5.27783646207645</c:v>
                </c:pt>
                <c:pt idx="1242">
                  <c:v>5.28134124971832</c:v>
                </c:pt>
                <c:pt idx="1243">
                  <c:v>5.28394507104118</c:v>
                </c:pt>
                <c:pt idx="1244">
                  <c:v>5.2855928595426</c:v>
                </c:pt>
                <c:pt idx="1245">
                  <c:v>5.28622793044028</c:v>
                </c:pt>
                <c:pt idx="1246">
                  <c:v>5.285796020165</c:v>
                </c:pt>
                <c:pt idx="1247">
                  <c:v>5.28425485948041</c:v>
                </c:pt>
                <c:pt idx="1248">
                  <c:v>5.28159763659309</c:v>
                </c:pt>
                <c:pt idx="1249">
                  <c:v>5.27791735035011</c:v>
                </c:pt>
                <c:pt idx="1250">
                  <c:v>5.27363199752469</c:v>
                </c:pt>
                <c:pt idx="1251">
                  <c:v>5.27056080482099</c:v>
                </c:pt>
                <c:pt idx="1252">
                  <c:v>5.2659251508811</c:v>
                </c:pt>
                <c:pt idx="1253">
                  <c:v>5.26219939001122</c:v>
                </c:pt>
                <c:pt idx="1254">
                  <c:v>5.26072339937908</c:v>
                </c:pt>
                <c:pt idx="1255">
                  <c:v>5.25856597590761</c:v>
                </c:pt>
                <c:pt idx="1256">
                  <c:v>5.25253439880344</c:v>
                </c:pt>
                <c:pt idx="1257">
                  <c:v>5.24481903231768</c:v>
                </c:pt>
                <c:pt idx="1258">
                  <c:v>5.23946427924017</c:v>
                </c:pt>
                <c:pt idx="1259">
                  <c:v>5.23829834808703</c:v>
                </c:pt>
                <c:pt idx="1260">
                  <c:v>5.23833954664501</c:v>
                </c:pt>
                <c:pt idx="1261">
                  <c:v>5.24026290037883</c:v>
                </c:pt>
                <c:pt idx="1262">
                  <c:v>5.24005214213464</c:v>
                </c:pt>
                <c:pt idx="1263">
                  <c:v>5.24014264451591</c:v>
                </c:pt>
                <c:pt idx="1264">
                  <c:v>5.24049987923273</c:v>
                </c:pt>
                <c:pt idx="1265">
                  <c:v>5.24081917903456</c:v>
                </c:pt>
                <c:pt idx="1266">
                  <c:v>5.24131918182985</c:v>
                </c:pt>
                <c:pt idx="1267">
                  <c:v>5.24198657788439</c:v>
                </c:pt>
                <c:pt idx="1268">
                  <c:v>5.24272034354339</c:v>
                </c:pt>
                <c:pt idx="1269">
                  <c:v>5.24346792810155</c:v>
                </c:pt>
                <c:pt idx="1270">
                  <c:v>5.24419475808836</c:v>
                </c:pt>
                <c:pt idx="1271">
                  <c:v>5.24487885258286</c:v>
                </c:pt>
                <c:pt idx="1272">
                  <c:v>5.24550675825262</c:v>
                </c:pt>
                <c:pt idx="1273">
                  <c:v>5.24607096426122</c:v>
                </c:pt>
                <c:pt idx="1274">
                  <c:v>5.2465682853733</c:v>
                </c:pt>
                <c:pt idx="1275">
                  <c:v>5.24699874401596</c:v>
                </c:pt>
                <c:pt idx="1276">
                  <c:v>5.2473647444675</c:v>
                </c:pt>
                <c:pt idx="1277">
                  <c:v>5.24767041629223</c:v>
                </c:pt>
                <c:pt idx="1278">
                  <c:v>5.24792106325123</c:v>
                </c:pt>
                <c:pt idx="1279">
                  <c:v>5.2481226879727</c:v>
                </c:pt>
                <c:pt idx="1280">
                  <c:v>5.24828158221616</c:v>
                </c:pt>
                <c:pt idx="1281">
                  <c:v>5.24840398260643</c:v>
                </c:pt>
                <c:pt idx="1282">
                  <c:v>5.24849579506252</c:v>
                </c:pt>
                <c:pt idx="1283">
                  <c:v>5.2485623899256</c:v>
                </c:pt>
                <c:pt idx="1284">
                  <c:v>5.24860869975513</c:v>
                </c:pt>
                <c:pt idx="1285">
                  <c:v>5.24864671687601</c:v>
                </c:pt>
                <c:pt idx="1286">
                  <c:v>5.24868145742861</c:v>
                </c:pt>
                <c:pt idx="1287">
                  <c:v>5.24871281535833</c:v>
                </c:pt>
                <c:pt idx="1288">
                  <c:v>5.2487410202098</c:v>
                </c:pt>
                <c:pt idx="1289">
                  <c:v>5.24876629289293</c:v>
                </c:pt>
                <c:pt idx="1290">
                  <c:v>5.24878885396665</c:v>
                </c:pt>
                <c:pt idx="1291">
                  <c:v>5.24880892299595</c:v>
                </c:pt>
                <c:pt idx="1292">
                  <c:v>5.24882671623692</c:v>
                </c:pt>
                <c:pt idx="1293">
                  <c:v>5.24884244462424</c:v>
                </c:pt>
                <c:pt idx="1294">
                  <c:v>5.24885631184472</c:v>
                </c:pt>
                <c:pt idx="1295">
                  <c:v>5.24886851258533</c:v>
                </c:pt>
                <c:pt idx="1296">
                  <c:v>5.24887923101356</c:v>
                </c:pt>
                <c:pt idx="1297">
                  <c:v>5.24888863953671</c:v>
                </c:pt>
                <c:pt idx="1298">
                  <c:v>5.2488968978717</c:v>
                </c:pt>
                <c:pt idx="1299">
                  <c:v>5.24890415244048</c:v>
                </c:pt>
                <c:pt idx="1300">
                  <c:v>5.24891053608937</c:v>
                </c:pt>
                <c:pt idx="1301">
                  <c:v>5.24891616811504</c:v>
                </c:pt>
                <c:pt idx="1302">
                  <c:v>5.24892115456721</c:v>
                </c:pt>
                <c:pt idx="1303">
                  <c:v>5.24892558878777</c:v>
                </c:pt>
                <c:pt idx="1304">
                  <c:v>5.24892955214043</c:v>
                </c:pt>
                <c:pt idx="1305">
                  <c:v>5.24893311488212</c:v>
                </c:pt>
                <c:pt idx="1306">
                  <c:v>5.2489363371283</c:v>
                </c:pt>
                <c:pt idx="1307">
                  <c:v>5.24893926986791</c:v>
                </c:pt>
                <c:pt idx="1308">
                  <c:v>5.24894195598881</c:v>
                </c:pt>
                <c:pt idx="1309">
                  <c:v>5.24894443128145</c:v>
                </c:pt>
                <c:pt idx="1310">
                  <c:v>5.24894672539538</c:v>
                </c:pt>
                <c:pt idx="1311">
                  <c:v>5.24894886273026</c:v>
                </c:pt>
                <c:pt idx="1312">
                  <c:v>5.24895086324925</c:v>
                </c:pt>
                <c:pt idx="1313">
                  <c:v>5.24895274320842</c:v>
                </c:pt>
                <c:pt idx="1314">
                  <c:v>5.24895451580022</c:v>
                </c:pt>
                <c:pt idx="1315">
                  <c:v>5.24895619171268</c:v>
                </c:pt>
                <c:pt idx="1316">
                  <c:v>5.24895777960869</c:v>
                </c:pt>
                <c:pt idx="1317">
                  <c:v>5.24895928653131</c:v>
                </c:pt>
                <c:pt idx="1318">
                  <c:v>5.24896071824221</c:v>
                </c:pt>
                <c:pt idx="1319">
                  <c:v>5.24896207950087</c:v>
                </c:pt>
                <c:pt idx="1320">
                  <c:v>5.24896337429196</c:v>
                </c:pt>
                <c:pt idx="1321">
                  <c:v>5.24896460600832</c:v>
                </c:pt>
                <c:pt idx="1322">
                  <c:v>5.24896577759634</c:v>
                </c:pt>
                <c:pt idx="1323">
                  <c:v>5.2489668916697</c:v>
                </c:pt>
                <c:pt idx="1324">
                  <c:v>5.24896795059734</c:v>
                </c:pt>
                <c:pt idx="1325">
                  <c:v>5.24896895657001</c:v>
                </c:pt>
                <c:pt idx="1326">
                  <c:v>5.24896991164994</c:v>
                </c:pt>
                <c:pt idx="1327">
                  <c:v>5.2489708178068</c:v>
                </c:pt>
                <c:pt idx="1328">
                  <c:v>5.24897167694307</c:v>
                </c:pt>
                <c:pt idx="1329">
                  <c:v>5.24897249091119</c:v>
                </c:pt>
                <c:pt idx="1330">
                  <c:v>5.24897326152446</c:v>
                </c:pt>
                <c:pt idx="1331">
                  <c:v>5.24897399056323</c:v>
                </c:pt>
                <c:pt idx="1332">
                  <c:v>5.24897467977782</c:v>
                </c:pt>
                <c:pt idx="1333">
                  <c:v>5.24897533088897</c:v>
                </c:pt>
                <c:pt idx="1334">
                  <c:v>5.24897594558678</c:v>
                </c:pt>
                <c:pt idx="1335">
                  <c:v>5.24897652552858</c:v>
                </c:pt>
                <c:pt idx="1336">
                  <c:v>5.24897707233636</c:v>
                </c:pt>
                <c:pt idx="1337">
                  <c:v>5.24897758759392</c:v>
                </c:pt>
                <c:pt idx="1338">
                  <c:v>5.24897807284404</c:v>
                </c:pt>
                <c:pt idx="1339">
                  <c:v>5.24897852958595</c:v>
                </c:pt>
                <c:pt idx="1340">
                  <c:v>5.24897895927299</c:v>
                </c:pt>
                <c:pt idx="1341">
                  <c:v>5.24897936331069</c:v>
                </c:pt>
                <c:pt idx="1342">
                  <c:v>5.24897974305525</c:v>
                </c:pt>
                <c:pt idx="1343">
                  <c:v>5.24898009981241</c:v>
                </c:pt>
                <c:pt idx="1344">
                  <c:v>5.24898043483672</c:v>
                </c:pt>
                <c:pt idx="1345">
                  <c:v>5.24898074933122</c:v>
                </c:pt>
                <c:pt idx="1346">
                  <c:v>5.24898104444737</c:v>
                </c:pt>
                <c:pt idx="1347">
                  <c:v>5.24898132128541</c:v>
                </c:pt>
                <c:pt idx="1348">
                  <c:v>5.24898158089493</c:v>
                </c:pt>
                <c:pt idx="1349">
                  <c:v>5.24898182427566</c:v>
                </c:pt>
                <c:pt idx="1350">
                  <c:v>5.24898205237853</c:v>
                </c:pt>
                <c:pt idx="1351">
                  <c:v>5.24898226610684</c:v>
                </c:pt>
                <c:pt idx="1352">
                  <c:v>5.24898246631763</c:v>
                </c:pt>
                <c:pt idx="1353">
                  <c:v>5.24898265382306</c:v>
                </c:pt>
                <c:pt idx="1354">
                  <c:v>5.24898282939203</c:v>
                </c:pt>
                <c:pt idx="1355">
                  <c:v>5.24898299375168</c:v>
                </c:pt>
                <c:pt idx="1356">
                  <c:v>5.24898314758911</c:v>
                </c:pt>
                <c:pt idx="1357">
                  <c:v>5.24898329155299</c:v>
                </c:pt>
                <c:pt idx="1358">
                  <c:v>5.2489834262552</c:v>
                </c:pt>
                <c:pt idx="1359">
                  <c:v>5.24898355227257</c:v>
                </c:pt>
                <c:pt idx="1360">
                  <c:v>5.24898367014844</c:v>
                </c:pt>
                <c:pt idx="1361">
                  <c:v>5.24898378039433</c:v>
                </c:pt>
                <c:pt idx="1362">
                  <c:v>5.2489838834915</c:v>
                </c:pt>
                <c:pt idx="1363">
                  <c:v>5.24898397989249</c:v>
                </c:pt>
                <c:pt idx="1364">
                  <c:v>5.24898407002265</c:v>
                </c:pt>
                <c:pt idx="1365">
                  <c:v>5.24898415428152</c:v>
                </c:pt>
                <c:pt idx="1366">
                  <c:v>5.24898423304432</c:v>
                </c:pt>
                <c:pt idx="1367">
                  <c:v>5.24898430666319</c:v>
                </c:pt>
                <c:pt idx="1368">
                  <c:v>5.24898437546858</c:v>
                </c:pt>
                <c:pt idx="1369">
                  <c:v>5.24898443977041</c:v>
                </c:pt>
                <c:pt idx="1370">
                  <c:v>5.24898449985927</c:v>
                </c:pt>
                <c:pt idx="1371">
                  <c:v>5.24898455600756</c:v>
                </c:pt>
                <c:pt idx="1372">
                  <c:v>5.24898460847052</c:v>
                </c:pt>
                <c:pt idx="1373">
                  <c:v>5.24898465748729</c:v>
                </c:pt>
                <c:pt idx="1374">
                  <c:v>5.24898470328186</c:v>
                </c:pt>
                <c:pt idx="1375">
                  <c:v>5.24898474606396</c:v>
                </c:pt>
                <c:pt idx="1376">
                  <c:v>5.24898478602993</c:v>
                </c:pt>
                <c:pt idx="1377">
                  <c:v>5.24898482336358</c:v>
                </c:pt>
                <c:pt idx="1378">
                  <c:v>5.24898485823691</c:v>
                </c:pt>
                <c:pt idx="1379">
                  <c:v>5.24898489081087</c:v>
                </c:pt>
                <c:pt idx="1380">
                  <c:v>5.24898492123602</c:v>
                </c:pt>
                <c:pt idx="1381">
                  <c:v>5.24898494965322</c:v>
                </c:pt>
                <c:pt idx="1382">
                  <c:v>5.2489849761942</c:v>
                </c:pt>
                <c:pt idx="1383">
                  <c:v>5.24898500098215</c:v>
                </c:pt>
                <c:pt idx="1384">
                  <c:v>5.24898502413227</c:v>
                </c:pt>
                <c:pt idx="1385">
                  <c:v>5.24898504575227</c:v>
                </c:pt>
                <c:pt idx="1386">
                  <c:v>5.24898506594282</c:v>
                </c:pt>
                <c:pt idx="1387">
                  <c:v>5.24898508479806</c:v>
                </c:pt>
                <c:pt idx="1388">
                  <c:v>5.24898510240594</c:v>
                </c:pt>
                <c:pt idx="1389">
                  <c:v>5.2489851188487</c:v>
                </c:pt>
                <c:pt idx="1390">
                  <c:v>5.24898513420318</c:v>
                </c:pt>
                <c:pt idx="1391">
                  <c:v>5.24898514854119</c:v>
                </c:pt>
                <c:pt idx="1392">
                  <c:v>5.24898516192981</c:v>
                </c:pt>
                <c:pt idx="1393">
                  <c:v>5.24898517443175</c:v>
                </c:pt>
                <c:pt idx="1394">
                  <c:v>5.24898518610558</c:v>
                </c:pt>
                <c:pt idx="1395">
                  <c:v>5.24898519700603</c:v>
                </c:pt>
                <c:pt idx="1396">
                  <c:v>5.24898520718423</c:v>
                </c:pt>
                <c:pt idx="1397">
                  <c:v>5.24898521668793</c:v>
                </c:pt>
                <c:pt idx="1398">
                  <c:v>5.24898522556174</c:v>
                </c:pt>
                <c:pt idx="1399">
                  <c:v>5.24898523384735</c:v>
                </c:pt>
                <c:pt idx="1400">
                  <c:v>5.24898524158368</c:v>
                </c:pt>
                <c:pt idx="1401">
                  <c:v>5.24898524880708</c:v>
                </c:pt>
                <c:pt idx="1402">
                  <c:v>5.24898525555153</c:v>
                </c:pt>
                <c:pt idx="1403">
                  <c:v>5.24898526184873</c:v>
                </c:pt>
                <c:pt idx="1404">
                  <c:v>5.2489852677283</c:v>
                </c:pt>
                <c:pt idx="1405">
                  <c:v>5.24898527321792</c:v>
                </c:pt>
                <c:pt idx="1406">
                  <c:v>5.24898527834341</c:v>
                </c:pt>
                <c:pt idx="1407">
                  <c:v>5.24898528312891</c:v>
                </c:pt>
                <c:pt idx="1408">
                  <c:v>5.24898528759695</c:v>
                </c:pt>
                <c:pt idx="1409">
                  <c:v>5.24898529176857</c:v>
                </c:pt>
                <c:pt idx="1410">
                  <c:v>5.24898529566343</c:v>
                </c:pt>
                <c:pt idx="1411">
                  <c:v>5.24898529929986</c:v>
                </c:pt>
                <c:pt idx="1412">
                  <c:v>5.248985302695</c:v>
                </c:pt>
                <c:pt idx="1413">
                  <c:v>5.24898530586486</c:v>
                </c:pt>
                <c:pt idx="1414">
                  <c:v>5.24898530882437</c:v>
                </c:pt>
                <c:pt idx="1415">
                  <c:v>5.24898531158748</c:v>
                </c:pt>
                <c:pt idx="1416">
                  <c:v>5.24898531416723</c:v>
                </c:pt>
                <c:pt idx="1417">
                  <c:v>5.24898531657577</c:v>
                </c:pt>
                <c:pt idx="1418">
                  <c:v>5.24898531882446</c:v>
                </c:pt>
                <c:pt idx="1419">
                  <c:v>5.2489853209239</c:v>
                </c:pt>
                <c:pt idx="1420">
                  <c:v>5.248985322884</c:v>
                </c:pt>
                <c:pt idx="1421">
                  <c:v>5.24898532471401</c:v>
                </c:pt>
                <c:pt idx="1422">
                  <c:v>5.24898532642254</c:v>
                </c:pt>
                <c:pt idx="1423">
                  <c:v>5.24898532801768</c:v>
                </c:pt>
                <c:pt idx="1424">
                  <c:v>5.24898532950692</c:v>
                </c:pt>
                <c:pt idx="1425">
                  <c:v>5.24898533089732</c:v>
                </c:pt>
                <c:pt idx="1426">
                  <c:v>5.24898533219542</c:v>
                </c:pt>
                <c:pt idx="1427">
                  <c:v>5.24898533340735</c:v>
                </c:pt>
                <c:pt idx="1428">
                  <c:v>5.24898533453883</c:v>
                </c:pt>
                <c:pt idx="1429">
                  <c:v>5.24898533559519</c:v>
                </c:pt>
                <c:pt idx="1430">
                  <c:v>5.24898533658143</c:v>
                </c:pt>
                <c:pt idx="1431">
                  <c:v>5.2489853375022</c:v>
                </c:pt>
                <c:pt idx="1432">
                  <c:v>5.24898533836185</c:v>
                </c:pt>
                <c:pt idx="1433">
                  <c:v>5.24898533916442</c:v>
                </c:pt>
                <c:pt idx="1434">
                  <c:v>5.24898533991372</c:v>
                </c:pt>
                <c:pt idx="1435">
                  <c:v>5.24898534061327</c:v>
                </c:pt>
                <c:pt idx="1436">
                  <c:v>5.24898534126638</c:v>
                </c:pt>
                <c:pt idx="1437">
                  <c:v>5.24898534187612</c:v>
                </c:pt>
                <c:pt idx="1438">
                  <c:v>5.24898534244539</c:v>
                </c:pt>
                <c:pt idx="1439">
                  <c:v>5.24898534297686</c:v>
                </c:pt>
                <c:pt idx="1440">
                  <c:v>5.24898534347305</c:v>
                </c:pt>
                <c:pt idx="1441">
                  <c:v>5.2489853439363</c:v>
                </c:pt>
                <c:pt idx="1442">
                  <c:v>5.24898534436879</c:v>
                </c:pt>
                <c:pt idx="1443">
                  <c:v>5.24898534477257</c:v>
                </c:pt>
                <c:pt idx="1444">
                  <c:v>5.24898534514954</c:v>
                </c:pt>
                <c:pt idx="1445">
                  <c:v>5.24898534550148</c:v>
                </c:pt>
                <c:pt idx="1446">
                  <c:v>5.24898534583006</c:v>
                </c:pt>
                <c:pt idx="1447">
                  <c:v>5.24898534613682</c:v>
                </c:pt>
                <c:pt idx="1448">
                  <c:v>5.24898534642321</c:v>
                </c:pt>
                <c:pt idx="1449">
                  <c:v>5.24898534669059</c:v>
                </c:pt>
                <c:pt idx="1450">
                  <c:v>5.24898534694022</c:v>
                </c:pt>
                <c:pt idx="1451">
                  <c:v>5.24898534717327</c:v>
                </c:pt>
                <c:pt idx="1452">
                  <c:v>5.24898534739085</c:v>
                </c:pt>
                <c:pt idx="1453">
                  <c:v>5.24898534759398</c:v>
                </c:pt>
                <c:pt idx="1454">
                  <c:v>5.24898534778363</c:v>
                </c:pt>
                <c:pt idx="1455">
                  <c:v>5.24898534796069</c:v>
                </c:pt>
                <c:pt idx="1456">
                  <c:v>5.24898534812598</c:v>
                </c:pt>
                <c:pt idx="1457">
                  <c:v>5.24898534828031</c:v>
                </c:pt>
                <c:pt idx="1458">
                  <c:v>5.24898534842439</c:v>
                </c:pt>
                <c:pt idx="1459">
                  <c:v>5.2489853485589</c:v>
                </c:pt>
                <c:pt idx="1460">
                  <c:v>5.24898534868448</c:v>
                </c:pt>
                <c:pt idx="1461">
                  <c:v>5.24898534880173</c:v>
                </c:pt>
                <c:pt idx="1462">
                  <c:v>5.24898534891118</c:v>
                </c:pt>
                <c:pt idx="1463">
                  <c:v>5.24898534901338</c:v>
                </c:pt>
                <c:pt idx="1464">
                  <c:v>5.24898534910878</c:v>
                </c:pt>
                <c:pt idx="1465">
                  <c:v>5.24898534919785</c:v>
                </c:pt>
                <c:pt idx="1466">
                  <c:v>5.24898534928101</c:v>
                </c:pt>
                <c:pt idx="1467">
                  <c:v>5.24898534935865</c:v>
                </c:pt>
                <c:pt idx="1468">
                  <c:v>5.24898534943113</c:v>
                </c:pt>
                <c:pt idx="1469">
                  <c:v>5.2489853494988</c:v>
                </c:pt>
                <c:pt idx="1470">
                  <c:v>5.24898534956198</c:v>
                </c:pt>
                <c:pt idx="1471">
                  <c:v>5.24898534962096</c:v>
                </c:pt>
                <c:pt idx="1472">
                  <c:v>5.24898534967602</c:v>
                </c:pt>
                <c:pt idx="1473">
                  <c:v>5.24898534972743</c:v>
                </c:pt>
                <c:pt idx="1474">
                  <c:v>5.24898534977543</c:v>
                </c:pt>
                <c:pt idx="1475">
                  <c:v>5.24898534982024</c:v>
                </c:pt>
                <c:pt idx="1476">
                  <c:v>5.24898534986207</c:v>
                </c:pt>
                <c:pt idx="1477">
                  <c:v>5.24898534990113</c:v>
                </c:pt>
                <c:pt idx="1478">
                  <c:v>5.24898534993759</c:v>
                </c:pt>
                <c:pt idx="1479">
                  <c:v>5.24898534997164</c:v>
                </c:pt>
                <c:pt idx="1480">
                  <c:v>5.24898535000342</c:v>
                </c:pt>
                <c:pt idx="1481">
                  <c:v>5.24898535003309</c:v>
                </c:pt>
                <c:pt idx="1482">
                  <c:v>5.24898535006079</c:v>
                </c:pt>
                <c:pt idx="1483">
                  <c:v>5.24898535008665</c:v>
                </c:pt>
                <c:pt idx="1484">
                  <c:v>5.2489853501108</c:v>
                </c:pt>
                <c:pt idx="1485">
                  <c:v>5.24898535013334</c:v>
                </c:pt>
                <c:pt idx="1486">
                  <c:v>5.24898535015439</c:v>
                </c:pt>
                <c:pt idx="1487">
                  <c:v>5.24898535017404</c:v>
                </c:pt>
                <c:pt idx="1488">
                  <c:v>5.24898535019238</c:v>
                </c:pt>
                <c:pt idx="1489">
                  <c:v>5.2489853502095</c:v>
                </c:pt>
                <c:pt idx="1490">
                  <c:v>5.24898535022549</c:v>
                </c:pt>
                <c:pt idx="1491">
                  <c:v>5.24898535024042</c:v>
                </c:pt>
                <c:pt idx="1492">
                  <c:v>5.24898535025436</c:v>
                </c:pt>
                <c:pt idx="1493">
                  <c:v>5.24898535026737</c:v>
                </c:pt>
                <c:pt idx="1494">
                  <c:v>5.24898535027951</c:v>
                </c:pt>
                <c:pt idx="1495">
                  <c:v>5.24898535029085</c:v>
                </c:pt>
                <c:pt idx="1496">
                  <c:v>5.24898535030144</c:v>
                </c:pt>
                <c:pt idx="1497">
                  <c:v>5.24898535031132</c:v>
                </c:pt>
                <c:pt idx="1498">
                  <c:v>5.24898535032055</c:v>
                </c:pt>
                <c:pt idx="1499">
                  <c:v>5.24898535032917</c:v>
                </c:pt>
                <c:pt idx="1500">
                  <c:v>5.24898535033721</c:v>
                </c:pt>
                <c:pt idx="1501">
                  <c:v>5.24898535034472</c:v>
                </c:pt>
                <c:pt idx="1502">
                  <c:v>5.24898535035173</c:v>
                </c:pt>
                <c:pt idx="1503">
                  <c:v>5.24898535035828</c:v>
                </c:pt>
                <c:pt idx="1504">
                  <c:v>5.24898535036439</c:v>
                </c:pt>
                <c:pt idx="1505">
                  <c:v>5.24898535037009</c:v>
                </c:pt>
                <c:pt idx="1506">
                  <c:v>5.24898535037542</c:v>
                </c:pt>
                <c:pt idx="1507">
                  <c:v>5.24898535038039</c:v>
                </c:pt>
                <c:pt idx="1508">
                  <c:v>5.24898535038503</c:v>
                </c:pt>
                <c:pt idx="1509">
                  <c:v>5.24898535038937</c:v>
                </c:pt>
                <c:pt idx="1510">
                  <c:v>5.24898535039341</c:v>
                </c:pt>
                <c:pt idx="1511">
                  <c:v>5.24898535039719</c:v>
                </c:pt>
                <c:pt idx="1512">
                  <c:v>5.24898535040072</c:v>
                </c:pt>
                <c:pt idx="1513">
                  <c:v>5.24898535040401</c:v>
                </c:pt>
                <c:pt idx="1514">
                  <c:v>5.24898535040708</c:v>
                </c:pt>
                <c:pt idx="1515">
                  <c:v>5.24898535040995</c:v>
                </c:pt>
                <c:pt idx="1516">
                  <c:v>5.24898535041263</c:v>
                </c:pt>
                <c:pt idx="1517">
                  <c:v>5.24898535041513</c:v>
                </c:pt>
                <c:pt idx="1518">
                  <c:v>5.24898535041747</c:v>
                </c:pt>
                <c:pt idx="1519">
                  <c:v>5.24898535041965</c:v>
                </c:pt>
                <c:pt idx="1520">
                  <c:v>5.24898535042168</c:v>
                </c:pt>
                <c:pt idx="1521">
                  <c:v>5.24898535042359</c:v>
                </c:pt>
                <c:pt idx="1522">
                  <c:v>5.24898535042536</c:v>
                </c:pt>
                <c:pt idx="1523">
                  <c:v>5.24898535042702</c:v>
                </c:pt>
                <c:pt idx="1524">
                  <c:v>5.24898535042856</c:v>
                </c:pt>
                <c:pt idx="1525">
                  <c:v>5.24898535043001</c:v>
                </c:pt>
                <c:pt idx="1526">
                  <c:v>5.24898535043135</c:v>
                </c:pt>
                <c:pt idx="1527">
                  <c:v>5.24898535043261</c:v>
                </c:pt>
                <c:pt idx="1528">
                  <c:v>5.24898535043379</c:v>
                </c:pt>
                <c:pt idx="1529">
                  <c:v>5.24898535043488</c:v>
                </c:pt>
                <c:pt idx="1530">
                  <c:v>5.24898535043591</c:v>
                </c:pt>
                <c:pt idx="1531">
                  <c:v>5.24898535043686</c:v>
                </c:pt>
                <c:pt idx="1532">
                  <c:v>5.24898535043776</c:v>
                </c:pt>
                <c:pt idx="1533">
                  <c:v>5.24898535043859</c:v>
                </c:pt>
                <c:pt idx="1534">
                  <c:v>5.24898535043937</c:v>
                </c:pt>
                <c:pt idx="1535">
                  <c:v>5.24898535044009</c:v>
                </c:pt>
                <c:pt idx="1536">
                  <c:v>5.24898535044077</c:v>
                </c:pt>
                <c:pt idx="1537">
                  <c:v>5.24898535044141</c:v>
                </c:pt>
                <c:pt idx="1538">
                  <c:v>5.248985350442</c:v>
                </c:pt>
                <c:pt idx="1539">
                  <c:v>5.24898535044255</c:v>
                </c:pt>
                <c:pt idx="1540">
                  <c:v>5.24898535044306</c:v>
                </c:pt>
                <c:pt idx="1541">
                  <c:v>5.24898535044355</c:v>
                </c:pt>
                <c:pt idx="1542">
                  <c:v>5.24898535044399</c:v>
                </c:pt>
                <c:pt idx="1543">
                  <c:v>5.24898535044441</c:v>
                </c:pt>
                <c:pt idx="1544">
                  <c:v>5.2489853504448</c:v>
                </c:pt>
                <c:pt idx="1545">
                  <c:v>5.24898535044517</c:v>
                </c:pt>
                <c:pt idx="1546">
                  <c:v>5.24898535044551</c:v>
                </c:pt>
                <c:pt idx="1547">
                  <c:v>5.24898535044583</c:v>
                </c:pt>
                <c:pt idx="1548">
                  <c:v>5.24898535044613</c:v>
                </c:pt>
                <c:pt idx="1549">
                  <c:v>5.24898535044641</c:v>
                </c:pt>
                <c:pt idx="1550">
                  <c:v>5.24898535044666</c:v>
                </c:pt>
                <c:pt idx="1551">
                  <c:v>5.24898535044691</c:v>
                </c:pt>
                <c:pt idx="1552">
                  <c:v>5.24898535044713</c:v>
                </c:pt>
                <c:pt idx="1553">
                  <c:v>5.24898535044734</c:v>
                </c:pt>
                <c:pt idx="1554">
                  <c:v>5.24898535044754</c:v>
                </c:pt>
                <c:pt idx="1555">
                  <c:v>5.24898535044772</c:v>
                </c:pt>
                <c:pt idx="1556">
                  <c:v>5.2489853504479</c:v>
                </c:pt>
                <c:pt idx="1557">
                  <c:v>5.24898535044805</c:v>
                </c:pt>
                <c:pt idx="1558">
                  <c:v>5.2489853504482</c:v>
                </c:pt>
                <c:pt idx="1559">
                  <c:v>5.24898535044834</c:v>
                </c:pt>
                <c:pt idx="1560">
                  <c:v>5.24898535044847</c:v>
                </c:pt>
                <c:pt idx="1561">
                  <c:v>5.2489853504486</c:v>
                </c:pt>
                <c:pt idx="1562">
                  <c:v>5.24898535044871</c:v>
                </c:pt>
                <c:pt idx="1563">
                  <c:v>5.24898535044882</c:v>
                </c:pt>
                <c:pt idx="1564">
                  <c:v>5.24898535044892</c:v>
                </c:pt>
                <c:pt idx="1565">
                  <c:v>5.24898535044901</c:v>
                </c:pt>
                <c:pt idx="1566">
                  <c:v>5.24898535044909</c:v>
                </c:pt>
                <c:pt idx="1567">
                  <c:v>5.24898535044917</c:v>
                </c:pt>
                <c:pt idx="1568">
                  <c:v>5.24898535044925</c:v>
                </c:pt>
                <c:pt idx="1569">
                  <c:v>5.24898535044932</c:v>
                </c:pt>
                <c:pt idx="1570">
                  <c:v>5.24898535044938</c:v>
                </c:pt>
                <c:pt idx="1571">
                  <c:v>5.24898535044945</c:v>
                </c:pt>
                <c:pt idx="1572">
                  <c:v>5.2489853504495</c:v>
                </c:pt>
                <c:pt idx="1573">
                  <c:v>5.24898535044956</c:v>
                </c:pt>
                <c:pt idx="1574">
                  <c:v>5.24898535044961</c:v>
                </c:pt>
                <c:pt idx="1575">
                  <c:v>5.24898535044965</c:v>
                </c:pt>
                <c:pt idx="1576">
                  <c:v>5.2489853504497</c:v>
                </c:pt>
                <c:pt idx="1577">
                  <c:v>5.24898535044974</c:v>
                </c:pt>
                <c:pt idx="1578">
                  <c:v>5.24898535044977</c:v>
                </c:pt>
                <c:pt idx="1579">
                  <c:v>5.24898535044981</c:v>
                </c:pt>
                <c:pt idx="1580">
                  <c:v>5.24898535044984</c:v>
                </c:pt>
                <c:pt idx="1581">
                  <c:v>5.24898535044987</c:v>
                </c:pt>
                <c:pt idx="1582">
                  <c:v>5.2489853504499</c:v>
                </c:pt>
                <c:pt idx="1583">
                  <c:v>5.24898535044993</c:v>
                </c:pt>
                <c:pt idx="1584">
                  <c:v>5.24898535044995</c:v>
                </c:pt>
                <c:pt idx="1585">
                  <c:v>5.24898535044998</c:v>
                </c:pt>
                <c:pt idx="1586">
                  <c:v>5.24898535045</c:v>
                </c:pt>
                <c:pt idx="1587">
                  <c:v>5.24898535045002</c:v>
                </c:pt>
                <c:pt idx="1588">
                  <c:v>5.24898535045004</c:v>
                </c:pt>
                <c:pt idx="1589">
                  <c:v>5.24898535045006</c:v>
                </c:pt>
                <c:pt idx="1590">
                  <c:v>5.24898535045007</c:v>
                </c:pt>
                <c:pt idx="1591">
                  <c:v>5.24898535045009</c:v>
                </c:pt>
                <c:pt idx="1592">
                  <c:v>5.2489853504501</c:v>
                </c:pt>
                <c:pt idx="1593">
                  <c:v>5.24898535045012</c:v>
                </c:pt>
                <c:pt idx="1594">
                  <c:v>5.24898535045013</c:v>
                </c:pt>
                <c:pt idx="1595">
                  <c:v>5.24898535045014</c:v>
                </c:pt>
                <c:pt idx="1596">
                  <c:v>5.24898535045015</c:v>
                </c:pt>
                <c:pt idx="1597">
                  <c:v>5.24898535045016</c:v>
                </c:pt>
                <c:pt idx="1598">
                  <c:v>5.24898535045017</c:v>
                </c:pt>
                <c:pt idx="1599">
                  <c:v>5.24898535045018</c:v>
                </c:pt>
                <c:pt idx="1600">
                  <c:v>5.24898535045019</c:v>
                </c:pt>
                <c:pt idx="1601">
                  <c:v>5.2489853504502</c:v>
                </c:pt>
                <c:pt idx="1602">
                  <c:v>5.24898535045021</c:v>
                </c:pt>
                <c:pt idx="1603">
                  <c:v>5.24898535045021</c:v>
                </c:pt>
                <c:pt idx="1604">
                  <c:v>5.24898535045022</c:v>
                </c:pt>
                <c:pt idx="1605">
                  <c:v>5.24898535045022</c:v>
                </c:pt>
                <c:pt idx="1606">
                  <c:v>5.24898535045023</c:v>
                </c:pt>
                <c:pt idx="1607">
                  <c:v>5.24898535045023</c:v>
                </c:pt>
                <c:pt idx="1608">
                  <c:v>5.24898535045023</c:v>
                </c:pt>
                <c:pt idx="1609">
                  <c:v>5.24898535045024</c:v>
                </c:pt>
                <c:pt idx="1610">
                  <c:v>5.24898535045024</c:v>
                </c:pt>
                <c:pt idx="1611">
                  <c:v>5.24898535045025</c:v>
                </c:pt>
                <c:pt idx="1612">
                  <c:v>5.24898535045025</c:v>
                </c:pt>
                <c:pt idx="1613">
                  <c:v>5.24898535045026</c:v>
                </c:pt>
                <c:pt idx="1614">
                  <c:v>5.24898535045026</c:v>
                </c:pt>
                <c:pt idx="1615">
                  <c:v>5.24898535045027</c:v>
                </c:pt>
                <c:pt idx="1616">
                  <c:v>5.24898535045027</c:v>
                </c:pt>
                <c:pt idx="1617">
                  <c:v>5.24898535045027</c:v>
                </c:pt>
                <c:pt idx="1618">
                  <c:v>5.24898535045027</c:v>
                </c:pt>
                <c:pt idx="1619">
                  <c:v>5.24898535045028</c:v>
                </c:pt>
                <c:pt idx="1620">
                  <c:v>5.24898535045028</c:v>
                </c:pt>
                <c:pt idx="1621">
                  <c:v>5.24898535045028</c:v>
                </c:pt>
                <c:pt idx="1622">
                  <c:v>5.24898535045028</c:v>
                </c:pt>
                <c:pt idx="1623">
                  <c:v>5.24898535045028</c:v>
                </c:pt>
                <c:pt idx="1624">
                  <c:v>5.24898535045028</c:v>
                </c:pt>
                <c:pt idx="1625">
                  <c:v>5.24898535045028</c:v>
                </c:pt>
                <c:pt idx="1626">
                  <c:v>5.24898535045028</c:v>
                </c:pt>
                <c:pt idx="1627">
                  <c:v>5.24898535045028</c:v>
                </c:pt>
                <c:pt idx="1628">
                  <c:v>5.24898535045028</c:v>
                </c:pt>
                <c:pt idx="1629">
                  <c:v>5.24898535045028</c:v>
                </c:pt>
                <c:pt idx="1630">
                  <c:v>5.24898535045028</c:v>
                </c:pt>
                <c:pt idx="1631">
                  <c:v>5.24898535045028</c:v>
                </c:pt>
                <c:pt idx="1632">
                  <c:v>5.24898535045028</c:v>
                </c:pt>
                <c:pt idx="1633">
                  <c:v>5.24898535045028</c:v>
                </c:pt>
                <c:pt idx="1634">
                  <c:v>5.24898535045028</c:v>
                </c:pt>
                <c:pt idx="1635">
                  <c:v>5.24898535045028</c:v>
                </c:pt>
                <c:pt idx="1636">
                  <c:v>5.24898535045028</c:v>
                </c:pt>
                <c:pt idx="1637">
                  <c:v>5.24898535045028</c:v>
                </c:pt>
                <c:pt idx="1638">
                  <c:v>5.24898535045028</c:v>
                </c:pt>
                <c:pt idx="1639">
                  <c:v>5.24898535045028</c:v>
                </c:pt>
                <c:pt idx="1640">
                  <c:v>5.24898535045028</c:v>
                </c:pt>
                <c:pt idx="1641">
                  <c:v>5.24898535045028</c:v>
                </c:pt>
                <c:pt idx="1642">
                  <c:v>5.24898535045028</c:v>
                </c:pt>
                <c:pt idx="1643">
                  <c:v>5.24898535045028</c:v>
                </c:pt>
                <c:pt idx="1644">
                  <c:v>5.24898535045028</c:v>
                </c:pt>
                <c:pt idx="1645">
                  <c:v>5.24898535045028</c:v>
                </c:pt>
                <c:pt idx="1646">
                  <c:v>5.24898535045028</c:v>
                </c:pt>
                <c:pt idx="1647">
                  <c:v>5.24898535045028</c:v>
                </c:pt>
                <c:pt idx="1648">
                  <c:v>5.24898535045028</c:v>
                </c:pt>
                <c:pt idx="1649">
                  <c:v>5.24898535045028</c:v>
                </c:pt>
                <c:pt idx="1650">
                  <c:v>5.24898535045028</c:v>
                </c:pt>
                <c:pt idx="1651">
                  <c:v>5.24898535045028</c:v>
                </c:pt>
                <c:pt idx="1652">
                  <c:v>5.24898535045028</c:v>
                </c:pt>
                <c:pt idx="1653">
                  <c:v>5.24898535045028</c:v>
                </c:pt>
                <c:pt idx="1654">
                  <c:v>5.24898535045028</c:v>
                </c:pt>
                <c:pt idx="1655">
                  <c:v>5.24898535045028</c:v>
                </c:pt>
                <c:pt idx="1656">
                  <c:v>5.24898535045028</c:v>
                </c:pt>
                <c:pt idx="1657">
                  <c:v>5.24898535045028</c:v>
                </c:pt>
                <c:pt idx="1658">
                  <c:v>5.24898535045028</c:v>
                </c:pt>
                <c:pt idx="1659">
                  <c:v>5.24898535045028</c:v>
                </c:pt>
                <c:pt idx="1660">
                  <c:v>5.24898535045028</c:v>
                </c:pt>
                <c:pt idx="1661">
                  <c:v>5.24898535045028</c:v>
                </c:pt>
                <c:pt idx="1662">
                  <c:v>5.24898535045028</c:v>
                </c:pt>
                <c:pt idx="1663">
                  <c:v>5.24898535045028</c:v>
                </c:pt>
                <c:pt idx="1664">
                  <c:v>5.24898535045028</c:v>
                </c:pt>
                <c:pt idx="1665">
                  <c:v>5.24898535045028</c:v>
                </c:pt>
                <c:pt idx="1666">
                  <c:v>5.24898535045028</c:v>
                </c:pt>
                <c:pt idx="1667">
                  <c:v>5.24898535045028</c:v>
                </c:pt>
                <c:pt idx="1668">
                  <c:v>5.24898535045028</c:v>
                </c:pt>
                <c:pt idx="1669">
                  <c:v>5.24898535045028</c:v>
                </c:pt>
                <c:pt idx="1670">
                  <c:v>5.24898535045028</c:v>
                </c:pt>
                <c:pt idx="1671">
                  <c:v>5.24898535045028</c:v>
                </c:pt>
                <c:pt idx="1672">
                  <c:v>5.24898535045028</c:v>
                </c:pt>
                <c:pt idx="1673">
                  <c:v>5.24898535045028</c:v>
                </c:pt>
                <c:pt idx="1674">
                  <c:v>5.24898535045028</c:v>
                </c:pt>
                <c:pt idx="1675">
                  <c:v>5.24898535045028</c:v>
                </c:pt>
                <c:pt idx="1676">
                  <c:v>5.24898535045028</c:v>
                </c:pt>
                <c:pt idx="1677">
                  <c:v>5.24898535045028</c:v>
                </c:pt>
                <c:pt idx="1678">
                  <c:v>5.24898535045028</c:v>
                </c:pt>
                <c:pt idx="1679">
                  <c:v>5.24898535045028</c:v>
                </c:pt>
                <c:pt idx="1680">
                  <c:v>5.24898535045028</c:v>
                </c:pt>
                <c:pt idx="1681">
                  <c:v>5.24898535045028</c:v>
                </c:pt>
                <c:pt idx="1682">
                  <c:v>5.24898535045028</c:v>
                </c:pt>
                <c:pt idx="1683">
                  <c:v>5.24898535045028</c:v>
                </c:pt>
                <c:pt idx="1684">
                  <c:v>5.24898535045028</c:v>
                </c:pt>
                <c:pt idx="1685">
                  <c:v>5.24898535045028</c:v>
                </c:pt>
                <c:pt idx="1686">
                  <c:v>5.24898535045028</c:v>
                </c:pt>
                <c:pt idx="1687">
                  <c:v>5.24898535045029</c:v>
                </c:pt>
                <c:pt idx="1688">
                  <c:v>5.24898535045029</c:v>
                </c:pt>
                <c:pt idx="1689">
                  <c:v>5.24898535045029</c:v>
                </c:pt>
                <c:pt idx="1690">
                  <c:v>5.24898535045029</c:v>
                </c:pt>
                <c:pt idx="1691">
                  <c:v>5.24898535045029</c:v>
                </c:pt>
                <c:pt idx="1692">
                  <c:v>5.24898535045029</c:v>
                </c:pt>
                <c:pt idx="1693">
                  <c:v>5.24898535045029</c:v>
                </c:pt>
                <c:pt idx="1694">
                  <c:v>5.24898535045029</c:v>
                </c:pt>
                <c:pt idx="1695">
                  <c:v>5.24898535045029</c:v>
                </c:pt>
                <c:pt idx="1696">
                  <c:v>5.24898535045029</c:v>
                </c:pt>
                <c:pt idx="1697">
                  <c:v>5.24898535045029</c:v>
                </c:pt>
                <c:pt idx="1698">
                  <c:v>5.24898535045029</c:v>
                </c:pt>
                <c:pt idx="1699">
                  <c:v>5.24898535045029</c:v>
                </c:pt>
              </c:numCache>
            </c:numRef>
          </c:yVal>
          <c:smooth val="0"/>
        </c:ser>
        <c:ser>
          <c:idx val="3"/>
          <c:order val="3"/>
          <c:tx>
            <c:strRef>
              <c:f>"Pure gain-scheduled PID"</c:f>
              <c:strCache>
                <c:ptCount val="1"/>
                <c:pt idx="0">
                  <c:v>Pure gain-scheduled PID</c:v>
                </c:pt>
              </c:strCache>
            </c:strRef>
          </c:tx>
          <c:spPr>
            <a:solidFill>
              <a:srgbClr val="ff7f0e"/>
            </a:solidFill>
            <a:ln w="18000">
              <a:solidFill>
                <a:srgbClr val="ff7f0e"/>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xVal>
            <c:numRef>
              <c:f>12_Traces!$A$5:$A$1704</c:f>
              <c:numCache>
                <c:formatCode>#,##0</c:formatCode>
                <c:ptCount val="1700"/>
                <c:pt idx="0">
                  <c:v>0</c:v>
                </c:pt>
                <c:pt idx="1">
                  <c:v>100.011766090128</c:v>
                </c:pt>
                <c:pt idx="2">
                  <c:v>200.023532180257</c:v>
                </c:pt>
                <c:pt idx="3">
                  <c:v>300.035298270385</c:v>
                </c:pt>
                <c:pt idx="4">
                  <c:v>400.047064360513</c:v>
                </c:pt>
                <c:pt idx="5">
                  <c:v>500.058830450641</c:v>
                </c:pt>
                <c:pt idx="6">
                  <c:v>600.07059654077</c:v>
                </c:pt>
                <c:pt idx="7">
                  <c:v>700.082362630898</c:v>
                </c:pt>
                <c:pt idx="8">
                  <c:v>800.094128721026</c:v>
                </c:pt>
                <c:pt idx="9">
                  <c:v>900.105894811154</c:v>
                </c:pt>
                <c:pt idx="10">
                  <c:v>1000.11766090128</c:v>
                </c:pt>
                <c:pt idx="11">
                  <c:v>1100.12942699141</c:v>
                </c:pt>
                <c:pt idx="12">
                  <c:v>1200.14119308154</c:v>
                </c:pt>
                <c:pt idx="13">
                  <c:v>1300.15295917167</c:v>
                </c:pt>
                <c:pt idx="14">
                  <c:v>1400.1647252618</c:v>
                </c:pt>
                <c:pt idx="15">
                  <c:v>1500.17649135192</c:v>
                </c:pt>
                <c:pt idx="16">
                  <c:v>1600.18825744205</c:v>
                </c:pt>
                <c:pt idx="17">
                  <c:v>1700.20002353218</c:v>
                </c:pt>
                <c:pt idx="18">
                  <c:v>1800.21178962231</c:v>
                </c:pt>
                <c:pt idx="19">
                  <c:v>1900.22355571244</c:v>
                </c:pt>
                <c:pt idx="20">
                  <c:v>2000.23532180257</c:v>
                </c:pt>
                <c:pt idx="21">
                  <c:v>2100.24708789269</c:v>
                </c:pt>
                <c:pt idx="22">
                  <c:v>2200.25885398282</c:v>
                </c:pt>
                <c:pt idx="23">
                  <c:v>2300.27062007295</c:v>
                </c:pt>
                <c:pt idx="24">
                  <c:v>2400.28238616308</c:v>
                </c:pt>
                <c:pt idx="25">
                  <c:v>2500.29415225321</c:v>
                </c:pt>
                <c:pt idx="26">
                  <c:v>2600.30591834334</c:v>
                </c:pt>
                <c:pt idx="27">
                  <c:v>2700.31768443346</c:v>
                </c:pt>
                <c:pt idx="28">
                  <c:v>2800.32945052359</c:v>
                </c:pt>
                <c:pt idx="29">
                  <c:v>2900.34121661372</c:v>
                </c:pt>
                <c:pt idx="30">
                  <c:v>3000.35298270385</c:v>
                </c:pt>
                <c:pt idx="31">
                  <c:v>3100.36474879398</c:v>
                </c:pt>
                <c:pt idx="32">
                  <c:v>3200.3765148841</c:v>
                </c:pt>
                <c:pt idx="33">
                  <c:v>3300.38828097423</c:v>
                </c:pt>
                <c:pt idx="34">
                  <c:v>3400.40004706436</c:v>
                </c:pt>
                <c:pt idx="35">
                  <c:v>3500.41181315449</c:v>
                </c:pt>
                <c:pt idx="36">
                  <c:v>3600.42357924462</c:v>
                </c:pt>
                <c:pt idx="37">
                  <c:v>3700.43534533475</c:v>
                </c:pt>
                <c:pt idx="38">
                  <c:v>3800.44711142487</c:v>
                </c:pt>
                <c:pt idx="39">
                  <c:v>3900.458877515</c:v>
                </c:pt>
                <c:pt idx="40">
                  <c:v>4000.47064360513</c:v>
                </c:pt>
                <c:pt idx="41">
                  <c:v>4100.48240969526</c:v>
                </c:pt>
                <c:pt idx="42">
                  <c:v>4200.49417578539</c:v>
                </c:pt>
                <c:pt idx="43">
                  <c:v>4300.50594187552</c:v>
                </c:pt>
                <c:pt idx="44">
                  <c:v>4400.51770796564</c:v>
                </c:pt>
                <c:pt idx="45">
                  <c:v>4500.52947405577</c:v>
                </c:pt>
                <c:pt idx="46">
                  <c:v>4600.5412401459</c:v>
                </c:pt>
                <c:pt idx="47">
                  <c:v>4700.55300623603</c:v>
                </c:pt>
                <c:pt idx="48">
                  <c:v>4800.56477232616</c:v>
                </c:pt>
                <c:pt idx="49">
                  <c:v>4900.57653841628</c:v>
                </c:pt>
                <c:pt idx="50">
                  <c:v>5000.58830450641</c:v>
                </c:pt>
                <c:pt idx="51">
                  <c:v>5100.60007059654</c:v>
                </c:pt>
                <c:pt idx="52">
                  <c:v>5200.61183668667</c:v>
                </c:pt>
                <c:pt idx="53">
                  <c:v>5300.6236027768</c:v>
                </c:pt>
                <c:pt idx="54">
                  <c:v>5400.63536886693</c:v>
                </c:pt>
                <c:pt idx="55">
                  <c:v>5500.64713495705</c:v>
                </c:pt>
                <c:pt idx="56">
                  <c:v>5600.65890104718</c:v>
                </c:pt>
                <c:pt idx="57">
                  <c:v>5700.67066713731</c:v>
                </c:pt>
                <c:pt idx="58">
                  <c:v>5800.68243322744</c:v>
                </c:pt>
                <c:pt idx="59">
                  <c:v>5900.69419931757</c:v>
                </c:pt>
                <c:pt idx="60">
                  <c:v>6000.7059654077</c:v>
                </c:pt>
                <c:pt idx="61">
                  <c:v>6100.71773149782</c:v>
                </c:pt>
                <c:pt idx="62">
                  <c:v>6200.72949758795</c:v>
                </c:pt>
                <c:pt idx="63">
                  <c:v>6300.74126367808</c:v>
                </c:pt>
                <c:pt idx="64">
                  <c:v>6400.75302976821</c:v>
                </c:pt>
                <c:pt idx="65">
                  <c:v>6500.76479585834</c:v>
                </c:pt>
                <c:pt idx="66">
                  <c:v>6600.77656194846</c:v>
                </c:pt>
                <c:pt idx="67">
                  <c:v>6700.78832803859</c:v>
                </c:pt>
                <c:pt idx="68">
                  <c:v>6800.80009412872</c:v>
                </c:pt>
                <c:pt idx="69">
                  <c:v>6900.81186021885</c:v>
                </c:pt>
                <c:pt idx="70">
                  <c:v>7000.82362630898</c:v>
                </c:pt>
                <c:pt idx="71">
                  <c:v>7100.83539239911</c:v>
                </c:pt>
                <c:pt idx="72">
                  <c:v>7200.84715848923</c:v>
                </c:pt>
                <c:pt idx="73">
                  <c:v>7300.85892457936</c:v>
                </c:pt>
                <c:pt idx="74">
                  <c:v>7400.87069066949</c:v>
                </c:pt>
                <c:pt idx="75">
                  <c:v>7500.88245675962</c:v>
                </c:pt>
                <c:pt idx="76">
                  <c:v>7600.89422284975</c:v>
                </c:pt>
                <c:pt idx="77">
                  <c:v>7700.90598893988</c:v>
                </c:pt>
                <c:pt idx="78">
                  <c:v>7800.91775503</c:v>
                </c:pt>
                <c:pt idx="79">
                  <c:v>7900.92952112013</c:v>
                </c:pt>
                <c:pt idx="80">
                  <c:v>8000.94128721026</c:v>
                </c:pt>
                <c:pt idx="81">
                  <c:v>8100.95305330039</c:v>
                </c:pt>
                <c:pt idx="82">
                  <c:v>8200.96481939052</c:v>
                </c:pt>
                <c:pt idx="83">
                  <c:v>8300.97658548065</c:v>
                </c:pt>
                <c:pt idx="84">
                  <c:v>8400.98835157077</c:v>
                </c:pt>
                <c:pt idx="85">
                  <c:v>8501.0001176609</c:v>
                </c:pt>
                <c:pt idx="86">
                  <c:v>8601.01188375103</c:v>
                </c:pt>
                <c:pt idx="87">
                  <c:v>8701.02364984116</c:v>
                </c:pt>
                <c:pt idx="88">
                  <c:v>8801.03541593129</c:v>
                </c:pt>
                <c:pt idx="89">
                  <c:v>8901.04718202142</c:v>
                </c:pt>
                <c:pt idx="90">
                  <c:v>9001.05894811154</c:v>
                </c:pt>
                <c:pt idx="91">
                  <c:v>9101.07071420167</c:v>
                </c:pt>
                <c:pt idx="92">
                  <c:v>9201.0824802918</c:v>
                </c:pt>
                <c:pt idx="93">
                  <c:v>9301.09424638193</c:v>
                </c:pt>
                <c:pt idx="94">
                  <c:v>9401.10601247206</c:v>
                </c:pt>
                <c:pt idx="95">
                  <c:v>9501.11777856218</c:v>
                </c:pt>
                <c:pt idx="96">
                  <c:v>9601.12954465231</c:v>
                </c:pt>
                <c:pt idx="97">
                  <c:v>9701.14131074244</c:v>
                </c:pt>
                <c:pt idx="98">
                  <c:v>9801.15307683257</c:v>
                </c:pt>
                <c:pt idx="99">
                  <c:v>9901.1648429227</c:v>
                </c:pt>
                <c:pt idx="100">
                  <c:v>10001.1766090128</c:v>
                </c:pt>
                <c:pt idx="101">
                  <c:v>10101.188375103</c:v>
                </c:pt>
                <c:pt idx="102">
                  <c:v>10201.2001411931</c:v>
                </c:pt>
                <c:pt idx="103">
                  <c:v>10301.2119072832</c:v>
                </c:pt>
                <c:pt idx="104">
                  <c:v>10401.2236733733</c:v>
                </c:pt>
                <c:pt idx="105">
                  <c:v>10501.2354394635</c:v>
                </c:pt>
                <c:pt idx="106">
                  <c:v>10601.2472055536</c:v>
                </c:pt>
                <c:pt idx="107">
                  <c:v>10701.2589716437</c:v>
                </c:pt>
                <c:pt idx="108">
                  <c:v>10801.2707377339</c:v>
                </c:pt>
                <c:pt idx="109">
                  <c:v>10901.282503824</c:v>
                </c:pt>
                <c:pt idx="110">
                  <c:v>11001.2942699141</c:v>
                </c:pt>
                <c:pt idx="111">
                  <c:v>11101.3060360042</c:v>
                </c:pt>
                <c:pt idx="112">
                  <c:v>11201.3178020944</c:v>
                </c:pt>
                <c:pt idx="113">
                  <c:v>11301.3295681845</c:v>
                </c:pt>
                <c:pt idx="114">
                  <c:v>11401.3413342746</c:v>
                </c:pt>
                <c:pt idx="115">
                  <c:v>11501.3531003648</c:v>
                </c:pt>
                <c:pt idx="116">
                  <c:v>11601.3648664549</c:v>
                </c:pt>
                <c:pt idx="117">
                  <c:v>11701.376632545</c:v>
                </c:pt>
                <c:pt idx="118">
                  <c:v>11801.3883986351</c:v>
                </c:pt>
                <c:pt idx="119">
                  <c:v>11901.4001647253</c:v>
                </c:pt>
                <c:pt idx="120">
                  <c:v>12001.4119308154</c:v>
                </c:pt>
                <c:pt idx="121">
                  <c:v>12101.4236969055</c:v>
                </c:pt>
                <c:pt idx="122">
                  <c:v>12201.4354629957</c:v>
                </c:pt>
                <c:pt idx="123">
                  <c:v>12301.4472290858</c:v>
                </c:pt>
                <c:pt idx="124">
                  <c:v>12401.4589951759</c:v>
                </c:pt>
                <c:pt idx="125">
                  <c:v>12501.470761266</c:v>
                </c:pt>
                <c:pt idx="126">
                  <c:v>12601.4825273562</c:v>
                </c:pt>
                <c:pt idx="127">
                  <c:v>12701.4942934463</c:v>
                </c:pt>
                <c:pt idx="128">
                  <c:v>12801.5060595364</c:v>
                </c:pt>
                <c:pt idx="129">
                  <c:v>12901.5178256265</c:v>
                </c:pt>
                <c:pt idx="130">
                  <c:v>13001.5295917167</c:v>
                </c:pt>
                <c:pt idx="131">
                  <c:v>13101.5413578068</c:v>
                </c:pt>
                <c:pt idx="132">
                  <c:v>13201.5531238969</c:v>
                </c:pt>
                <c:pt idx="133">
                  <c:v>13301.5648899871</c:v>
                </c:pt>
                <c:pt idx="134">
                  <c:v>13401.5766560772</c:v>
                </c:pt>
                <c:pt idx="135">
                  <c:v>13501.5884221673</c:v>
                </c:pt>
                <c:pt idx="136">
                  <c:v>13601.6001882574</c:v>
                </c:pt>
                <c:pt idx="137">
                  <c:v>13701.6119543476</c:v>
                </c:pt>
                <c:pt idx="138">
                  <c:v>13801.6237204377</c:v>
                </c:pt>
                <c:pt idx="139">
                  <c:v>13901.6354865278</c:v>
                </c:pt>
                <c:pt idx="140">
                  <c:v>14001.647252618</c:v>
                </c:pt>
                <c:pt idx="141">
                  <c:v>14101.6590187081</c:v>
                </c:pt>
                <c:pt idx="142">
                  <c:v>14201.6707847982</c:v>
                </c:pt>
                <c:pt idx="143">
                  <c:v>14301.6825508883</c:v>
                </c:pt>
                <c:pt idx="144">
                  <c:v>14401.6943169785</c:v>
                </c:pt>
                <c:pt idx="145">
                  <c:v>14501.7060830686</c:v>
                </c:pt>
                <c:pt idx="146">
                  <c:v>14601.7178491587</c:v>
                </c:pt>
                <c:pt idx="147">
                  <c:v>14701.7296152489</c:v>
                </c:pt>
                <c:pt idx="148">
                  <c:v>14801.741381339</c:v>
                </c:pt>
                <c:pt idx="149">
                  <c:v>14901.7531474291</c:v>
                </c:pt>
                <c:pt idx="150">
                  <c:v>15001.7649135192</c:v>
                </c:pt>
                <c:pt idx="151">
                  <c:v>15101.7766796094</c:v>
                </c:pt>
                <c:pt idx="152">
                  <c:v>15201.7884456995</c:v>
                </c:pt>
                <c:pt idx="153">
                  <c:v>15301.8002117896</c:v>
                </c:pt>
                <c:pt idx="154">
                  <c:v>15401.8119778798</c:v>
                </c:pt>
                <c:pt idx="155">
                  <c:v>15501.8237439699</c:v>
                </c:pt>
                <c:pt idx="156">
                  <c:v>15601.83551006</c:v>
                </c:pt>
                <c:pt idx="157">
                  <c:v>15701.8472761501</c:v>
                </c:pt>
                <c:pt idx="158">
                  <c:v>15801.8590422403</c:v>
                </c:pt>
                <c:pt idx="159">
                  <c:v>15901.8708083304</c:v>
                </c:pt>
                <c:pt idx="160">
                  <c:v>16001.8825744205</c:v>
                </c:pt>
                <c:pt idx="161">
                  <c:v>16101.8943405107</c:v>
                </c:pt>
                <c:pt idx="162">
                  <c:v>16201.9061066008</c:v>
                </c:pt>
                <c:pt idx="163">
                  <c:v>16301.9178726909</c:v>
                </c:pt>
                <c:pt idx="164">
                  <c:v>16401.929638781</c:v>
                </c:pt>
                <c:pt idx="165">
                  <c:v>16501.9414048712</c:v>
                </c:pt>
                <c:pt idx="166">
                  <c:v>16601.9531709613</c:v>
                </c:pt>
                <c:pt idx="167">
                  <c:v>16701.9649370514</c:v>
                </c:pt>
                <c:pt idx="168">
                  <c:v>16801.9767031416</c:v>
                </c:pt>
                <c:pt idx="169">
                  <c:v>16901.9884692317</c:v>
                </c:pt>
                <c:pt idx="170">
                  <c:v>17002.0002353218</c:v>
                </c:pt>
                <c:pt idx="171">
                  <c:v>17102.0120014119</c:v>
                </c:pt>
                <c:pt idx="172">
                  <c:v>17202.0237675021</c:v>
                </c:pt>
                <c:pt idx="173">
                  <c:v>17302.0355335922</c:v>
                </c:pt>
                <c:pt idx="174">
                  <c:v>17402.0472996823</c:v>
                </c:pt>
                <c:pt idx="175">
                  <c:v>17502.0590657724</c:v>
                </c:pt>
                <c:pt idx="176">
                  <c:v>17602.0708318626</c:v>
                </c:pt>
                <c:pt idx="177">
                  <c:v>17702.0825979527</c:v>
                </c:pt>
                <c:pt idx="178">
                  <c:v>17802.0943640428</c:v>
                </c:pt>
                <c:pt idx="179">
                  <c:v>17902.106130133</c:v>
                </c:pt>
                <c:pt idx="180">
                  <c:v>18002.1178962231</c:v>
                </c:pt>
                <c:pt idx="181">
                  <c:v>18102.1296623132</c:v>
                </c:pt>
                <c:pt idx="182">
                  <c:v>18202.1414284033</c:v>
                </c:pt>
                <c:pt idx="183">
                  <c:v>18302.1531944935</c:v>
                </c:pt>
                <c:pt idx="184">
                  <c:v>18402.1649605836</c:v>
                </c:pt>
                <c:pt idx="185">
                  <c:v>18502.1767266737</c:v>
                </c:pt>
                <c:pt idx="186">
                  <c:v>18602.1884927639</c:v>
                </c:pt>
                <c:pt idx="187">
                  <c:v>18702.200258854</c:v>
                </c:pt>
                <c:pt idx="188">
                  <c:v>18802.2120249441</c:v>
                </c:pt>
                <c:pt idx="189">
                  <c:v>18902.2237910342</c:v>
                </c:pt>
                <c:pt idx="190">
                  <c:v>19002.2355571244</c:v>
                </c:pt>
                <c:pt idx="191">
                  <c:v>19102.2473232145</c:v>
                </c:pt>
                <c:pt idx="192">
                  <c:v>19202.2590893046</c:v>
                </c:pt>
                <c:pt idx="193">
                  <c:v>19302.2708553948</c:v>
                </c:pt>
                <c:pt idx="194">
                  <c:v>19402.2826214849</c:v>
                </c:pt>
                <c:pt idx="195">
                  <c:v>19502.294387575</c:v>
                </c:pt>
                <c:pt idx="196">
                  <c:v>19602.3061536651</c:v>
                </c:pt>
                <c:pt idx="197">
                  <c:v>19702.3179197553</c:v>
                </c:pt>
                <c:pt idx="198">
                  <c:v>19802.3296858454</c:v>
                </c:pt>
                <c:pt idx="199">
                  <c:v>19902.3414519355</c:v>
                </c:pt>
                <c:pt idx="200">
                  <c:v>20002.3532180257</c:v>
                </c:pt>
                <c:pt idx="201">
                  <c:v>20102.3649841158</c:v>
                </c:pt>
                <c:pt idx="202">
                  <c:v>20202.3767502059</c:v>
                </c:pt>
                <c:pt idx="203">
                  <c:v>20302.388516296</c:v>
                </c:pt>
                <c:pt idx="204">
                  <c:v>20402.4002823862</c:v>
                </c:pt>
                <c:pt idx="205">
                  <c:v>20502.4120484763</c:v>
                </c:pt>
                <c:pt idx="206">
                  <c:v>20602.4238145664</c:v>
                </c:pt>
                <c:pt idx="207">
                  <c:v>20702.4355806566</c:v>
                </c:pt>
                <c:pt idx="208">
                  <c:v>20802.4473467467</c:v>
                </c:pt>
                <c:pt idx="209">
                  <c:v>20902.4591128368</c:v>
                </c:pt>
                <c:pt idx="210">
                  <c:v>21002.4708789269</c:v>
                </c:pt>
                <c:pt idx="211">
                  <c:v>21102.4826450171</c:v>
                </c:pt>
                <c:pt idx="212">
                  <c:v>21202.4944111072</c:v>
                </c:pt>
                <c:pt idx="213">
                  <c:v>21302.5061771973</c:v>
                </c:pt>
                <c:pt idx="214">
                  <c:v>21402.5179432875</c:v>
                </c:pt>
                <c:pt idx="215">
                  <c:v>21502.5297093776</c:v>
                </c:pt>
                <c:pt idx="216">
                  <c:v>21602.5414754677</c:v>
                </c:pt>
                <c:pt idx="217">
                  <c:v>21702.5532415578</c:v>
                </c:pt>
                <c:pt idx="218">
                  <c:v>21802.565007648</c:v>
                </c:pt>
                <c:pt idx="219">
                  <c:v>21902.5767737381</c:v>
                </c:pt>
                <c:pt idx="220">
                  <c:v>22002.5885398282</c:v>
                </c:pt>
                <c:pt idx="221">
                  <c:v>22102.6003059183</c:v>
                </c:pt>
                <c:pt idx="222">
                  <c:v>22202.6120720085</c:v>
                </c:pt>
                <c:pt idx="223">
                  <c:v>22302.6238380986</c:v>
                </c:pt>
                <c:pt idx="224">
                  <c:v>22402.6356041887</c:v>
                </c:pt>
                <c:pt idx="225">
                  <c:v>22502.6473702789</c:v>
                </c:pt>
                <c:pt idx="226">
                  <c:v>22602.659136369</c:v>
                </c:pt>
                <c:pt idx="227">
                  <c:v>22702.6709024591</c:v>
                </c:pt>
                <c:pt idx="228">
                  <c:v>22802.6826685492</c:v>
                </c:pt>
                <c:pt idx="229">
                  <c:v>22902.6944346394</c:v>
                </c:pt>
                <c:pt idx="230">
                  <c:v>23002.7062007295</c:v>
                </c:pt>
                <c:pt idx="231">
                  <c:v>23102.7179668196</c:v>
                </c:pt>
                <c:pt idx="232">
                  <c:v>23202.7297329098</c:v>
                </c:pt>
                <c:pt idx="233">
                  <c:v>23302.7414989999</c:v>
                </c:pt>
                <c:pt idx="234">
                  <c:v>23402.75326509</c:v>
                </c:pt>
                <c:pt idx="235">
                  <c:v>23502.7650311801</c:v>
                </c:pt>
                <c:pt idx="236">
                  <c:v>23602.7767972703</c:v>
                </c:pt>
                <c:pt idx="237">
                  <c:v>23702.7885633604</c:v>
                </c:pt>
                <c:pt idx="238">
                  <c:v>23802.8003294505</c:v>
                </c:pt>
                <c:pt idx="239">
                  <c:v>23902.8120955407</c:v>
                </c:pt>
                <c:pt idx="240">
                  <c:v>24002.8238616308</c:v>
                </c:pt>
                <c:pt idx="241">
                  <c:v>24102.8356277209</c:v>
                </c:pt>
                <c:pt idx="242">
                  <c:v>24202.847393811</c:v>
                </c:pt>
                <c:pt idx="243">
                  <c:v>24302.8591599012</c:v>
                </c:pt>
                <c:pt idx="244">
                  <c:v>24402.8709259913</c:v>
                </c:pt>
                <c:pt idx="245">
                  <c:v>24502.8826920814</c:v>
                </c:pt>
                <c:pt idx="246">
                  <c:v>24602.8944581716</c:v>
                </c:pt>
                <c:pt idx="247">
                  <c:v>24702.9062242617</c:v>
                </c:pt>
                <c:pt idx="248">
                  <c:v>24802.9179903518</c:v>
                </c:pt>
                <c:pt idx="249">
                  <c:v>24902.9297564419</c:v>
                </c:pt>
                <c:pt idx="250">
                  <c:v>25002.9415225321</c:v>
                </c:pt>
                <c:pt idx="251">
                  <c:v>25102.9532886222</c:v>
                </c:pt>
                <c:pt idx="252">
                  <c:v>25202.9650547123</c:v>
                </c:pt>
                <c:pt idx="253">
                  <c:v>25302.9768208025</c:v>
                </c:pt>
                <c:pt idx="254">
                  <c:v>25402.9885868926</c:v>
                </c:pt>
                <c:pt idx="255">
                  <c:v>25503.0003529827</c:v>
                </c:pt>
                <c:pt idx="256">
                  <c:v>25603.0121190728</c:v>
                </c:pt>
                <c:pt idx="257">
                  <c:v>25703.023885163</c:v>
                </c:pt>
                <c:pt idx="258">
                  <c:v>25803.0356512531</c:v>
                </c:pt>
                <c:pt idx="259">
                  <c:v>25903.0474173432</c:v>
                </c:pt>
                <c:pt idx="260">
                  <c:v>26003.0591834334</c:v>
                </c:pt>
                <c:pt idx="261">
                  <c:v>26103.0709495235</c:v>
                </c:pt>
                <c:pt idx="262">
                  <c:v>26203.0827156136</c:v>
                </c:pt>
                <c:pt idx="263">
                  <c:v>26303.0944817037</c:v>
                </c:pt>
                <c:pt idx="264">
                  <c:v>26403.1062477939</c:v>
                </c:pt>
                <c:pt idx="265">
                  <c:v>26503.118013884</c:v>
                </c:pt>
                <c:pt idx="266">
                  <c:v>26603.1297799741</c:v>
                </c:pt>
                <c:pt idx="267">
                  <c:v>26703.1415460642</c:v>
                </c:pt>
                <c:pt idx="268">
                  <c:v>26803.1533121544</c:v>
                </c:pt>
                <c:pt idx="269">
                  <c:v>26903.1650782445</c:v>
                </c:pt>
                <c:pt idx="270">
                  <c:v>27003.1768443346</c:v>
                </c:pt>
                <c:pt idx="271">
                  <c:v>27103.1886104248</c:v>
                </c:pt>
                <c:pt idx="272">
                  <c:v>27203.2003765149</c:v>
                </c:pt>
                <c:pt idx="273">
                  <c:v>27303.212142605</c:v>
                </c:pt>
                <c:pt idx="274">
                  <c:v>27403.2239086951</c:v>
                </c:pt>
                <c:pt idx="275">
                  <c:v>27503.2356747853</c:v>
                </c:pt>
                <c:pt idx="276">
                  <c:v>27603.2474408754</c:v>
                </c:pt>
                <c:pt idx="277">
                  <c:v>27703.2592069655</c:v>
                </c:pt>
                <c:pt idx="278">
                  <c:v>27803.2709730557</c:v>
                </c:pt>
                <c:pt idx="279">
                  <c:v>27903.2827391458</c:v>
                </c:pt>
                <c:pt idx="280">
                  <c:v>28003.2945052359</c:v>
                </c:pt>
                <c:pt idx="281">
                  <c:v>28103.306271326</c:v>
                </c:pt>
                <c:pt idx="282">
                  <c:v>28203.3180374162</c:v>
                </c:pt>
                <c:pt idx="283">
                  <c:v>28303.3298035063</c:v>
                </c:pt>
                <c:pt idx="284">
                  <c:v>28403.3415695964</c:v>
                </c:pt>
                <c:pt idx="285">
                  <c:v>28503.3533356866</c:v>
                </c:pt>
                <c:pt idx="286">
                  <c:v>28603.3651017767</c:v>
                </c:pt>
                <c:pt idx="287">
                  <c:v>28703.3768678668</c:v>
                </c:pt>
                <c:pt idx="288">
                  <c:v>28803.3886339569</c:v>
                </c:pt>
                <c:pt idx="289">
                  <c:v>28903.4004000471</c:v>
                </c:pt>
                <c:pt idx="290">
                  <c:v>29003.4121661372</c:v>
                </c:pt>
                <c:pt idx="291">
                  <c:v>29103.4239322273</c:v>
                </c:pt>
                <c:pt idx="292">
                  <c:v>29203.4356983175</c:v>
                </c:pt>
                <c:pt idx="293">
                  <c:v>29303.4474644076</c:v>
                </c:pt>
                <c:pt idx="294">
                  <c:v>29403.4592304977</c:v>
                </c:pt>
                <c:pt idx="295">
                  <c:v>29503.4709965878</c:v>
                </c:pt>
                <c:pt idx="296">
                  <c:v>29603.482762678</c:v>
                </c:pt>
                <c:pt idx="297">
                  <c:v>29703.4945287681</c:v>
                </c:pt>
                <c:pt idx="298">
                  <c:v>29803.5062948582</c:v>
                </c:pt>
                <c:pt idx="299">
                  <c:v>29903.5180609484</c:v>
                </c:pt>
                <c:pt idx="300">
                  <c:v>30003.5298270385</c:v>
                </c:pt>
                <c:pt idx="301">
                  <c:v>30103.5415931286</c:v>
                </c:pt>
                <c:pt idx="302">
                  <c:v>30203.5533592187</c:v>
                </c:pt>
                <c:pt idx="303">
                  <c:v>30303.5651253089</c:v>
                </c:pt>
                <c:pt idx="304">
                  <c:v>30403.576891399</c:v>
                </c:pt>
                <c:pt idx="305">
                  <c:v>30503.5886574891</c:v>
                </c:pt>
                <c:pt idx="306">
                  <c:v>30603.6004235793</c:v>
                </c:pt>
                <c:pt idx="307">
                  <c:v>30703.6121896694</c:v>
                </c:pt>
                <c:pt idx="308">
                  <c:v>30803.6239557595</c:v>
                </c:pt>
                <c:pt idx="309">
                  <c:v>30903.6357218496</c:v>
                </c:pt>
                <c:pt idx="310">
                  <c:v>31003.6474879398</c:v>
                </c:pt>
                <c:pt idx="311">
                  <c:v>31103.6592540299</c:v>
                </c:pt>
                <c:pt idx="312">
                  <c:v>31203.67102012</c:v>
                </c:pt>
                <c:pt idx="313">
                  <c:v>31303.6827862101</c:v>
                </c:pt>
                <c:pt idx="314">
                  <c:v>31403.6945523003</c:v>
                </c:pt>
                <c:pt idx="315">
                  <c:v>31503.7063183904</c:v>
                </c:pt>
                <c:pt idx="316">
                  <c:v>31603.7180844805</c:v>
                </c:pt>
                <c:pt idx="317">
                  <c:v>31703.7298505707</c:v>
                </c:pt>
                <c:pt idx="318">
                  <c:v>31803.7416166608</c:v>
                </c:pt>
                <c:pt idx="319">
                  <c:v>31903.7533827509</c:v>
                </c:pt>
                <c:pt idx="320">
                  <c:v>32003.765148841</c:v>
                </c:pt>
                <c:pt idx="321">
                  <c:v>32103.7769149312</c:v>
                </c:pt>
                <c:pt idx="322">
                  <c:v>32203.7886810213</c:v>
                </c:pt>
                <c:pt idx="323">
                  <c:v>32303.8004471114</c:v>
                </c:pt>
                <c:pt idx="324">
                  <c:v>32403.8122132016</c:v>
                </c:pt>
                <c:pt idx="325">
                  <c:v>32503.8239792917</c:v>
                </c:pt>
                <c:pt idx="326">
                  <c:v>32603.8357453818</c:v>
                </c:pt>
                <c:pt idx="327">
                  <c:v>32703.8475114719</c:v>
                </c:pt>
                <c:pt idx="328">
                  <c:v>32803.8592775621</c:v>
                </c:pt>
                <c:pt idx="329">
                  <c:v>32903.8710436522</c:v>
                </c:pt>
                <c:pt idx="330">
                  <c:v>33003.8828097423</c:v>
                </c:pt>
                <c:pt idx="331">
                  <c:v>33103.8945758325</c:v>
                </c:pt>
                <c:pt idx="332">
                  <c:v>33203.9063419226</c:v>
                </c:pt>
                <c:pt idx="333">
                  <c:v>33303.9181080127</c:v>
                </c:pt>
                <c:pt idx="334">
                  <c:v>33403.9298741028</c:v>
                </c:pt>
                <c:pt idx="335">
                  <c:v>33503.941640193</c:v>
                </c:pt>
                <c:pt idx="336">
                  <c:v>33603.9534062831</c:v>
                </c:pt>
                <c:pt idx="337">
                  <c:v>33703.9651723732</c:v>
                </c:pt>
                <c:pt idx="338">
                  <c:v>33803.9769384634</c:v>
                </c:pt>
                <c:pt idx="339">
                  <c:v>33903.9887045535</c:v>
                </c:pt>
                <c:pt idx="340">
                  <c:v>34004.0004706436</c:v>
                </c:pt>
                <c:pt idx="341">
                  <c:v>34104.0122367337</c:v>
                </c:pt>
                <c:pt idx="342">
                  <c:v>34204.0240028239</c:v>
                </c:pt>
                <c:pt idx="343">
                  <c:v>34304.035768914</c:v>
                </c:pt>
                <c:pt idx="344">
                  <c:v>34404.0475350041</c:v>
                </c:pt>
                <c:pt idx="345">
                  <c:v>34504.0593010943</c:v>
                </c:pt>
                <c:pt idx="346">
                  <c:v>34604.0710671844</c:v>
                </c:pt>
                <c:pt idx="347">
                  <c:v>34704.0828332745</c:v>
                </c:pt>
                <c:pt idx="348">
                  <c:v>34804.0945993646</c:v>
                </c:pt>
                <c:pt idx="349">
                  <c:v>34904.1063654548</c:v>
                </c:pt>
                <c:pt idx="350">
                  <c:v>35004.1181315449</c:v>
                </c:pt>
                <c:pt idx="351">
                  <c:v>35104.129897635</c:v>
                </c:pt>
                <c:pt idx="352">
                  <c:v>35204.1416637252</c:v>
                </c:pt>
                <c:pt idx="353">
                  <c:v>35304.1534298153</c:v>
                </c:pt>
                <c:pt idx="354">
                  <c:v>35404.1651959054</c:v>
                </c:pt>
                <c:pt idx="355">
                  <c:v>35504.1769619955</c:v>
                </c:pt>
                <c:pt idx="356">
                  <c:v>35604.1887280857</c:v>
                </c:pt>
                <c:pt idx="357">
                  <c:v>35704.2004941758</c:v>
                </c:pt>
                <c:pt idx="358">
                  <c:v>35804.2122602659</c:v>
                </c:pt>
                <c:pt idx="359">
                  <c:v>35904.2240263561</c:v>
                </c:pt>
                <c:pt idx="360">
                  <c:v>36004.2357924462</c:v>
                </c:pt>
                <c:pt idx="361">
                  <c:v>36104.2475585363</c:v>
                </c:pt>
                <c:pt idx="362">
                  <c:v>36204.2593246264</c:v>
                </c:pt>
                <c:pt idx="363">
                  <c:v>36304.2710907166</c:v>
                </c:pt>
                <c:pt idx="364">
                  <c:v>36404.2828568067</c:v>
                </c:pt>
                <c:pt idx="365">
                  <c:v>36504.2946228968</c:v>
                </c:pt>
                <c:pt idx="366">
                  <c:v>36604.3063889869</c:v>
                </c:pt>
                <c:pt idx="367">
                  <c:v>36704.3181550771</c:v>
                </c:pt>
                <c:pt idx="368">
                  <c:v>36804.3299211672</c:v>
                </c:pt>
                <c:pt idx="369">
                  <c:v>36904.3416872573</c:v>
                </c:pt>
                <c:pt idx="370">
                  <c:v>37004.3534533475</c:v>
                </c:pt>
                <c:pt idx="371">
                  <c:v>37104.3652194376</c:v>
                </c:pt>
                <c:pt idx="372">
                  <c:v>37204.3769855277</c:v>
                </c:pt>
                <c:pt idx="373">
                  <c:v>37304.3887516178</c:v>
                </c:pt>
                <c:pt idx="374">
                  <c:v>37404.400517708</c:v>
                </c:pt>
                <c:pt idx="375">
                  <c:v>37504.4122837981</c:v>
                </c:pt>
                <c:pt idx="376">
                  <c:v>37604.4240498882</c:v>
                </c:pt>
                <c:pt idx="377">
                  <c:v>37704.4358159784</c:v>
                </c:pt>
                <c:pt idx="378">
                  <c:v>37804.4475820685</c:v>
                </c:pt>
                <c:pt idx="379">
                  <c:v>37904.4593481586</c:v>
                </c:pt>
                <c:pt idx="380">
                  <c:v>38004.4711142487</c:v>
                </c:pt>
                <c:pt idx="381">
                  <c:v>38104.4828803389</c:v>
                </c:pt>
                <c:pt idx="382">
                  <c:v>38204.494646429</c:v>
                </c:pt>
                <c:pt idx="383">
                  <c:v>38304.5064125191</c:v>
                </c:pt>
                <c:pt idx="384">
                  <c:v>38404.5181786093</c:v>
                </c:pt>
                <c:pt idx="385">
                  <c:v>38504.5299446994</c:v>
                </c:pt>
                <c:pt idx="386">
                  <c:v>38604.5417107895</c:v>
                </c:pt>
                <c:pt idx="387">
                  <c:v>38704.5534768796</c:v>
                </c:pt>
                <c:pt idx="388">
                  <c:v>38804.5652429698</c:v>
                </c:pt>
                <c:pt idx="389">
                  <c:v>38904.5770090599</c:v>
                </c:pt>
                <c:pt idx="390">
                  <c:v>39004.58877515</c:v>
                </c:pt>
                <c:pt idx="391">
                  <c:v>39104.6005412401</c:v>
                </c:pt>
                <c:pt idx="392">
                  <c:v>39204.6123073303</c:v>
                </c:pt>
                <c:pt idx="393">
                  <c:v>39304.6240734204</c:v>
                </c:pt>
                <c:pt idx="394">
                  <c:v>39404.6358395105</c:v>
                </c:pt>
                <c:pt idx="395">
                  <c:v>39504.6476056007</c:v>
                </c:pt>
                <c:pt idx="396">
                  <c:v>39604.6593716908</c:v>
                </c:pt>
                <c:pt idx="397">
                  <c:v>39704.6711377809</c:v>
                </c:pt>
                <c:pt idx="398">
                  <c:v>39804.682903871</c:v>
                </c:pt>
                <c:pt idx="399">
                  <c:v>39904.6946699612</c:v>
                </c:pt>
                <c:pt idx="400">
                  <c:v>40004.7064360513</c:v>
                </c:pt>
                <c:pt idx="401">
                  <c:v>40104.7182021414</c:v>
                </c:pt>
                <c:pt idx="402">
                  <c:v>40204.7299682316</c:v>
                </c:pt>
                <c:pt idx="403">
                  <c:v>40304.7417343217</c:v>
                </c:pt>
                <c:pt idx="404">
                  <c:v>40404.7535004118</c:v>
                </c:pt>
                <c:pt idx="405">
                  <c:v>40504.7652665019</c:v>
                </c:pt>
                <c:pt idx="406">
                  <c:v>40604.7770325921</c:v>
                </c:pt>
                <c:pt idx="407">
                  <c:v>40704.7887986822</c:v>
                </c:pt>
                <c:pt idx="408">
                  <c:v>40804.8005647723</c:v>
                </c:pt>
                <c:pt idx="409">
                  <c:v>40904.8123308625</c:v>
                </c:pt>
                <c:pt idx="410">
                  <c:v>41004.8240969526</c:v>
                </c:pt>
                <c:pt idx="411">
                  <c:v>41104.8358630427</c:v>
                </c:pt>
                <c:pt idx="412">
                  <c:v>41204.8476291328</c:v>
                </c:pt>
                <c:pt idx="413">
                  <c:v>41304.859395223</c:v>
                </c:pt>
                <c:pt idx="414">
                  <c:v>41404.8711613131</c:v>
                </c:pt>
                <c:pt idx="415">
                  <c:v>41504.8829274032</c:v>
                </c:pt>
                <c:pt idx="416">
                  <c:v>41604.8946934934</c:v>
                </c:pt>
                <c:pt idx="417">
                  <c:v>41704.9064595835</c:v>
                </c:pt>
                <c:pt idx="418">
                  <c:v>41804.9182256736</c:v>
                </c:pt>
                <c:pt idx="419">
                  <c:v>41904.9299917637</c:v>
                </c:pt>
                <c:pt idx="420">
                  <c:v>42004.9417578539</c:v>
                </c:pt>
                <c:pt idx="421">
                  <c:v>42104.953523944</c:v>
                </c:pt>
                <c:pt idx="422">
                  <c:v>42204.9652900341</c:v>
                </c:pt>
                <c:pt idx="423">
                  <c:v>42304.9770561243</c:v>
                </c:pt>
                <c:pt idx="424">
                  <c:v>42404.9888222144</c:v>
                </c:pt>
                <c:pt idx="425">
                  <c:v>42505.0005883045</c:v>
                </c:pt>
                <c:pt idx="426">
                  <c:v>42605.0123543946</c:v>
                </c:pt>
                <c:pt idx="427">
                  <c:v>42705.0241204848</c:v>
                </c:pt>
                <c:pt idx="428">
                  <c:v>42805.0358865749</c:v>
                </c:pt>
                <c:pt idx="429">
                  <c:v>42905.047652665</c:v>
                </c:pt>
                <c:pt idx="430">
                  <c:v>43005.0594187552</c:v>
                </c:pt>
                <c:pt idx="431">
                  <c:v>43105.0711848453</c:v>
                </c:pt>
                <c:pt idx="432">
                  <c:v>43205.0829509354</c:v>
                </c:pt>
                <c:pt idx="433">
                  <c:v>43305.0947170255</c:v>
                </c:pt>
                <c:pt idx="434">
                  <c:v>43405.1064831157</c:v>
                </c:pt>
                <c:pt idx="435">
                  <c:v>43505.1182492058</c:v>
                </c:pt>
                <c:pt idx="436">
                  <c:v>43605.1300152959</c:v>
                </c:pt>
                <c:pt idx="437">
                  <c:v>43705.1417813861</c:v>
                </c:pt>
                <c:pt idx="438">
                  <c:v>43805.1535474762</c:v>
                </c:pt>
                <c:pt idx="439">
                  <c:v>43905.1653135663</c:v>
                </c:pt>
                <c:pt idx="440">
                  <c:v>44005.1770796564</c:v>
                </c:pt>
                <c:pt idx="441">
                  <c:v>44105.1888457466</c:v>
                </c:pt>
                <c:pt idx="442">
                  <c:v>44205.2006118367</c:v>
                </c:pt>
                <c:pt idx="443">
                  <c:v>44305.2123779268</c:v>
                </c:pt>
                <c:pt idx="444">
                  <c:v>44405.224144017</c:v>
                </c:pt>
                <c:pt idx="445">
                  <c:v>44505.2359101071</c:v>
                </c:pt>
                <c:pt idx="446">
                  <c:v>44605.2476761972</c:v>
                </c:pt>
                <c:pt idx="447">
                  <c:v>44705.2594422873</c:v>
                </c:pt>
                <c:pt idx="448">
                  <c:v>44805.2712083775</c:v>
                </c:pt>
                <c:pt idx="449">
                  <c:v>44905.2829744676</c:v>
                </c:pt>
                <c:pt idx="450">
                  <c:v>45005.2947405577</c:v>
                </c:pt>
                <c:pt idx="451">
                  <c:v>45105.3065066478</c:v>
                </c:pt>
                <c:pt idx="452">
                  <c:v>45205.318272738</c:v>
                </c:pt>
                <c:pt idx="453">
                  <c:v>45305.3300388281</c:v>
                </c:pt>
                <c:pt idx="454">
                  <c:v>45405.3418049182</c:v>
                </c:pt>
                <c:pt idx="455">
                  <c:v>45505.3535710084</c:v>
                </c:pt>
                <c:pt idx="456">
                  <c:v>45605.3653370985</c:v>
                </c:pt>
                <c:pt idx="457">
                  <c:v>45705.3771031886</c:v>
                </c:pt>
                <c:pt idx="458">
                  <c:v>45805.3888692787</c:v>
                </c:pt>
                <c:pt idx="459">
                  <c:v>45905.4006353689</c:v>
                </c:pt>
                <c:pt idx="460">
                  <c:v>46005.412401459</c:v>
                </c:pt>
                <c:pt idx="461">
                  <c:v>46105.4241675491</c:v>
                </c:pt>
                <c:pt idx="462">
                  <c:v>46205.4359336393</c:v>
                </c:pt>
                <c:pt idx="463">
                  <c:v>46305.4476997294</c:v>
                </c:pt>
                <c:pt idx="464">
                  <c:v>46405.4594658195</c:v>
                </c:pt>
                <c:pt idx="465">
                  <c:v>46505.4712319096</c:v>
                </c:pt>
                <c:pt idx="466">
                  <c:v>46605.4829979998</c:v>
                </c:pt>
                <c:pt idx="467">
                  <c:v>46705.4947640899</c:v>
                </c:pt>
                <c:pt idx="468">
                  <c:v>46805.50653018</c:v>
                </c:pt>
                <c:pt idx="469">
                  <c:v>46905.5182962702</c:v>
                </c:pt>
                <c:pt idx="470">
                  <c:v>47005.5300623603</c:v>
                </c:pt>
                <c:pt idx="471">
                  <c:v>47105.5418284504</c:v>
                </c:pt>
                <c:pt idx="472">
                  <c:v>47205.5535945405</c:v>
                </c:pt>
                <c:pt idx="473">
                  <c:v>47305.5653606307</c:v>
                </c:pt>
                <c:pt idx="474">
                  <c:v>47405.5771267208</c:v>
                </c:pt>
                <c:pt idx="475">
                  <c:v>47505.5888928109</c:v>
                </c:pt>
                <c:pt idx="476">
                  <c:v>47605.6006589011</c:v>
                </c:pt>
                <c:pt idx="477">
                  <c:v>47705.6124249912</c:v>
                </c:pt>
                <c:pt idx="478">
                  <c:v>47805.6241910813</c:v>
                </c:pt>
                <c:pt idx="479">
                  <c:v>47905.6359571714</c:v>
                </c:pt>
                <c:pt idx="480">
                  <c:v>48005.6477232616</c:v>
                </c:pt>
                <c:pt idx="481">
                  <c:v>48105.6594893517</c:v>
                </c:pt>
                <c:pt idx="482">
                  <c:v>48205.6712554418</c:v>
                </c:pt>
                <c:pt idx="483">
                  <c:v>48305.6830215319</c:v>
                </c:pt>
                <c:pt idx="484">
                  <c:v>48405.6947876221</c:v>
                </c:pt>
                <c:pt idx="485">
                  <c:v>48505.7065537122</c:v>
                </c:pt>
                <c:pt idx="486">
                  <c:v>48605.7183198023</c:v>
                </c:pt>
                <c:pt idx="487">
                  <c:v>48705.7300858925</c:v>
                </c:pt>
                <c:pt idx="488">
                  <c:v>48805.7418519826</c:v>
                </c:pt>
                <c:pt idx="489">
                  <c:v>48905.7536180727</c:v>
                </c:pt>
                <c:pt idx="490">
                  <c:v>49005.7653841628</c:v>
                </c:pt>
                <c:pt idx="491">
                  <c:v>49105.777150253</c:v>
                </c:pt>
                <c:pt idx="492">
                  <c:v>49205.7889163431</c:v>
                </c:pt>
                <c:pt idx="493">
                  <c:v>49305.8006824332</c:v>
                </c:pt>
                <c:pt idx="494">
                  <c:v>49405.8124485234</c:v>
                </c:pt>
                <c:pt idx="495">
                  <c:v>49505.8242146135</c:v>
                </c:pt>
                <c:pt idx="496">
                  <c:v>49605.8359807036</c:v>
                </c:pt>
                <c:pt idx="497">
                  <c:v>49705.8477467937</c:v>
                </c:pt>
                <c:pt idx="498">
                  <c:v>49805.8595128839</c:v>
                </c:pt>
                <c:pt idx="499">
                  <c:v>49905.871278974</c:v>
                </c:pt>
                <c:pt idx="500">
                  <c:v>50005.8830450641</c:v>
                </c:pt>
                <c:pt idx="501">
                  <c:v>50105.8948111543</c:v>
                </c:pt>
                <c:pt idx="502">
                  <c:v>50205.9065772444</c:v>
                </c:pt>
                <c:pt idx="503">
                  <c:v>50305.9183433345</c:v>
                </c:pt>
                <c:pt idx="504">
                  <c:v>50405.9301094246</c:v>
                </c:pt>
                <c:pt idx="505">
                  <c:v>50505.9418755148</c:v>
                </c:pt>
                <c:pt idx="506">
                  <c:v>50605.9536416049</c:v>
                </c:pt>
                <c:pt idx="507">
                  <c:v>50705.965407695</c:v>
                </c:pt>
                <c:pt idx="508">
                  <c:v>50805.9771737852</c:v>
                </c:pt>
                <c:pt idx="509">
                  <c:v>50905.9889398753</c:v>
                </c:pt>
                <c:pt idx="510">
                  <c:v>51006.0007059654</c:v>
                </c:pt>
                <c:pt idx="511">
                  <c:v>51106.0124720555</c:v>
                </c:pt>
                <c:pt idx="512">
                  <c:v>51206.0242381457</c:v>
                </c:pt>
                <c:pt idx="513">
                  <c:v>51306.0360042358</c:v>
                </c:pt>
                <c:pt idx="514">
                  <c:v>51406.0477703259</c:v>
                </c:pt>
                <c:pt idx="515">
                  <c:v>51506.0595364161</c:v>
                </c:pt>
                <c:pt idx="516">
                  <c:v>51606.0713025062</c:v>
                </c:pt>
                <c:pt idx="517">
                  <c:v>51706.0830685963</c:v>
                </c:pt>
                <c:pt idx="518">
                  <c:v>51806.0948346864</c:v>
                </c:pt>
                <c:pt idx="519">
                  <c:v>51906.1066007766</c:v>
                </c:pt>
                <c:pt idx="520">
                  <c:v>52006.1183668667</c:v>
                </c:pt>
                <c:pt idx="521">
                  <c:v>52106.1301329568</c:v>
                </c:pt>
                <c:pt idx="522">
                  <c:v>52206.141899047</c:v>
                </c:pt>
                <c:pt idx="523">
                  <c:v>52306.1536651371</c:v>
                </c:pt>
                <c:pt idx="524">
                  <c:v>52406.1654312272</c:v>
                </c:pt>
                <c:pt idx="525">
                  <c:v>52506.1771973173</c:v>
                </c:pt>
                <c:pt idx="526">
                  <c:v>52606.1889634075</c:v>
                </c:pt>
                <c:pt idx="527">
                  <c:v>52706.2007294976</c:v>
                </c:pt>
                <c:pt idx="528">
                  <c:v>52806.2124955877</c:v>
                </c:pt>
                <c:pt idx="529">
                  <c:v>52906.2242616779</c:v>
                </c:pt>
                <c:pt idx="530">
                  <c:v>53006.236027768</c:v>
                </c:pt>
                <c:pt idx="531">
                  <c:v>53106.2477938581</c:v>
                </c:pt>
                <c:pt idx="532">
                  <c:v>53206.2595599482</c:v>
                </c:pt>
                <c:pt idx="533">
                  <c:v>53306.2713260384</c:v>
                </c:pt>
                <c:pt idx="534">
                  <c:v>53406.2830921285</c:v>
                </c:pt>
                <c:pt idx="535">
                  <c:v>53506.2948582186</c:v>
                </c:pt>
                <c:pt idx="536">
                  <c:v>53606.3066243088</c:v>
                </c:pt>
                <c:pt idx="537">
                  <c:v>53706.3183903989</c:v>
                </c:pt>
                <c:pt idx="538">
                  <c:v>53806.330156489</c:v>
                </c:pt>
                <c:pt idx="539">
                  <c:v>53906.3419225791</c:v>
                </c:pt>
                <c:pt idx="540">
                  <c:v>54006.3536886693</c:v>
                </c:pt>
                <c:pt idx="541">
                  <c:v>54106.3654547594</c:v>
                </c:pt>
                <c:pt idx="542">
                  <c:v>54206.3772208495</c:v>
                </c:pt>
                <c:pt idx="543">
                  <c:v>54306.3889869396</c:v>
                </c:pt>
                <c:pt idx="544">
                  <c:v>54406.4007530298</c:v>
                </c:pt>
                <c:pt idx="545">
                  <c:v>54506.4125191199</c:v>
                </c:pt>
                <c:pt idx="546">
                  <c:v>54606.42428521</c:v>
                </c:pt>
                <c:pt idx="547">
                  <c:v>54706.4360513002</c:v>
                </c:pt>
                <c:pt idx="548">
                  <c:v>54806.4478173903</c:v>
                </c:pt>
                <c:pt idx="549">
                  <c:v>54906.4595834804</c:v>
                </c:pt>
                <c:pt idx="550">
                  <c:v>55006.4713495705</c:v>
                </c:pt>
                <c:pt idx="551">
                  <c:v>55106.4831156607</c:v>
                </c:pt>
                <c:pt idx="552">
                  <c:v>55206.4948817508</c:v>
                </c:pt>
                <c:pt idx="553">
                  <c:v>55306.5066478409</c:v>
                </c:pt>
                <c:pt idx="554">
                  <c:v>55406.5184139311</c:v>
                </c:pt>
                <c:pt idx="555">
                  <c:v>55506.5301800212</c:v>
                </c:pt>
                <c:pt idx="556">
                  <c:v>55606.5419461113</c:v>
                </c:pt>
                <c:pt idx="557">
                  <c:v>55706.5537122014</c:v>
                </c:pt>
                <c:pt idx="558">
                  <c:v>55806.5654782916</c:v>
                </c:pt>
                <c:pt idx="559">
                  <c:v>55906.5772443817</c:v>
                </c:pt>
                <c:pt idx="560">
                  <c:v>56006.5890104718</c:v>
                </c:pt>
                <c:pt idx="561">
                  <c:v>56106.600776562</c:v>
                </c:pt>
                <c:pt idx="562">
                  <c:v>56206.6125426521</c:v>
                </c:pt>
                <c:pt idx="563">
                  <c:v>56306.6243087422</c:v>
                </c:pt>
                <c:pt idx="564">
                  <c:v>56406.6360748323</c:v>
                </c:pt>
                <c:pt idx="565">
                  <c:v>56506.6478409225</c:v>
                </c:pt>
                <c:pt idx="566">
                  <c:v>56606.6596070126</c:v>
                </c:pt>
                <c:pt idx="567">
                  <c:v>56706.6713731027</c:v>
                </c:pt>
                <c:pt idx="568">
                  <c:v>56806.6831391929</c:v>
                </c:pt>
                <c:pt idx="569">
                  <c:v>56906.694905283</c:v>
                </c:pt>
                <c:pt idx="570">
                  <c:v>57006.7066713731</c:v>
                </c:pt>
                <c:pt idx="571">
                  <c:v>57106.7184374632</c:v>
                </c:pt>
                <c:pt idx="572">
                  <c:v>57206.7302035534</c:v>
                </c:pt>
                <c:pt idx="573">
                  <c:v>57306.7419696435</c:v>
                </c:pt>
                <c:pt idx="574">
                  <c:v>57406.7537357336</c:v>
                </c:pt>
                <c:pt idx="575">
                  <c:v>57506.7655018237</c:v>
                </c:pt>
                <c:pt idx="576">
                  <c:v>57606.7772679139</c:v>
                </c:pt>
                <c:pt idx="577">
                  <c:v>57706.789034004</c:v>
                </c:pt>
                <c:pt idx="578">
                  <c:v>57806.8008000941</c:v>
                </c:pt>
                <c:pt idx="579">
                  <c:v>57906.8125661843</c:v>
                </c:pt>
                <c:pt idx="580">
                  <c:v>58006.8243322744</c:v>
                </c:pt>
                <c:pt idx="581">
                  <c:v>58106.8360983645</c:v>
                </c:pt>
                <c:pt idx="582">
                  <c:v>58206.8478644546</c:v>
                </c:pt>
                <c:pt idx="583">
                  <c:v>58306.8596305448</c:v>
                </c:pt>
                <c:pt idx="584">
                  <c:v>58406.8713966349</c:v>
                </c:pt>
                <c:pt idx="585">
                  <c:v>58506.883162725</c:v>
                </c:pt>
                <c:pt idx="586">
                  <c:v>58606.8949288152</c:v>
                </c:pt>
                <c:pt idx="587">
                  <c:v>58706.9066949053</c:v>
                </c:pt>
                <c:pt idx="588">
                  <c:v>58806.9184609954</c:v>
                </c:pt>
                <c:pt idx="589">
                  <c:v>58906.9302270855</c:v>
                </c:pt>
                <c:pt idx="590">
                  <c:v>59006.9419931757</c:v>
                </c:pt>
                <c:pt idx="591">
                  <c:v>59106.9537592658</c:v>
                </c:pt>
                <c:pt idx="592">
                  <c:v>59206.9655253559</c:v>
                </c:pt>
                <c:pt idx="593">
                  <c:v>59306.9772914461</c:v>
                </c:pt>
                <c:pt idx="594">
                  <c:v>59406.9890575362</c:v>
                </c:pt>
                <c:pt idx="595">
                  <c:v>59507.0008236263</c:v>
                </c:pt>
                <c:pt idx="596">
                  <c:v>59607.0125897164</c:v>
                </c:pt>
                <c:pt idx="597">
                  <c:v>59707.0243558066</c:v>
                </c:pt>
                <c:pt idx="598">
                  <c:v>59807.0361218967</c:v>
                </c:pt>
                <c:pt idx="599">
                  <c:v>59907.0478879868</c:v>
                </c:pt>
                <c:pt idx="600">
                  <c:v>60007.059654077</c:v>
                </c:pt>
                <c:pt idx="601">
                  <c:v>60107.0714201671</c:v>
                </c:pt>
                <c:pt idx="602">
                  <c:v>60207.0831862572</c:v>
                </c:pt>
                <c:pt idx="603">
                  <c:v>60307.0949523473</c:v>
                </c:pt>
                <c:pt idx="604">
                  <c:v>60407.1067184375</c:v>
                </c:pt>
                <c:pt idx="605">
                  <c:v>60507.1184845276</c:v>
                </c:pt>
                <c:pt idx="606">
                  <c:v>60607.1302506177</c:v>
                </c:pt>
                <c:pt idx="607">
                  <c:v>60707.1420167079</c:v>
                </c:pt>
                <c:pt idx="608">
                  <c:v>60807.153782798</c:v>
                </c:pt>
                <c:pt idx="609">
                  <c:v>60907.1655488881</c:v>
                </c:pt>
                <c:pt idx="610">
                  <c:v>61007.1773149782</c:v>
                </c:pt>
                <c:pt idx="611">
                  <c:v>61107.1890810684</c:v>
                </c:pt>
                <c:pt idx="612">
                  <c:v>61207.2008471585</c:v>
                </c:pt>
                <c:pt idx="613">
                  <c:v>61307.2126132486</c:v>
                </c:pt>
                <c:pt idx="614">
                  <c:v>61407.2243793388</c:v>
                </c:pt>
                <c:pt idx="615">
                  <c:v>61507.2361454289</c:v>
                </c:pt>
                <c:pt idx="616">
                  <c:v>61607.247911519</c:v>
                </c:pt>
                <c:pt idx="617">
                  <c:v>61707.2596776091</c:v>
                </c:pt>
                <c:pt idx="618">
                  <c:v>61807.2714436993</c:v>
                </c:pt>
                <c:pt idx="619">
                  <c:v>61907.2832097894</c:v>
                </c:pt>
                <c:pt idx="620">
                  <c:v>62007.2949758795</c:v>
                </c:pt>
                <c:pt idx="621">
                  <c:v>62107.3067419697</c:v>
                </c:pt>
                <c:pt idx="622">
                  <c:v>62207.3185080598</c:v>
                </c:pt>
                <c:pt idx="623">
                  <c:v>62307.3302741499</c:v>
                </c:pt>
                <c:pt idx="624">
                  <c:v>62407.34204024</c:v>
                </c:pt>
                <c:pt idx="625">
                  <c:v>62507.3538063302</c:v>
                </c:pt>
                <c:pt idx="626">
                  <c:v>62607.3655724203</c:v>
                </c:pt>
                <c:pt idx="627">
                  <c:v>62707.3773385104</c:v>
                </c:pt>
                <c:pt idx="628">
                  <c:v>62807.3891046005</c:v>
                </c:pt>
                <c:pt idx="629">
                  <c:v>62907.4008706907</c:v>
                </c:pt>
                <c:pt idx="630">
                  <c:v>63007.4126367808</c:v>
                </c:pt>
                <c:pt idx="631">
                  <c:v>63107.4244028709</c:v>
                </c:pt>
                <c:pt idx="632">
                  <c:v>63207.4361689611</c:v>
                </c:pt>
                <c:pt idx="633">
                  <c:v>63307.4479350512</c:v>
                </c:pt>
                <c:pt idx="634">
                  <c:v>63407.4597011413</c:v>
                </c:pt>
                <c:pt idx="635">
                  <c:v>63507.4714672314</c:v>
                </c:pt>
                <c:pt idx="636">
                  <c:v>63607.4832333216</c:v>
                </c:pt>
                <c:pt idx="637">
                  <c:v>63707.4949994117</c:v>
                </c:pt>
                <c:pt idx="638">
                  <c:v>63807.5067655018</c:v>
                </c:pt>
                <c:pt idx="639">
                  <c:v>63907.518531592</c:v>
                </c:pt>
                <c:pt idx="640">
                  <c:v>64007.5302976821</c:v>
                </c:pt>
                <c:pt idx="641">
                  <c:v>64107.5420637722</c:v>
                </c:pt>
                <c:pt idx="642">
                  <c:v>64207.5538298623</c:v>
                </c:pt>
                <c:pt idx="643">
                  <c:v>64307.5655959525</c:v>
                </c:pt>
                <c:pt idx="644">
                  <c:v>64407.5773620426</c:v>
                </c:pt>
                <c:pt idx="645">
                  <c:v>64507.5891281327</c:v>
                </c:pt>
                <c:pt idx="646">
                  <c:v>64607.6008942229</c:v>
                </c:pt>
                <c:pt idx="647">
                  <c:v>64707.612660313</c:v>
                </c:pt>
                <c:pt idx="648">
                  <c:v>64807.6244264031</c:v>
                </c:pt>
                <c:pt idx="649">
                  <c:v>64907.6361924932</c:v>
                </c:pt>
                <c:pt idx="650">
                  <c:v>65007.6479585834</c:v>
                </c:pt>
                <c:pt idx="651">
                  <c:v>65107.6597246735</c:v>
                </c:pt>
                <c:pt idx="652">
                  <c:v>65207.6714907636</c:v>
                </c:pt>
                <c:pt idx="653">
                  <c:v>65307.6832568538</c:v>
                </c:pt>
                <c:pt idx="654">
                  <c:v>65407.6950229439</c:v>
                </c:pt>
                <c:pt idx="655">
                  <c:v>65507.706789034</c:v>
                </c:pt>
                <c:pt idx="656">
                  <c:v>65607.7185551241</c:v>
                </c:pt>
                <c:pt idx="657">
                  <c:v>65707.7303212143</c:v>
                </c:pt>
                <c:pt idx="658">
                  <c:v>65807.7420873044</c:v>
                </c:pt>
                <c:pt idx="659">
                  <c:v>65907.7538533945</c:v>
                </c:pt>
                <c:pt idx="660">
                  <c:v>66007.7656194847</c:v>
                </c:pt>
                <c:pt idx="661">
                  <c:v>66107.7773855748</c:v>
                </c:pt>
                <c:pt idx="662">
                  <c:v>66207.7891516649</c:v>
                </c:pt>
                <c:pt idx="663">
                  <c:v>66307.800917755</c:v>
                </c:pt>
                <c:pt idx="664">
                  <c:v>66407.8126838452</c:v>
                </c:pt>
                <c:pt idx="665">
                  <c:v>66507.8244499353</c:v>
                </c:pt>
                <c:pt idx="666">
                  <c:v>66607.8362160254</c:v>
                </c:pt>
                <c:pt idx="667">
                  <c:v>66707.8479821156</c:v>
                </c:pt>
                <c:pt idx="668">
                  <c:v>66807.8597482057</c:v>
                </c:pt>
                <c:pt idx="669">
                  <c:v>66907.8715142958</c:v>
                </c:pt>
                <c:pt idx="670">
                  <c:v>67007.8832803859</c:v>
                </c:pt>
                <c:pt idx="671">
                  <c:v>67107.8950464761</c:v>
                </c:pt>
                <c:pt idx="672">
                  <c:v>67207.9068125662</c:v>
                </c:pt>
                <c:pt idx="673">
                  <c:v>67307.9185786563</c:v>
                </c:pt>
                <c:pt idx="674">
                  <c:v>67407.9303447465</c:v>
                </c:pt>
                <c:pt idx="675">
                  <c:v>67507.9421108366</c:v>
                </c:pt>
                <c:pt idx="676">
                  <c:v>67607.9538769267</c:v>
                </c:pt>
                <c:pt idx="677">
                  <c:v>67707.9656430168</c:v>
                </c:pt>
                <c:pt idx="678">
                  <c:v>67807.977409107</c:v>
                </c:pt>
                <c:pt idx="679">
                  <c:v>67907.9891751971</c:v>
                </c:pt>
                <c:pt idx="680">
                  <c:v>68008.0009412872</c:v>
                </c:pt>
                <c:pt idx="681">
                  <c:v>68108.0127073773</c:v>
                </c:pt>
                <c:pt idx="682">
                  <c:v>68208.0244734675</c:v>
                </c:pt>
                <c:pt idx="683">
                  <c:v>68308.0362395576</c:v>
                </c:pt>
                <c:pt idx="684">
                  <c:v>68408.0480056477</c:v>
                </c:pt>
                <c:pt idx="685">
                  <c:v>68508.0597717379</c:v>
                </c:pt>
                <c:pt idx="686">
                  <c:v>68608.071537828</c:v>
                </c:pt>
                <c:pt idx="687">
                  <c:v>68708.0833039181</c:v>
                </c:pt>
                <c:pt idx="688">
                  <c:v>68808.0950700082</c:v>
                </c:pt>
                <c:pt idx="689">
                  <c:v>68908.1068360984</c:v>
                </c:pt>
                <c:pt idx="690">
                  <c:v>69008.1186021885</c:v>
                </c:pt>
                <c:pt idx="691">
                  <c:v>69108.1303682786</c:v>
                </c:pt>
                <c:pt idx="692">
                  <c:v>69208.1421343688</c:v>
                </c:pt>
                <c:pt idx="693">
                  <c:v>69308.1539004589</c:v>
                </c:pt>
                <c:pt idx="694">
                  <c:v>69408.165666549</c:v>
                </c:pt>
                <c:pt idx="695">
                  <c:v>69508.1774326391</c:v>
                </c:pt>
                <c:pt idx="696">
                  <c:v>69608.1891987293</c:v>
                </c:pt>
                <c:pt idx="697">
                  <c:v>69708.2009648194</c:v>
                </c:pt>
                <c:pt idx="698">
                  <c:v>69808.2127309095</c:v>
                </c:pt>
                <c:pt idx="699">
                  <c:v>69908.2244969997</c:v>
                </c:pt>
                <c:pt idx="700">
                  <c:v>70008.2362630898</c:v>
                </c:pt>
                <c:pt idx="701">
                  <c:v>70108.2480291799</c:v>
                </c:pt>
                <c:pt idx="702">
                  <c:v>70208.25979527</c:v>
                </c:pt>
                <c:pt idx="703">
                  <c:v>70308.2715613602</c:v>
                </c:pt>
                <c:pt idx="704">
                  <c:v>70408.2833274503</c:v>
                </c:pt>
                <c:pt idx="705">
                  <c:v>70508.2950935404</c:v>
                </c:pt>
                <c:pt idx="706">
                  <c:v>70608.3068596305</c:v>
                </c:pt>
                <c:pt idx="707">
                  <c:v>70708.3186257207</c:v>
                </c:pt>
                <c:pt idx="708">
                  <c:v>70808.3303918108</c:v>
                </c:pt>
                <c:pt idx="709">
                  <c:v>70908.3421579009</c:v>
                </c:pt>
                <c:pt idx="710">
                  <c:v>71008.3539239911</c:v>
                </c:pt>
                <c:pt idx="711">
                  <c:v>71108.3656900812</c:v>
                </c:pt>
                <c:pt idx="712">
                  <c:v>71208.3774561713</c:v>
                </c:pt>
                <c:pt idx="713">
                  <c:v>71308.3892222614</c:v>
                </c:pt>
                <c:pt idx="714">
                  <c:v>71408.4009883516</c:v>
                </c:pt>
                <c:pt idx="715">
                  <c:v>71508.4127544417</c:v>
                </c:pt>
                <c:pt idx="716">
                  <c:v>71608.4245205318</c:v>
                </c:pt>
                <c:pt idx="717">
                  <c:v>71708.436286622</c:v>
                </c:pt>
                <c:pt idx="718">
                  <c:v>71808.4480527121</c:v>
                </c:pt>
                <c:pt idx="719">
                  <c:v>71908.4598188022</c:v>
                </c:pt>
                <c:pt idx="720">
                  <c:v>72008.4715848923</c:v>
                </c:pt>
                <c:pt idx="721">
                  <c:v>72108.4833509825</c:v>
                </c:pt>
                <c:pt idx="722">
                  <c:v>72208.4951170726</c:v>
                </c:pt>
                <c:pt idx="723">
                  <c:v>72308.5068831627</c:v>
                </c:pt>
                <c:pt idx="724">
                  <c:v>72408.5186492529</c:v>
                </c:pt>
                <c:pt idx="725">
                  <c:v>72508.530415343</c:v>
                </c:pt>
                <c:pt idx="726">
                  <c:v>72608.5421814331</c:v>
                </c:pt>
                <c:pt idx="727">
                  <c:v>72708.5539475232</c:v>
                </c:pt>
                <c:pt idx="728">
                  <c:v>72808.5657136134</c:v>
                </c:pt>
                <c:pt idx="729">
                  <c:v>72908.5774797035</c:v>
                </c:pt>
                <c:pt idx="730">
                  <c:v>73008.5892457936</c:v>
                </c:pt>
                <c:pt idx="731">
                  <c:v>73108.6010118838</c:v>
                </c:pt>
                <c:pt idx="732">
                  <c:v>73208.6127779739</c:v>
                </c:pt>
                <c:pt idx="733">
                  <c:v>73308.624544064</c:v>
                </c:pt>
                <c:pt idx="734">
                  <c:v>73408.6363101541</c:v>
                </c:pt>
                <c:pt idx="735">
                  <c:v>73508.6480762443</c:v>
                </c:pt>
                <c:pt idx="736">
                  <c:v>73608.6598423344</c:v>
                </c:pt>
                <c:pt idx="737">
                  <c:v>73708.6716084245</c:v>
                </c:pt>
                <c:pt idx="738">
                  <c:v>73808.6833745146</c:v>
                </c:pt>
                <c:pt idx="739">
                  <c:v>73908.6951406048</c:v>
                </c:pt>
                <c:pt idx="740">
                  <c:v>74008.7069066949</c:v>
                </c:pt>
                <c:pt idx="741">
                  <c:v>74108.718672785</c:v>
                </c:pt>
                <c:pt idx="742">
                  <c:v>74208.7304388752</c:v>
                </c:pt>
                <c:pt idx="743">
                  <c:v>74308.7422049653</c:v>
                </c:pt>
                <c:pt idx="744">
                  <c:v>74408.7539710554</c:v>
                </c:pt>
                <c:pt idx="745">
                  <c:v>74508.7657371455</c:v>
                </c:pt>
                <c:pt idx="746">
                  <c:v>74608.7775032357</c:v>
                </c:pt>
                <c:pt idx="747">
                  <c:v>74708.7892693258</c:v>
                </c:pt>
                <c:pt idx="748">
                  <c:v>74808.8010354159</c:v>
                </c:pt>
                <c:pt idx="749">
                  <c:v>74908.8128015061</c:v>
                </c:pt>
                <c:pt idx="750">
                  <c:v>75008.8245675962</c:v>
                </c:pt>
                <c:pt idx="751">
                  <c:v>75108.8363336863</c:v>
                </c:pt>
                <c:pt idx="752">
                  <c:v>75208.8480997764</c:v>
                </c:pt>
                <c:pt idx="753">
                  <c:v>75308.8598658666</c:v>
                </c:pt>
                <c:pt idx="754">
                  <c:v>75408.8716319567</c:v>
                </c:pt>
                <c:pt idx="755">
                  <c:v>75508.8833980468</c:v>
                </c:pt>
                <c:pt idx="756">
                  <c:v>75608.895164137</c:v>
                </c:pt>
                <c:pt idx="757">
                  <c:v>75708.9069302271</c:v>
                </c:pt>
                <c:pt idx="758">
                  <c:v>75808.9186963172</c:v>
                </c:pt>
                <c:pt idx="759">
                  <c:v>75908.9304624073</c:v>
                </c:pt>
                <c:pt idx="760">
                  <c:v>76008.9422284975</c:v>
                </c:pt>
                <c:pt idx="761">
                  <c:v>76108.9539945876</c:v>
                </c:pt>
                <c:pt idx="762">
                  <c:v>76208.9657606777</c:v>
                </c:pt>
                <c:pt idx="763">
                  <c:v>76308.9775267679</c:v>
                </c:pt>
                <c:pt idx="764">
                  <c:v>76408.989292858</c:v>
                </c:pt>
                <c:pt idx="765">
                  <c:v>76509.0010589481</c:v>
                </c:pt>
                <c:pt idx="766">
                  <c:v>76609.0128250382</c:v>
                </c:pt>
                <c:pt idx="767">
                  <c:v>76709.0245911284</c:v>
                </c:pt>
                <c:pt idx="768">
                  <c:v>76809.0363572185</c:v>
                </c:pt>
                <c:pt idx="769">
                  <c:v>76909.0481233086</c:v>
                </c:pt>
                <c:pt idx="770">
                  <c:v>77009.0598893988</c:v>
                </c:pt>
                <c:pt idx="771">
                  <c:v>77109.0716554889</c:v>
                </c:pt>
                <c:pt idx="772">
                  <c:v>77209.083421579</c:v>
                </c:pt>
                <c:pt idx="773">
                  <c:v>77309.0951876691</c:v>
                </c:pt>
                <c:pt idx="774">
                  <c:v>77409.1069537593</c:v>
                </c:pt>
                <c:pt idx="775">
                  <c:v>77509.1187198494</c:v>
                </c:pt>
                <c:pt idx="776">
                  <c:v>77609.1304859395</c:v>
                </c:pt>
                <c:pt idx="777">
                  <c:v>77709.1422520297</c:v>
                </c:pt>
                <c:pt idx="778">
                  <c:v>77809.1540181198</c:v>
                </c:pt>
                <c:pt idx="779">
                  <c:v>77909.1657842099</c:v>
                </c:pt>
                <c:pt idx="780">
                  <c:v>78009.1775503</c:v>
                </c:pt>
                <c:pt idx="781">
                  <c:v>78109.1893163902</c:v>
                </c:pt>
                <c:pt idx="782">
                  <c:v>78209.2010824803</c:v>
                </c:pt>
                <c:pt idx="783">
                  <c:v>78309.2128485704</c:v>
                </c:pt>
                <c:pt idx="784">
                  <c:v>78409.2246146606</c:v>
                </c:pt>
                <c:pt idx="785">
                  <c:v>78509.2363807507</c:v>
                </c:pt>
                <c:pt idx="786">
                  <c:v>78609.2481468408</c:v>
                </c:pt>
                <c:pt idx="787">
                  <c:v>78709.2599129309</c:v>
                </c:pt>
                <c:pt idx="788">
                  <c:v>78809.2716790211</c:v>
                </c:pt>
                <c:pt idx="789">
                  <c:v>78909.2834451112</c:v>
                </c:pt>
                <c:pt idx="790">
                  <c:v>79009.2952112013</c:v>
                </c:pt>
                <c:pt idx="791">
                  <c:v>79109.3069772915</c:v>
                </c:pt>
                <c:pt idx="792">
                  <c:v>79209.3187433816</c:v>
                </c:pt>
                <c:pt idx="793">
                  <c:v>79309.3305094717</c:v>
                </c:pt>
                <c:pt idx="794">
                  <c:v>79409.3422755618</c:v>
                </c:pt>
                <c:pt idx="795">
                  <c:v>79509.354041652</c:v>
                </c:pt>
                <c:pt idx="796">
                  <c:v>79609.3658077421</c:v>
                </c:pt>
                <c:pt idx="797">
                  <c:v>79709.3775738322</c:v>
                </c:pt>
                <c:pt idx="798">
                  <c:v>79809.3893399224</c:v>
                </c:pt>
                <c:pt idx="799">
                  <c:v>79909.4011060125</c:v>
                </c:pt>
                <c:pt idx="800">
                  <c:v>80009.4128721026</c:v>
                </c:pt>
                <c:pt idx="801">
                  <c:v>80109.4246381927</c:v>
                </c:pt>
                <c:pt idx="802">
                  <c:v>80209.4364042829</c:v>
                </c:pt>
                <c:pt idx="803">
                  <c:v>80309.448170373</c:v>
                </c:pt>
                <c:pt idx="804">
                  <c:v>80409.4599364631</c:v>
                </c:pt>
                <c:pt idx="805">
                  <c:v>80509.4717025532</c:v>
                </c:pt>
                <c:pt idx="806">
                  <c:v>80609.4834686434</c:v>
                </c:pt>
                <c:pt idx="807">
                  <c:v>80709.4952347335</c:v>
                </c:pt>
                <c:pt idx="808">
                  <c:v>80809.5070008236</c:v>
                </c:pt>
                <c:pt idx="809">
                  <c:v>80909.5187669138</c:v>
                </c:pt>
                <c:pt idx="810">
                  <c:v>81009.5305330039</c:v>
                </c:pt>
                <c:pt idx="811">
                  <c:v>81109.542299094</c:v>
                </c:pt>
                <c:pt idx="812">
                  <c:v>81209.5540651841</c:v>
                </c:pt>
                <c:pt idx="813">
                  <c:v>81309.5658312743</c:v>
                </c:pt>
                <c:pt idx="814">
                  <c:v>81409.5775973644</c:v>
                </c:pt>
                <c:pt idx="815">
                  <c:v>81509.5893634545</c:v>
                </c:pt>
                <c:pt idx="816">
                  <c:v>81609.6011295447</c:v>
                </c:pt>
                <c:pt idx="817">
                  <c:v>81709.6128956348</c:v>
                </c:pt>
                <c:pt idx="818">
                  <c:v>81809.6246617249</c:v>
                </c:pt>
                <c:pt idx="819">
                  <c:v>81909.636427815</c:v>
                </c:pt>
                <c:pt idx="820">
                  <c:v>82009.6481939052</c:v>
                </c:pt>
                <c:pt idx="821">
                  <c:v>82109.6599599953</c:v>
                </c:pt>
                <c:pt idx="822">
                  <c:v>82209.6717260854</c:v>
                </c:pt>
                <c:pt idx="823">
                  <c:v>82309.6834921756</c:v>
                </c:pt>
                <c:pt idx="824">
                  <c:v>82409.6952582657</c:v>
                </c:pt>
                <c:pt idx="825">
                  <c:v>82509.7070243558</c:v>
                </c:pt>
                <c:pt idx="826">
                  <c:v>82609.7187904459</c:v>
                </c:pt>
                <c:pt idx="827">
                  <c:v>82709.7305565361</c:v>
                </c:pt>
                <c:pt idx="828">
                  <c:v>82809.7423226262</c:v>
                </c:pt>
                <c:pt idx="829">
                  <c:v>82909.7540887163</c:v>
                </c:pt>
                <c:pt idx="830">
                  <c:v>83009.7658548065</c:v>
                </c:pt>
                <c:pt idx="831">
                  <c:v>83109.7776208966</c:v>
                </c:pt>
                <c:pt idx="832">
                  <c:v>83209.7893869867</c:v>
                </c:pt>
                <c:pt idx="833">
                  <c:v>83309.8011530768</c:v>
                </c:pt>
                <c:pt idx="834">
                  <c:v>83409.812919167</c:v>
                </c:pt>
                <c:pt idx="835">
                  <c:v>83509.8246852571</c:v>
                </c:pt>
                <c:pt idx="836">
                  <c:v>83609.8364513472</c:v>
                </c:pt>
                <c:pt idx="837">
                  <c:v>83709.8482174374</c:v>
                </c:pt>
                <c:pt idx="838">
                  <c:v>83809.8599835275</c:v>
                </c:pt>
                <c:pt idx="839">
                  <c:v>83909.8717496176</c:v>
                </c:pt>
                <c:pt idx="840">
                  <c:v>84009.8835157077</c:v>
                </c:pt>
                <c:pt idx="841">
                  <c:v>84109.8952817979</c:v>
                </c:pt>
                <c:pt idx="842">
                  <c:v>84209.907047888</c:v>
                </c:pt>
                <c:pt idx="843">
                  <c:v>84309.9188139781</c:v>
                </c:pt>
                <c:pt idx="844">
                  <c:v>84409.9305800683</c:v>
                </c:pt>
                <c:pt idx="845">
                  <c:v>84509.9423461584</c:v>
                </c:pt>
                <c:pt idx="846">
                  <c:v>84609.9541122485</c:v>
                </c:pt>
                <c:pt idx="847">
                  <c:v>84709.9658783386</c:v>
                </c:pt>
                <c:pt idx="848">
                  <c:v>84809.9776444288</c:v>
                </c:pt>
                <c:pt idx="849">
                  <c:v>84909.9894105189</c:v>
                </c:pt>
                <c:pt idx="850">
                  <c:v>85010.001176609</c:v>
                </c:pt>
                <c:pt idx="851">
                  <c:v>85110.0129426992</c:v>
                </c:pt>
                <c:pt idx="852">
                  <c:v>85210.0247087893</c:v>
                </c:pt>
                <c:pt idx="853">
                  <c:v>85310.0364748794</c:v>
                </c:pt>
                <c:pt idx="854">
                  <c:v>85410.0482409695</c:v>
                </c:pt>
                <c:pt idx="855">
                  <c:v>85510.0600070597</c:v>
                </c:pt>
                <c:pt idx="856">
                  <c:v>85610.0717731498</c:v>
                </c:pt>
                <c:pt idx="857">
                  <c:v>85710.0835392399</c:v>
                </c:pt>
                <c:pt idx="858">
                  <c:v>85810.09530533</c:v>
                </c:pt>
                <c:pt idx="859">
                  <c:v>85910.1070714202</c:v>
                </c:pt>
                <c:pt idx="860">
                  <c:v>86010.1188375103</c:v>
                </c:pt>
                <c:pt idx="861">
                  <c:v>86110.1306036004</c:v>
                </c:pt>
                <c:pt idx="862">
                  <c:v>86210.1423696906</c:v>
                </c:pt>
                <c:pt idx="863">
                  <c:v>86310.1541357807</c:v>
                </c:pt>
                <c:pt idx="864">
                  <c:v>86410.1659018708</c:v>
                </c:pt>
                <c:pt idx="865">
                  <c:v>86510.1776679609</c:v>
                </c:pt>
                <c:pt idx="866">
                  <c:v>86610.1894340511</c:v>
                </c:pt>
                <c:pt idx="867">
                  <c:v>86710.2012001412</c:v>
                </c:pt>
                <c:pt idx="868">
                  <c:v>86810.2129662313</c:v>
                </c:pt>
                <c:pt idx="869">
                  <c:v>86910.2247323215</c:v>
                </c:pt>
                <c:pt idx="870">
                  <c:v>87010.2364984116</c:v>
                </c:pt>
                <c:pt idx="871">
                  <c:v>87110.2482645017</c:v>
                </c:pt>
                <c:pt idx="872">
                  <c:v>87210.2600305918</c:v>
                </c:pt>
                <c:pt idx="873">
                  <c:v>87310.271796682</c:v>
                </c:pt>
                <c:pt idx="874">
                  <c:v>87410.2835627721</c:v>
                </c:pt>
                <c:pt idx="875">
                  <c:v>87510.2953288622</c:v>
                </c:pt>
                <c:pt idx="876">
                  <c:v>87610.3070949524</c:v>
                </c:pt>
                <c:pt idx="877">
                  <c:v>87710.3188610425</c:v>
                </c:pt>
                <c:pt idx="878">
                  <c:v>87810.3306271326</c:v>
                </c:pt>
                <c:pt idx="879">
                  <c:v>87910.3423932227</c:v>
                </c:pt>
                <c:pt idx="880">
                  <c:v>88010.3541593129</c:v>
                </c:pt>
                <c:pt idx="881">
                  <c:v>88110.365925403</c:v>
                </c:pt>
                <c:pt idx="882">
                  <c:v>88210.3776914931</c:v>
                </c:pt>
                <c:pt idx="883">
                  <c:v>88310.3894575833</c:v>
                </c:pt>
                <c:pt idx="884">
                  <c:v>88410.4012236734</c:v>
                </c:pt>
                <c:pt idx="885">
                  <c:v>88510.4129897635</c:v>
                </c:pt>
                <c:pt idx="886">
                  <c:v>88610.4247558536</c:v>
                </c:pt>
                <c:pt idx="887">
                  <c:v>88710.4365219438</c:v>
                </c:pt>
                <c:pt idx="888">
                  <c:v>88810.4482880339</c:v>
                </c:pt>
                <c:pt idx="889">
                  <c:v>88910.460054124</c:v>
                </c:pt>
                <c:pt idx="890">
                  <c:v>89010.4718202141</c:v>
                </c:pt>
                <c:pt idx="891">
                  <c:v>89110.4835863043</c:v>
                </c:pt>
                <c:pt idx="892">
                  <c:v>89210.4953523944</c:v>
                </c:pt>
                <c:pt idx="893">
                  <c:v>89310.5071184845</c:v>
                </c:pt>
                <c:pt idx="894">
                  <c:v>89410.5188845747</c:v>
                </c:pt>
                <c:pt idx="895">
                  <c:v>89510.5306506648</c:v>
                </c:pt>
                <c:pt idx="896">
                  <c:v>89610.5424167549</c:v>
                </c:pt>
                <c:pt idx="897">
                  <c:v>89710.554182845</c:v>
                </c:pt>
                <c:pt idx="898">
                  <c:v>89810.5659489352</c:v>
                </c:pt>
                <c:pt idx="899">
                  <c:v>89910.5777150253</c:v>
                </c:pt>
                <c:pt idx="900">
                  <c:v>90010.5894811154</c:v>
                </c:pt>
                <c:pt idx="901">
                  <c:v>90110.6012472056</c:v>
                </c:pt>
                <c:pt idx="902">
                  <c:v>90210.6130132957</c:v>
                </c:pt>
                <c:pt idx="903">
                  <c:v>90310.6247793858</c:v>
                </c:pt>
                <c:pt idx="904">
                  <c:v>90410.6365454759</c:v>
                </c:pt>
                <c:pt idx="905">
                  <c:v>90510.6483115661</c:v>
                </c:pt>
                <c:pt idx="906">
                  <c:v>90610.6600776562</c:v>
                </c:pt>
                <c:pt idx="907">
                  <c:v>90710.6718437463</c:v>
                </c:pt>
                <c:pt idx="908">
                  <c:v>90810.6836098365</c:v>
                </c:pt>
                <c:pt idx="909">
                  <c:v>90910.6953759266</c:v>
                </c:pt>
                <c:pt idx="910">
                  <c:v>91010.7071420167</c:v>
                </c:pt>
                <c:pt idx="911">
                  <c:v>91110.7189081068</c:v>
                </c:pt>
                <c:pt idx="912">
                  <c:v>91210.730674197</c:v>
                </c:pt>
                <c:pt idx="913">
                  <c:v>91310.7424402871</c:v>
                </c:pt>
                <c:pt idx="914">
                  <c:v>91410.7542063772</c:v>
                </c:pt>
                <c:pt idx="915">
                  <c:v>91510.7659724673</c:v>
                </c:pt>
                <c:pt idx="916">
                  <c:v>91610.7777385575</c:v>
                </c:pt>
                <c:pt idx="917">
                  <c:v>91710.7895046476</c:v>
                </c:pt>
                <c:pt idx="918">
                  <c:v>91810.8012707377</c:v>
                </c:pt>
                <c:pt idx="919">
                  <c:v>91910.8130368279</c:v>
                </c:pt>
                <c:pt idx="920">
                  <c:v>92010.824802918</c:v>
                </c:pt>
                <c:pt idx="921">
                  <c:v>92110.8365690081</c:v>
                </c:pt>
                <c:pt idx="922">
                  <c:v>92210.8483350982</c:v>
                </c:pt>
                <c:pt idx="923">
                  <c:v>92310.8601011884</c:v>
                </c:pt>
                <c:pt idx="924">
                  <c:v>92410.8718672785</c:v>
                </c:pt>
                <c:pt idx="925">
                  <c:v>92510.8836333686</c:v>
                </c:pt>
                <c:pt idx="926">
                  <c:v>92610.8953994588</c:v>
                </c:pt>
                <c:pt idx="927">
                  <c:v>92710.9071655489</c:v>
                </c:pt>
                <c:pt idx="928">
                  <c:v>92810.918931639</c:v>
                </c:pt>
                <c:pt idx="929">
                  <c:v>92910.9306977291</c:v>
                </c:pt>
                <c:pt idx="930">
                  <c:v>93010.9424638193</c:v>
                </c:pt>
                <c:pt idx="931">
                  <c:v>93110.9542299094</c:v>
                </c:pt>
                <c:pt idx="932">
                  <c:v>93210.9659959995</c:v>
                </c:pt>
                <c:pt idx="933">
                  <c:v>93310.9777620897</c:v>
                </c:pt>
                <c:pt idx="934">
                  <c:v>93410.9895281798</c:v>
                </c:pt>
                <c:pt idx="935">
                  <c:v>93511.0012942699</c:v>
                </c:pt>
                <c:pt idx="936">
                  <c:v>93611.01306036</c:v>
                </c:pt>
                <c:pt idx="937">
                  <c:v>93711.0248264502</c:v>
                </c:pt>
                <c:pt idx="938">
                  <c:v>93811.0365925403</c:v>
                </c:pt>
                <c:pt idx="939">
                  <c:v>93911.0483586304</c:v>
                </c:pt>
                <c:pt idx="940">
                  <c:v>94011.0601247206</c:v>
                </c:pt>
                <c:pt idx="941">
                  <c:v>94111.0718908107</c:v>
                </c:pt>
                <c:pt idx="942">
                  <c:v>94211.0836569008</c:v>
                </c:pt>
                <c:pt idx="943">
                  <c:v>94311.0954229909</c:v>
                </c:pt>
                <c:pt idx="944">
                  <c:v>94411.1071890811</c:v>
                </c:pt>
                <c:pt idx="945">
                  <c:v>94511.1189551712</c:v>
                </c:pt>
                <c:pt idx="946">
                  <c:v>94611.1307212613</c:v>
                </c:pt>
                <c:pt idx="947">
                  <c:v>94711.1424873515</c:v>
                </c:pt>
                <c:pt idx="948">
                  <c:v>94811.1542534416</c:v>
                </c:pt>
                <c:pt idx="949">
                  <c:v>94911.1660195317</c:v>
                </c:pt>
                <c:pt idx="950">
                  <c:v>95011.1777856218</c:v>
                </c:pt>
                <c:pt idx="951">
                  <c:v>95111.189551712</c:v>
                </c:pt>
                <c:pt idx="952">
                  <c:v>95211.2013178021</c:v>
                </c:pt>
                <c:pt idx="953">
                  <c:v>95311.2130838922</c:v>
                </c:pt>
                <c:pt idx="954">
                  <c:v>95411.2248499824</c:v>
                </c:pt>
                <c:pt idx="955">
                  <c:v>95511.2366160725</c:v>
                </c:pt>
                <c:pt idx="956">
                  <c:v>95611.2483821626</c:v>
                </c:pt>
                <c:pt idx="957">
                  <c:v>95711.2601482527</c:v>
                </c:pt>
                <c:pt idx="958">
                  <c:v>95811.2719143429</c:v>
                </c:pt>
                <c:pt idx="959">
                  <c:v>95911.283680433</c:v>
                </c:pt>
                <c:pt idx="960">
                  <c:v>96011.2954465231</c:v>
                </c:pt>
                <c:pt idx="961">
                  <c:v>96111.3072126133</c:v>
                </c:pt>
                <c:pt idx="962">
                  <c:v>96211.3189787034</c:v>
                </c:pt>
                <c:pt idx="963">
                  <c:v>96311.3307447935</c:v>
                </c:pt>
                <c:pt idx="964">
                  <c:v>96411.3425108836</c:v>
                </c:pt>
                <c:pt idx="965">
                  <c:v>96511.3542769738</c:v>
                </c:pt>
                <c:pt idx="966">
                  <c:v>96611.3660430639</c:v>
                </c:pt>
                <c:pt idx="967">
                  <c:v>96711.377809154</c:v>
                </c:pt>
                <c:pt idx="968">
                  <c:v>96811.3895752442</c:v>
                </c:pt>
                <c:pt idx="969">
                  <c:v>96911.4013413343</c:v>
                </c:pt>
                <c:pt idx="970">
                  <c:v>97011.4131074244</c:v>
                </c:pt>
                <c:pt idx="971">
                  <c:v>97111.4248735145</c:v>
                </c:pt>
                <c:pt idx="972">
                  <c:v>97211.4366396047</c:v>
                </c:pt>
                <c:pt idx="973">
                  <c:v>97311.4484056948</c:v>
                </c:pt>
                <c:pt idx="974">
                  <c:v>97411.4601717849</c:v>
                </c:pt>
                <c:pt idx="975">
                  <c:v>97511.4719378751</c:v>
                </c:pt>
                <c:pt idx="976">
                  <c:v>97611.4837039652</c:v>
                </c:pt>
                <c:pt idx="977">
                  <c:v>97711.4954700553</c:v>
                </c:pt>
                <c:pt idx="978">
                  <c:v>97811.5072361454</c:v>
                </c:pt>
                <c:pt idx="979">
                  <c:v>97911.5190022356</c:v>
                </c:pt>
                <c:pt idx="980">
                  <c:v>98011.5307683257</c:v>
                </c:pt>
                <c:pt idx="981">
                  <c:v>98111.5425344158</c:v>
                </c:pt>
                <c:pt idx="982">
                  <c:v>98211.5543005059</c:v>
                </c:pt>
                <c:pt idx="983">
                  <c:v>98311.5660665961</c:v>
                </c:pt>
                <c:pt idx="984">
                  <c:v>98411.5778326862</c:v>
                </c:pt>
                <c:pt idx="985">
                  <c:v>98511.5895987763</c:v>
                </c:pt>
                <c:pt idx="986">
                  <c:v>98611.6013648665</c:v>
                </c:pt>
                <c:pt idx="987">
                  <c:v>98711.6131309566</c:v>
                </c:pt>
                <c:pt idx="988">
                  <c:v>98811.6248970467</c:v>
                </c:pt>
                <c:pt idx="989">
                  <c:v>98911.6366631368</c:v>
                </c:pt>
                <c:pt idx="990">
                  <c:v>99011.648429227</c:v>
                </c:pt>
                <c:pt idx="991">
                  <c:v>99111.6601953171</c:v>
                </c:pt>
                <c:pt idx="992">
                  <c:v>99211.6719614072</c:v>
                </c:pt>
                <c:pt idx="993">
                  <c:v>99311.6837274974</c:v>
                </c:pt>
                <c:pt idx="994">
                  <c:v>99411.6954935875</c:v>
                </c:pt>
                <c:pt idx="995">
                  <c:v>99511.7072596776</c:v>
                </c:pt>
                <c:pt idx="996">
                  <c:v>99611.7190257677</c:v>
                </c:pt>
                <c:pt idx="997">
                  <c:v>99711.7307918579</c:v>
                </c:pt>
                <c:pt idx="998">
                  <c:v>99811.742557948</c:v>
                </c:pt>
                <c:pt idx="999">
                  <c:v>99911.7543240381</c:v>
                </c:pt>
                <c:pt idx="1000">
                  <c:v>100011.766090128</c:v>
                </c:pt>
                <c:pt idx="1001">
                  <c:v>100111.777856218</c:v>
                </c:pt>
                <c:pt idx="1002">
                  <c:v>100211.789622309</c:v>
                </c:pt>
                <c:pt idx="1003">
                  <c:v>100311.801388399</c:v>
                </c:pt>
                <c:pt idx="1004">
                  <c:v>100411.813154489</c:v>
                </c:pt>
                <c:pt idx="1005">
                  <c:v>100511.824920579</c:v>
                </c:pt>
                <c:pt idx="1006">
                  <c:v>100611.836686669</c:v>
                </c:pt>
                <c:pt idx="1007">
                  <c:v>100711.848452759</c:v>
                </c:pt>
                <c:pt idx="1008">
                  <c:v>100811.860218849</c:v>
                </c:pt>
                <c:pt idx="1009">
                  <c:v>100911.871984939</c:v>
                </c:pt>
                <c:pt idx="1010">
                  <c:v>101011.88375103</c:v>
                </c:pt>
                <c:pt idx="1011">
                  <c:v>101111.89551712</c:v>
                </c:pt>
                <c:pt idx="1012">
                  <c:v>101211.90728321</c:v>
                </c:pt>
                <c:pt idx="1013">
                  <c:v>101311.9190493</c:v>
                </c:pt>
                <c:pt idx="1014">
                  <c:v>101411.93081539</c:v>
                </c:pt>
                <c:pt idx="1015">
                  <c:v>101511.94258148</c:v>
                </c:pt>
                <c:pt idx="1016">
                  <c:v>101611.95434757</c:v>
                </c:pt>
                <c:pt idx="1017">
                  <c:v>101711.96611366</c:v>
                </c:pt>
                <c:pt idx="1018">
                  <c:v>101811.977879751</c:v>
                </c:pt>
                <c:pt idx="1019">
                  <c:v>101911.989645841</c:v>
                </c:pt>
                <c:pt idx="1020">
                  <c:v>102012.001411931</c:v>
                </c:pt>
                <c:pt idx="1021">
                  <c:v>102112.013178021</c:v>
                </c:pt>
                <c:pt idx="1022">
                  <c:v>102212.024944111</c:v>
                </c:pt>
                <c:pt idx="1023">
                  <c:v>102312.036710201</c:v>
                </c:pt>
                <c:pt idx="1024">
                  <c:v>102412.048476291</c:v>
                </c:pt>
                <c:pt idx="1025">
                  <c:v>102512.060242382</c:v>
                </c:pt>
                <c:pt idx="1026">
                  <c:v>102612.072008472</c:v>
                </c:pt>
                <c:pt idx="1027">
                  <c:v>102712.083774562</c:v>
                </c:pt>
                <c:pt idx="1028">
                  <c:v>102812.095540652</c:v>
                </c:pt>
                <c:pt idx="1029">
                  <c:v>102912.107306742</c:v>
                </c:pt>
                <c:pt idx="1030">
                  <c:v>103012.119072832</c:v>
                </c:pt>
                <c:pt idx="1031">
                  <c:v>103112.130838922</c:v>
                </c:pt>
                <c:pt idx="1032">
                  <c:v>103212.142605012</c:v>
                </c:pt>
                <c:pt idx="1033">
                  <c:v>103312.154371103</c:v>
                </c:pt>
                <c:pt idx="1034">
                  <c:v>103412.166137193</c:v>
                </c:pt>
                <c:pt idx="1035">
                  <c:v>103512.177903283</c:v>
                </c:pt>
                <c:pt idx="1036">
                  <c:v>103612.189669373</c:v>
                </c:pt>
                <c:pt idx="1037">
                  <c:v>103712.201435463</c:v>
                </c:pt>
                <c:pt idx="1038">
                  <c:v>103812.213201553</c:v>
                </c:pt>
                <c:pt idx="1039">
                  <c:v>103912.224967643</c:v>
                </c:pt>
                <c:pt idx="1040">
                  <c:v>104012.236733733</c:v>
                </c:pt>
                <c:pt idx="1041">
                  <c:v>104112.248499824</c:v>
                </c:pt>
                <c:pt idx="1042">
                  <c:v>104212.260265914</c:v>
                </c:pt>
                <c:pt idx="1043">
                  <c:v>104312.272032004</c:v>
                </c:pt>
                <c:pt idx="1044">
                  <c:v>104412.283798094</c:v>
                </c:pt>
                <c:pt idx="1045">
                  <c:v>104512.295564184</c:v>
                </c:pt>
                <c:pt idx="1046">
                  <c:v>104612.307330274</c:v>
                </c:pt>
                <c:pt idx="1047">
                  <c:v>104712.319096364</c:v>
                </c:pt>
                <c:pt idx="1048">
                  <c:v>104812.330862454</c:v>
                </c:pt>
                <c:pt idx="1049">
                  <c:v>104912.342628545</c:v>
                </c:pt>
                <c:pt idx="1050">
                  <c:v>105012.354394635</c:v>
                </c:pt>
                <c:pt idx="1051">
                  <c:v>105112.366160725</c:v>
                </c:pt>
                <c:pt idx="1052">
                  <c:v>105212.377926815</c:v>
                </c:pt>
                <c:pt idx="1053">
                  <c:v>105312.389692905</c:v>
                </c:pt>
                <c:pt idx="1054">
                  <c:v>105412.401458995</c:v>
                </c:pt>
                <c:pt idx="1055">
                  <c:v>105512.413225085</c:v>
                </c:pt>
                <c:pt idx="1056">
                  <c:v>105612.424991175</c:v>
                </c:pt>
                <c:pt idx="1057">
                  <c:v>105712.436757266</c:v>
                </c:pt>
                <c:pt idx="1058">
                  <c:v>105812.448523356</c:v>
                </c:pt>
                <c:pt idx="1059">
                  <c:v>105912.460289446</c:v>
                </c:pt>
                <c:pt idx="1060">
                  <c:v>106012.472055536</c:v>
                </c:pt>
                <c:pt idx="1061">
                  <c:v>106112.483821626</c:v>
                </c:pt>
                <c:pt idx="1062">
                  <c:v>106212.495587716</c:v>
                </c:pt>
                <c:pt idx="1063">
                  <c:v>106312.507353806</c:v>
                </c:pt>
                <c:pt idx="1064">
                  <c:v>106412.519119897</c:v>
                </c:pt>
                <c:pt idx="1065">
                  <c:v>106512.530885987</c:v>
                </c:pt>
                <c:pt idx="1066">
                  <c:v>106612.542652077</c:v>
                </c:pt>
                <c:pt idx="1067">
                  <c:v>106712.554418167</c:v>
                </c:pt>
                <c:pt idx="1068">
                  <c:v>106812.566184257</c:v>
                </c:pt>
                <c:pt idx="1069">
                  <c:v>106912.577950347</c:v>
                </c:pt>
                <c:pt idx="1070">
                  <c:v>107012.589716437</c:v>
                </c:pt>
                <c:pt idx="1071">
                  <c:v>107112.601482527</c:v>
                </c:pt>
                <c:pt idx="1072">
                  <c:v>107212.613248618</c:v>
                </c:pt>
                <c:pt idx="1073">
                  <c:v>107312.625014708</c:v>
                </c:pt>
                <c:pt idx="1074">
                  <c:v>107412.636780798</c:v>
                </c:pt>
                <c:pt idx="1075">
                  <c:v>107512.648546888</c:v>
                </c:pt>
                <c:pt idx="1076">
                  <c:v>107612.660312978</c:v>
                </c:pt>
                <c:pt idx="1077">
                  <c:v>107712.672079068</c:v>
                </c:pt>
                <c:pt idx="1078">
                  <c:v>107812.683845158</c:v>
                </c:pt>
                <c:pt idx="1079">
                  <c:v>107912.695611248</c:v>
                </c:pt>
                <c:pt idx="1080">
                  <c:v>108012.707377339</c:v>
                </c:pt>
                <c:pt idx="1081">
                  <c:v>108112.719143429</c:v>
                </c:pt>
                <c:pt idx="1082">
                  <c:v>108212.730909519</c:v>
                </c:pt>
                <c:pt idx="1083">
                  <c:v>108312.742675609</c:v>
                </c:pt>
                <c:pt idx="1084">
                  <c:v>108412.754441699</c:v>
                </c:pt>
                <c:pt idx="1085">
                  <c:v>108512.766207789</c:v>
                </c:pt>
                <c:pt idx="1086">
                  <c:v>108612.777973879</c:v>
                </c:pt>
                <c:pt idx="1087">
                  <c:v>108712.789739969</c:v>
                </c:pt>
                <c:pt idx="1088">
                  <c:v>108812.80150606</c:v>
                </c:pt>
                <c:pt idx="1089">
                  <c:v>108912.81327215</c:v>
                </c:pt>
                <c:pt idx="1090">
                  <c:v>109012.82503824</c:v>
                </c:pt>
                <c:pt idx="1091">
                  <c:v>109112.83680433</c:v>
                </c:pt>
                <c:pt idx="1092">
                  <c:v>109212.84857042</c:v>
                </c:pt>
                <c:pt idx="1093">
                  <c:v>109312.86033651</c:v>
                </c:pt>
                <c:pt idx="1094">
                  <c:v>109412.8721026</c:v>
                </c:pt>
                <c:pt idx="1095">
                  <c:v>109512.88386869</c:v>
                </c:pt>
                <c:pt idx="1096">
                  <c:v>109612.895634781</c:v>
                </c:pt>
                <c:pt idx="1097">
                  <c:v>109712.907400871</c:v>
                </c:pt>
                <c:pt idx="1098">
                  <c:v>109812.919166961</c:v>
                </c:pt>
                <c:pt idx="1099">
                  <c:v>109912.930933051</c:v>
                </c:pt>
                <c:pt idx="1100">
                  <c:v>110012.942699141</c:v>
                </c:pt>
                <c:pt idx="1101">
                  <c:v>110112.954465231</c:v>
                </c:pt>
                <c:pt idx="1102">
                  <c:v>110212.966231321</c:v>
                </c:pt>
                <c:pt idx="1103">
                  <c:v>110312.977997412</c:v>
                </c:pt>
                <c:pt idx="1104">
                  <c:v>110412.989763502</c:v>
                </c:pt>
                <c:pt idx="1105">
                  <c:v>110513.001529592</c:v>
                </c:pt>
                <c:pt idx="1106">
                  <c:v>110613.013295682</c:v>
                </c:pt>
                <c:pt idx="1107">
                  <c:v>110713.025061772</c:v>
                </c:pt>
                <c:pt idx="1108">
                  <c:v>110813.036827862</c:v>
                </c:pt>
                <c:pt idx="1109">
                  <c:v>110913.048593952</c:v>
                </c:pt>
                <c:pt idx="1110">
                  <c:v>111013.060360042</c:v>
                </c:pt>
                <c:pt idx="1111">
                  <c:v>111113.072126133</c:v>
                </c:pt>
                <c:pt idx="1112">
                  <c:v>111213.083892223</c:v>
                </c:pt>
                <c:pt idx="1113">
                  <c:v>111313.095658313</c:v>
                </c:pt>
                <c:pt idx="1114">
                  <c:v>111413.107424403</c:v>
                </c:pt>
                <c:pt idx="1115">
                  <c:v>111513.119190493</c:v>
                </c:pt>
                <c:pt idx="1116">
                  <c:v>111613.130956583</c:v>
                </c:pt>
                <c:pt idx="1117">
                  <c:v>111713.142722673</c:v>
                </c:pt>
                <c:pt idx="1118">
                  <c:v>111813.154488763</c:v>
                </c:pt>
                <c:pt idx="1119">
                  <c:v>111913.166254854</c:v>
                </c:pt>
                <c:pt idx="1120">
                  <c:v>112013.178020944</c:v>
                </c:pt>
                <c:pt idx="1121">
                  <c:v>112113.189787034</c:v>
                </c:pt>
                <c:pt idx="1122">
                  <c:v>112213.201553124</c:v>
                </c:pt>
                <c:pt idx="1123">
                  <c:v>112313.213319214</c:v>
                </c:pt>
                <c:pt idx="1124">
                  <c:v>112413.225085304</c:v>
                </c:pt>
                <c:pt idx="1125">
                  <c:v>112513.236851394</c:v>
                </c:pt>
                <c:pt idx="1126">
                  <c:v>112613.248617484</c:v>
                </c:pt>
                <c:pt idx="1127">
                  <c:v>112713.260383575</c:v>
                </c:pt>
                <c:pt idx="1128">
                  <c:v>112813.272149665</c:v>
                </c:pt>
                <c:pt idx="1129">
                  <c:v>112913.283915755</c:v>
                </c:pt>
                <c:pt idx="1130">
                  <c:v>113013.295681845</c:v>
                </c:pt>
                <c:pt idx="1131">
                  <c:v>113113.307447935</c:v>
                </c:pt>
                <c:pt idx="1132">
                  <c:v>113213.319214025</c:v>
                </c:pt>
                <c:pt idx="1133">
                  <c:v>113313.330980115</c:v>
                </c:pt>
                <c:pt idx="1134">
                  <c:v>113413.342746205</c:v>
                </c:pt>
                <c:pt idx="1135">
                  <c:v>113513.354512296</c:v>
                </c:pt>
                <c:pt idx="1136">
                  <c:v>113613.366278386</c:v>
                </c:pt>
                <c:pt idx="1137">
                  <c:v>113713.378044476</c:v>
                </c:pt>
                <c:pt idx="1138">
                  <c:v>113813.389810566</c:v>
                </c:pt>
                <c:pt idx="1139">
                  <c:v>113913.401576656</c:v>
                </c:pt>
                <c:pt idx="1140">
                  <c:v>114013.413342746</c:v>
                </c:pt>
                <c:pt idx="1141">
                  <c:v>114113.425108836</c:v>
                </c:pt>
                <c:pt idx="1142">
                  <c:v>114213.436874927</c:v>
                </c:pt>
                <c:pt idx="1143">
                  <c:v>114313.448641017</c:v>
                </c:pt>
                <c:pt idx="1144">
                  <c:v>114413.460407107</c:v>
                </c:pt>
                <c:pt idx="1145">
                  <c:v>114513.472173197</c:v>
                </c:pt>
                <c:pt idx="1146">
                  <c:v>114613.483939287</c:v>
                </c:pt>
                <c:pt idx="1147">
                  <c:v>114713.495705377</c:v>
                </c:pt>
                <c:pt idx="1148">
                  <c:v>114813.507471467</c:v>
                </c:pt>
                <c:pt idx="1149">
                  <c:v>114913.519237557</c:v>
                </c:pt>
                <c:pt idx="1150">
                  <c:v>115013.531003648</c:v>
                </c:pt>
                <c:pt idx="1151">
                  <c:v>115113.542769738</c:v>
                </c:pt>
                <c:pt idx="1152">
                  <c:v>115213.554535828</c:v>
                </c:pt>
                <c:pt idx="1153">
                  <c:v>115313.566301918</c:v>
                </c:pt>
                <c:pt idx="1154">
                  <c:v>115413.578068008</c:v>
                </c:pt>
                <c:pt idx="1155">
                  <c:v>115513.589834098</c:v>
                </c:pt>
                <c:pt idx="1156">
                  <c:v>115613.601600188</c:v>
                </c:pt>
                <c:pt idx="1157">
                  <c:v>115713.613366278</c:v>
                </c:pt>
                <c:pt idx="1158">
                  <c:v>115813.625132369</c:v>
                </c:pt>
                <c:pt idx="1159">
                  <c:v>115913.636898459</c:v>
                </c:pt>
                <c:pt idx="1160">
                  <c:v>116013.648664549</c:v>
                </c:pt>
                <c:pt idx="1161">
                  <c:v>116113.660430639</c:v>
                </c:pt>
                <c:pt idx="1162">
                  <c:v>116213.672196729</c:v>
                </c:pt>
                <c:pt idx="1163">
                  <c:v>116313.683962819</c:v>
                </c:pt>
                <c:pt idx="1164">
                  <c:v>116413.695728909</c:v>
                </c:pt>
                <c:pt idx="1165">
                  <c:v>116513.707494999</c:v>
                </c:pt>
                <c:pt idx="1166">
                  <c:v>116613.71926109</c:v>
                </c:pt>
                <c:pt idx="1167">
                  <c:v>116713.73102718</c:v>
                </c:pt>
                <c:pt idx="1168">
                  <c:v>116813.74279327</c:v>
                </c:pt>
                <c:pt idx="1169">
                  <c:v>116913.75455936</c:v>
                </c:pt>
                <c:pt idx="1170">
                  <c:v>117013.76632545</c:v>
                </c:pt>
                <c:pt idx="1171">
                  <c:v>117113.77809154</c:v>
                </c:pt>
                <c:pt idx="1172">
                  <c:v>117213.78985763</c:v>
                </c:pt>
                <c:pt idx="1173">
                  <c:v>117313.80162372</c:v>
                </c:pt>
                <c:pt idx="1174">
                  <c:v>117413.813389811</c:v>
                </c:pt>
                <c:pt idx="1175">
                  <c:v>117513.825155901</c:v>
                </c:pt>
                <c:pt idx="1176">
                  <c:v>117613.836921991</c:v>
                </c:pt>
                <c:pt idx="1177">
                  <c:v>117713.848688081</c:v>
                </c:pt>
                <c:pt idx="1178">
                  <c:v>117813.860454171</c:v>
                </c:pt>
                <c:pt idx="1179">
                  <c:v>117913.872220261</c:v>
                </c:pt>
                <c:pt idx="1180">
                  <c:v>118013.883986351</c:v>
                </c:pt>
                <c:pt idx="1181">
                  <c:v>118113.895752442</c:v>
                </c:pt>
                <c:pt idx="1182">
                  <c:v>118213.907518532</c:v>
                </c:pt>
                <c:pt idx="1183">
                  <c:v>118313.919284622</c:v>
                </c:pt>
                <c:pt idx="1184">
                  <c:v>118413.931050712</c:v>
                </c:pt>
                <c:pt idx="1185">
                  <c:v>118513.942816802</c:v>
                </c:pt>
                <c:pt idx="1186">
                  <c:v>118613.954582892</c:v>
                </c:pt>
                <c:pt idx="1187">
                  <c:v>118713.966348982</c:v>
                </c:pt>
                <c:pt idx="1188">
                  <c:v>118813.978115072</c:v>
                </c:pt>
                <c:pt idx="1189">
                  <c:v>118913.989881163</c:v>
                </c:pt>
                <c:pt idx="1190">
                  <c:v>119014.001647253</c:v>
                </c:pt>
                <c:pt idx="1191">
                  <c:v>119114.013413343</c:v>
                </c:pt>
                <c:pt idx="1192">
                  <c:v>119214.025179433</c:v>
                </c:pt>
                <c:pt idx="1193">
                  <c:v>119314.036945523</c:v>
                </c:pt>
                <c:pt idx="1194">
                  <c:v>119414.048711613</c:v>
                </c:pt>
                <c:pt idx="1195">
                  <c:v>119514.060477703</c:v>
                </c:pt>
                <c:pt idx="1196">
                  <c:v>119614.072243793</c:v>
                </c:pt>
                <c:pt idx="1197">
                  <c:v>119714.084009884</c:v>
                </c:pt>
                <c:pt idx="1198">
                  <c:v>119814.095775974</c:v>
                </c:pt>
                <c:pt idx="1199">
                  <c:v>119914.107542064</c:v>
                </c:pt>
                <c:pt idx="1200">
                  <c:v>120014.119308154</c:v>
                </c:pt>
                <c:pt idx="1201">
                  <c:v>120114.131074244</c:v>
                </c:pt>
                <c:pt idx="1202">
                  <c:v>120214.142840334</c:v>
                </c:pt>
                <c:pt idx="1203">
                  <c:v>120314.154606424</c:v>
                </c:pt>
                <c:pt idx="1204">
                  <c:v>120414.166372514</c:v>
                </c:pt>
                <c:pt idx="1205">
                  <c:v>120514.178138605</c:v>
                </c:pt>
                <c:pt idx="1206">
                  <c:v>120614.189904695</c:v>
                </c:pt>
                <c:pt idx="1207">
                  <c:v>120714.201670785</c:v>
                </c:pt>
                <c:pt idx="1208">
                  <c:v>120814.213436875</c:v>
                </c:pt>
                <c:pt idx="1209">
                  <c:v>120914.225202965</c:v>
                </c:pt>
                <c:pt idx="1210">
                  <c:v>121014.236969055</c:v>
                </c:pt>
                <c:pt idx="1211">
                  <c:v>121114.248735145</c:v>
                </c:pt>
                <c:pt idx="1212">
                  <c:v>121214.260501235</c:v>
                </c:pt>
                <c:pt idx="1213">
                  <c:v>121314.272267326</c:v>
                </c:pt>
                <c:pt idx="1214">
                  <c:v>121414.284033416</c:v>
                </c:pt>
                <c:pt idx="1215">
                  <c:v>121514.295799506</c:v>
                </c:pt>
                <c:pt idx="1216">
                  <c:v>121614.307565596</c:v>
                </c:pt>
                <c:pt idx="1217">
                  <c:v>121714.319331686</c:v>
                </c:pt>
                <c:pt idx="1218">
                  <c:v>121814.331097776</c:v>
                </c:pt>
                <c:pt idx="1219">
                  <c:v>121914.342863866</c:v>
                </c:pt>
                <c:pt idx="1220">
                  <c:v>122014.354629957</c:v>
                </c:pt>
                <c:pt idx="1221">
                  <c:v>122114.366396047</c:v>
                </c:pt>
                <c:pt idx="1222">
                  <c:v>122214.378162137</c:v>
                </c:pt>
                <c:pt idx="1223">
                  <c:v>122314.389928227</c:v>
                </c:pt>
                <c:pt idx="1224">
                  <c:v>122414.401694317</c:v>
                </c:pt>
                <c:pt idx="1225">
                  <c:v>122514.413460407</c:v>
                </c:pt>
                <c:pt idx="1226">
                  <c:v>122614.425226497</c:v>
                </c:pt>
                <c:pt idx="1227">
                  <c:v>122714.436992587</c:v>
                </c:pt>
                <c:pt idx="1228">
                  <c:v>122814.448758678</c:v>
                </c:pt>
                <c:pt idx="1229">
                  <c:v>122914.460524768</c:v>
                </c:pt>
                <c:pt idx="1230">
                  <c:v>123014.472290858</c:v>
                </c:pt>
                <c:pt idx="1231">
                  <c:v>123114.484056948</c:v>
                </c:pt>
                <c:pt idx="1232">
                  <c:v>123214.495823038</c:v>
                </c:pt>
                <c:pt idx="1233">
                  <c:v>123314.507589128</c:v>
                </c:pt>
                <c:pt idx="1234">
                  <c:v>123414.519355218</c:v>
                </c:pt>
                <c:pt idx="1235">
                  <c:v>123514.531121308</c:v>
                </c:pt>
                <c:pt idx="1236">
                  <c:v>123614.542887399</c:v>
                </c:pt>
                <c:pt idx="1237">
                  <c:v>123714.554653489</c:v>
                </c:pt>
                <c:pt idx="1238">
                  <c:v>123814.566419579</c:v>
                </c:pt>
                <c:pt idx="1239">
                  <c:v>123914.578185669</c:v>
                </c:pt>
                <c:pt idx="1240">
                  <c:v>124014.589951759</c:v>
                </c:pt>
                <c:pt idx="1241">
                  <c:v>124114.601717849</c:v>
                </c:pt>
                <c:pt idx="1242">
                  <c:v>124214.613483939</c:v>
                </c:pt>
                <c:pt idx="1243">
                  <c:v>124314.625250029</c:v>
                </c:pt>
                <c:pt idx="1244">
                  <c:v>124414.63701612</c:v>
                </c:pt>
                <c:pt idx="1245">
                  <c:v>124514.64878221</c:v>
                </c:pt>
                <c:pt idx="1246">
                  <c:v>124614.6605483</c:v>
                </c:pt>
                <c:pt idx="1247">
                  <c:v>124714.67231439</c:v>
                </c:pt>
                <c:pt idx="1248">
                  <c:v>124814.68408048</c:v>
                </c:pt>
                <c:pt idx="1249">
                  <c:v>124914.69584657</c:v>
                </c:pt>
                <c:pt idx="1250">
                  <c:v>125014.70761266</c:v>
                </c:pt>
                <c:pt idx="1251">
                  <c:v>125114.71937875</c:v>
                </c:pt>
                <c:pt idx="1252">
                  <c:v>125214.731144841</c:v>
                </c:pt>
                <c:pt idx="1253">
                  <c:v>125314.742910931</c:v>
                </c:pt>
                <c:pt idx="1254">
                  <c:v>125414.754677021</c:v>
                </c:pt>
                <c:pt idx="1255">
                  <c:v>125514.766443111</c:v>
                </c:pt>
                <c:pt idx="1256">
                  <c:v>125614.778209201</c:v>
                </c:pt>
                <c:pt idx="1257">
                  <c:v>125714.789975291</c:v>
                </c:pt>
                <c:pt idx="1258">
                  <c:v>125814.801741381</c:v>
                </c:pt>
                <c:pt idx="1259">
                  <c:v>125914.813507472</c:v>
                </c:pt>
                <c:pt idx="1260">
                  <c:v>126014.825273562</c:v>
                </c:pt>
                <c:pt idx="1261">
                  <c:v>126114.837039652</c:v>
                </c:pt>
                <c:pt idx="1262">
                  <c:v>126214.848805742</c:v>
                </c:pt>
                <c:pt idx="1263">
                  <c:v>126314.860571832</c:v>
                </c:pt>
                <c:pt idx="1264">
                  <c:v>126414.872337922</c:v>
                </c:pt>
                <c:pt idx="1265">
                  <c:v>126514.884104012</c:v>
                </c:pt>
                <c:pt idx="1266">
                  <c:v>126614.895870102</c:v>
                </c:pt>
                <c:pt idx="1267">
                  <c:v>126714.907636193</c:v>
                </c:pt>
                <c:pt idx="1268">
                  <c:v>126814.919402283</c:v>
                </c:pt>
                <c:pt idx="1269">
                  <c:v>126914.931168373</c:v>
                </c:pt>
                <c:pt idx="1270">
                  <c:v>127014.942934463</c:v>
                </c:pt>
                <c:pt idx="1271">
                  <c:v>127114.954700553</c:v>
                </c:pt>
                <c:pt idx="1272">
                  <c:v>127214.966466643</c:v>
                </c:pt>
                <c:pt idx="1273">
                  <c:v>127314.978232733</c:v>
                </c:pt>
                <c:pt idx="1274">
                  <c:v>127414.989998823</c:v>
                </c:pt>
                <c:pt idx="1275">
                  <c:v>127515.001764914</c:v>
                </c:pt>
                <c:pt idx="1276">
                  <c:v>127615.013531004</c:v>
                </c:pt>
                <c:pt idx="1277">
                  <c:v>127715.025297094</c:v>
                </c:pt>
                <c:pt idx="1278">
                  <c:v>127815.037063184</c:v>
                </c:pt>
                <c:pt idx="1279">
                  <c:v>127915.048829274</c:v>
                </c:pt>
                <c:pt idx="1280">
                  <c:v>128015.060595364</c:v>
                </c:pt>
                <c:pt idx="1281">
                  <c:v>128115.072361454</c:v>
                </c:pt>
                <c:pt idx="1282">
                  <c:v>128215.084127544</c:v>
                </c:pt>
                <c:pt idx="1283">
                  <c:v>128315.095893635</c:v>
                </c:pt>
                <c:pt idx="1284">
                  <c:v>128415.107659725</c:v>
                </c:pt>
                <c:pt idx="1285">
                  <c:v>128515.119425815</c:v>
                </c:pt>
                <c:pt idx="1286">
                  <c:v>128615.131191905</c:v>
                </c:pt>
                <c:pt idx="1287">
                  <c:v>128715.142957995</c:v>
                </c:pt>
                <c:pt idx="1288">
                  <c:v>128815.154724085</c:v>
                </c:pt>
                <c:pt idx="1289">
                  <c:v>128915.166490175</c:v>
                </c:pt>
                <c:pt idx="1290">
                  <c:v>129015.178256265</c:v>
                </c:pt>
                <c:pt idx="1291">
                  <c:v>129115.190022356</c:v>
                </c:pt>
                <c:pt idx="1292">
                  <c:v>129215.201788446</c:v>
                </c:pt>
                <c:pt idx="1293">
                  <c:v>129315.213554536</c:v>
                </c:pt>
                <c:pt idx="1294">
                  <c:v>129415.225320626</c:v>
                </c:pt>
                <c:pt idx="1295">
                  <c:v>129515.237086716</c:v>
                </c:pt>
                <c:pt idx="1296">
                  <c:v>129615.248852806</c:v>
                </c:pt>
                <c:pt idx="1297">
                  <c:v>129715.260618896</c:v>
                </c:pt>
                <c:pt idx="1298">
                  <c:v>129815.272384987</c:v>
                </c:pt>
                <c:pt idx="1299">
                  <c:v>129915.284151077</c:v>
                </c:pt>
                <c:pt idx="1300">
                  <c:v>130015.295917167</c:v>
                </c:pt>
                <c:pt idx="1301">
                  <c:v>130115.307683257</c:v>
                </c:pt>
                <c:pt idx="1302">
                  <c:v>130215.319449347</c:v>
                </c:pt>
                <c:pt idx="1303">
                  <c:v>130315.331215437</c:v>
                </c:pt>
                <c:pt idx="1304">
                  <c:v>130415.342981527</c:v>
                </c:pt>
                <c:pt idx="1305">
                  <c:v>130515.354747617</c:v>
                </c:pt>
                <c:pt idx="1306">
                  <c:v>130615.366513708</c:v>
                </c:pt>
                <c:pt idx="1307">
                  <c:v>130715.378279798</c:v>
                </c:pt>
                <c:pt idx="1308">
                  <c:v>130815.390045888</c:v>
                </c:pt>
                <c:pt idx="1309">
                  <c:v>130915.401811978</c:v>
                </c:pt>
                <c:pt idx="1310">
                  <c:v>131015.413578068</c:v>
                </c:pt>
                <c:pt idx="1311">
                  <c:v>131115.425344158</c:v>
                </c:pt>
                <c:pt idx="1312">
                  <c:v>131215.437110248</c:v>
                </c:pt>
                <c:pt idx="1313">
                  <c:v>131315.448876338</c:v>
                </c:pt>
                <c:pt idx="1314">
                  <c:v>131415.460642429</c:v>
                </c:pt>
                <c:pt idx="1315">
                  <c:v>131515.472408519</c:v>
                </c:pt>
                <c:pt idx="1316">
                  <c:v>131615.484174609</c:v>
                </c:pt>
                <c:pt idx="1317">
                  <c:v>131715.495940699</c:v>
                </c:pt>
                <c:pt idx="1318">
                  <c:v>131815.507706789</c:v>
                </c:pt>
                <c:pt idx="1319">
                  <c:v>131915.519472879</c:v>
                </c:pt>
                <c:pt idx="1320">
                  <c:v>132015.531238969</c:v>
                </c:pt>
                <c:pt idx="1321">
                  <c:v>132115.543005059</c:v>
                </c:pt>
                <c:pt idx="1322">
                  <c:v>132215.55477115</c:v>
                </c:pt>
                <c:pt idx="1323">
                  <c:v>132315.56653724</c:v>
                </c:pt>
                <c:pt idx="1324">
                  <c:v>132415.57830333</c:v>
                </c:pt>
                <c:pt idx="1325">
                  <c:v>132515.59006942</c:v>
                </c:pt>
                <c:pt idx="1326">
                  <c:v>132615.60183551</c:v>
                </c:pt>
                <c:pt idx="1327">
                  <c:v>132715.6136016</c:v>
                </c:pt>
                <c:pt idx="1328">
                  <c:v>132815.62536769</c:v>
                </c:pt>
                <c:pt idx="1329">
                  <c:v>132915.637133781</c:v>
                </c:pt>
                <c:pt idx="1330">
                  <c:v>133015.648899871</c:v>
                </c:pt>
                <c:pt idx="1331">
                  <c:v>133115.660665961</c:v>
                </c:pt>
                <c:pt idx="1332">
                  <c:v>133215.672432051</c:v>
                </c:pt>
                <c:pt idx="1333">
                  <c:v>133315.684198141</c:v>
                </c:pt>
                <c:pt idx="1334">
                  <c:v>133415.695964231</c:v>
                </c:pt>
                <c:pt idx="1335">
                  <c:v>133515.707730321</c:v>
                </c:pt>
                <c:pt idx="1336">
                  <c:v>133615.719496411</c:v>
                </c:pt>
                <c:pt idx="1337">
                  <c:v>133715.731262502</c:v>
                </c:pt>
                <c:pt idx="1338">
                  <c:v>133815.743028592</c:v>
                </c:pt>
                <c:pt idx="1339">
                  <c:v>133915.754794682</c:v>
                </c:pt>
                <c:pt idx="1340">
                  <c:v>134015.766560772</c:v>
                </c:pt>
                <c:pt idx="1341">
                  <c:v>134115.778326862</c:v>
                </c:pt>
                <c:pt idx="1342">
                  <c:v>134215.790092952</c:v>
                </c:pt>
                <c:pt idx="1343">
                  <c:v>134315.801859042</c:v>
                </c:pt>
                <c:pt idx="1344">
                  <c:v>134415.813625132</c:v>
                </c:pt>
                <c:pt idx="1345">
                  <c:v>134515.825391223</c:v>
                </c:pt>
                <c:pt idx="1346">
                  <c:v>134615.837157313</c:v>
                </c:pt>
                <c:pt idx="1347">
                  <c:v>134715.848923403</c:v>
                </c:pt>
                <c:pt idx="1348">
                  <c:v>134815.860689493</c:v>
                </c:pt>
                <c:pt idx="1349">
                  <c:v>134915.872455583</c:v>
                </c:pt>
                <c:pt idx="1350">
                  <c:v>135015.884221673</c:v>
                </c:pt>
                <c:pt idx="1351">
                  <c:v>135115.895987763</c:v>
                </c:pt>
                <c:pt idx="1352">
                  <c:v>135215.907753853</c:v>
                </c:pt>
                <c:pt idx="1353">
                  <c:v>135315.919519944</c:v>
                </c:pt>
                <c:pt idx="1354">
                  <c:v>135415.931286034</c:v>
                </c:pt>
                <c:pt idx="1355">
                  <c:v>135515.943052124</c:v>
                </c:pt>
                <c:pt idx="1356">
                  <c:v>135615.954818214</c:v>
                </c:pt>
                <c:pt idx="1357">
                  <c:v>135715.966584304</c:v>
                </c:pt>
                <c:pt idx="1358">
                  <c:v>135815.978350394</c:v>
                </c:pt>
                <c:pt idx="1359">
                  <c:v>135915.990116484</c:v>
                </c:pt>
                <c:pt idx="1360">
                  <c:v>136016.001882574</c:v>
                </c:pt>
                <c:pt idx="1361">
                  <c:v>136116.013648665</c:v>
                </c:pt>
                <c:pt idx="1362">
                  <c:v>136216.025414755</c:v>
                </c:pt>
                <c:pt idx="1363">
                  <c:v>136316.037180845</c:v>
                </c:pt>
                <c:pt idx="1364">
                  <c:v>136416.048946935</c:v>
                </c:pt>
                <c:pt idx="1365">
                  <c:v>136516.060713025</c:v>
                </c:pt>
                <c:pt idx="1366">
                  <c:v>136616.072479115</c:v>
                </c:pt>
                <c:pt idx="1367">
                  <c:v>136716.084245205</c:v>
                </c:pt>
                <c:pt idx="1368">
                  <c:v>136816.096011295</c:v>
                </c:pt>
                <c:pt idx="1369">
                  <c:v>136916.107777386</c:v>
                </c:pt>
                <c:pt idx="1370">
                  <c:v>137016.119543476</c:v>
                </c:pt>
                <c:pt idx="1371">
                  <c:v>137116.131309566</c:v>
                </c:pt>
                <c:pt idx="1372">
                  <c:v>137216.143075656</c:v>
                </c:pt>
                <c:pt idx="1373">
                  <c:v>137316.154841746</c:v>
                </c:pt>
                <c:pt idx="1374">
                  <c:v>137416.166607836</c:v>
                </c:pt>
                <c:pt idx="1375">
                  <c:v>137516.178373926</c:v>
                </c:pt>
                <c:pt idx="1376">
                  <c:v>137616.190140017</c:v>
                </c:pt>
                <c:pt idx="1377">
                  <c:v>137716.201906107</c:v>
                </c:pt>
                <c:pt idx="1378">
                  <c:v>137816.213672197</c:v>
                </c:pt>
                <c:pt idx="1379">
                  <c:v>137916.225438287</c:v>
                </c:pt>
                <c:pt idx="1380">
                  <c:v>138016.237204377</c:v>
                </c:pt>
                <c:pt idx="1381">
                  <c:v>138116.248970467</c:v>
                </c:pt>
                <c:pt idx="1382">
                  <c:v>138216.260736557</c:v>
                </c:pt>
                <c:pt idx="1383">
                  <c:v>138316.272502647</c:v>
                </c:pt>
                <c:pt idx="1384">
                  <c:v>138416.284268738</c:v>
                </c:pt>
                <c:pt idx="1385">
                  <c:v>138516.296034828</c:v>
                </c:pt>
                <c:pt idx="1386">
                  <c:v>138616.307800918</c:v>
                </c:pt>
                <c:pt idx="1387">
                  <c:v>138716.319567008</c:v>
                </c:pt>
                <c:pt idx="1388">
                  <c:v>138816.331333098</c:v>
                </c:pt>
                <c:pt idx="1389">
                  <c:v>138916.343099188</c:v>
                </c:pt>
                <c:pt idx="1390">
                  <c:v>139016.354865278</c:v>
                </c:pt>
                <c:pt idx="1391">
                  <c:v>139116.366631368</c:v>
                </c:pt>
                <c:pt idx="1392">
                  <c:v>139216.378397459</c:v>
                </c:pt>
                <c:pt idx="1393">
                  <c:v>139316.390163549</c:v>
                </c:pt>
                <c:pt idx="1394">
                  <c:v>139416.401929639</c:v>
                </c:pt>
                <c:pt idx="1395">
                  <c:v>139516.413695729</c:v>
                </c:pt>
                <c:pt idx="1396">
                  <c:v>139616.425461819</c:v>
                </c:pt>
                <c:pt idx="1397">
                  <c:v>139716.437227909</c:v>
                </c:pt>
                <c:pt idx="1398">
                  <c:v>139816.448993999</c:v>
                </c:pt>
                <c:pt idx="1399">
                  <c:v>139916.460760089</c:v>
                </c:pt>
                <c:pt idx="1400">
                  <c:v>140016.47252618</c:v>
                </c:pt>
                <c:pt idx="1401">
                  <c:v>140116.48429227</c:v>
                </c:pt>
                <c:pt idx="1402">
                  <c:v>140216.49605836</c:v>
                </c:pt>
                <c:pt idx="1403">
                  <c:v>140316.50782445</c:v>
                </c:pt>
                <c:pt idx="1404">
                  <c:v>140416.51959054</c:v>
                </c:pt>
                <c:pt idx="1405">
                  <c:v>140516.53135663</c:v>
                </c:pt>
                <c:pt idx="1406">
                  <c:v>140616.54312272</c:v>
                </c:pt>
                <c:pt idx="1407">
                  <c:v>140716.55488881</c:v>
                </c:pt>
                <c:pt idx="1408">
                  <c:v>140816.566654901</c:v>
                </c:pt>
                <c:pt idx="1409">
                  <c:v>140916.578420991</c:v>
                </c:pt>
                <c:pt idx="1410">
                  <c:v>141016.590187081</c:v>
                </c:pt>
                <c:pt idx="1411">
                  <c:v>141116.601953171</c:v>
                </c:pt>
                <c:pt idx="1412">
                  <c:v>141216.613719261</c:v>
                </c:pt>
                <c:pt idx="1413">
                  <c:v>141316.625485351</c:v>
                </c:pt>
                <c:pt idx="1414">
                  <c:v>141416.637251441</c:v>
                </c:pt>
                <c:pt idx="1415">
                  <c:v>141516.649017532</c:v>
                </c:pt>
                <c:pt idx="1416">
                  <c:v>141616.660783622</c:v>
                </c:pt>
                <c:pt idx="1417">
                  <c:v>141716.672549712</c:v>
                </c:pt>
                <c:pt idx="1418">
                  <c:v>141816.684315802</c:v>
                </c:pt>
                <c:pt idx="1419">
                  <c:v>141916.696081892</c:v>
                </c:pt>
                <c:pt idx="1420">
                  <c:v>142016.707847982</c:v>
                </c:pt>
                <c:pt idx="1421">
                  <c:v>142116.719614072</c:v>
                </c:pt>
                <c:pt idx="1422">
                  <c:v>142216.731380162</c:v>
                </c:pt>
                <c:pt idx="1423">
                  <c:v>142316.743146253</c:v>
                </c:pt>
                <c:pt idx="1424">
                  <c:v>142416.754912343</c:v>
                </c:pt>
                <c:pt idx="1425">
                  <c:v>142516.766678433</c:v>
                </c:pt>
                <c:pt idx="1426">
                  <c:v>142616.778444523</c:v>
                </c:pt>
                <c:pt idx="1427">
                  <c:v>142716.790210613</c:v>
                </c:pt>
                <c:pt idx="1428">
                  <c:v>142816.801976703</c:v>
                </c:pt>
                <c:pt idx="1429">
                  <c:v>142916.813742793</c:v>
                </c:pt>
                <c:pt idx="1430">
                  <c:v>143016.825508883</c:v>
                </c:pt>
                <c:pt idx="1431">
                  <c:v>143116.837274974</c:v>
                </c:pt>
                <c:pt idx="1432">
                  <c:v>143216.849041064</c:v>
                </c:pt>
                <c:pt idx="1433">
                  <c:v>143316.860807154</c:v>
                </c:pt>
                <c:pt idx="1434">
                  <c:v>143416.872573244</c:v>
                </c:pt>
                <c:pt idx="1435">
                  <c:v>143516.884339334</c:v>
                </c:pt>
                <c:pt idx="1436">
                  <c:v>143616.896105424</c:v>
                </c:pt>
                <c:pt idx="1437">
                  <c:v>143716.907871514</c:v>
                </c:pt>
                <c:pt idx="1438">
                  <c:v>143816.919637604</c:v>
                </c:pt>
                <c:pt idx="1439">
                  <c:v>143916.931403695</c:v>
                </c:pt>
                <c:pt idx="1440">
                  <c:v>144016.943169785</c:v>
                </c:pt>
                <c:pt idx="1441">
                  <c:v>144116.954935875</c:v>
                </c:pt>
                <c:pt idx="1442">
                  <c:v>144216.966701965</c:v>
                </c:pt>
                <c:pt idx="1443">
                  <c:v>144316.978468055</c:v>
                </c:pt>
                <c:pt idx="1444">
                  <c:v>144416.990234145</c:v>
                </c:pt>
                <c:pt idx="1445">
                  <c:v>144517.002000235</c:v>
                </c:pt>
                <c:pt idx="1446">
                  <c:v>144617.013766326</c:v>
                </c:pt>
                <c:pt idx="1447">
                  <c:v>144717.025532416</c:v>
                </c:pt>
                <c:pt idx="1448">
                  <c:v>144817.037298506</c:v>
                </c:pt>
                <c:pt idx="1449">
                  <c:v>144917.049064596</c:v>
                </c:pt>
                <c:pt idx="1450">
                  <c:v>145017.060830686</c:v>
                </c:pt>
                <c:pt idx="1451">
                  <c:v>145117.072596776</c:v>
                </c:pt>
                <c:pt idx="1452">
                  <c:v>145217.084362866</c:v>
                </c:pt>
                <c:pt idx="1453">
                  <c:v>145317.096128956</c:v>
                </c:pt>
                <c:pt idx="1454">
                  <c:v>145417.107895047</c:v>
                </c:pt>
                <c:pt idx="1455">
                  <c:v>145517.119661137</c:v>
                </c:pt>
                <c:pt idx="1456">
                  <c:v>145617.131427227</c:v>
                </c:pt>
                <c:pt idx="1457">
                  <c:v>145717.143193317</c:v>
                </c:pt>
                <c:pt idx="1458">
                  <c:v>145817.154959407</c:v>
                </c:pt>
                <c:pt idx="1459">
                  <c:v>145917.166725497</c:v>
                </c:pt>
                <c:pt idx="1460">
                  <c:v>146017.178491587</c:v>
                </c:pt>
                <c:pt idx="1461">
                  <c:v>146117.190257677</c:v>
                </c:pt>
                <c:pt idx="1462">
                  <c:v>146217.202023768</c:v>
                </c:pt>
                <c:pt idx="1463">
                  <c:v>146317.213789858</c:v>
                </c:pt>
                <c:pt idx="1464">
                  <c:v>146417.225555948</c:v>
                </c:pt>
                <c:pt idx="1465">
                  <c:v>146517.237322038</c:v>
                </c:pt>
                <c:pt idx="1466">
                  <c:v>146617.249088128</c:v>
                </c:pt>
                <c:pt idx="1467">
                  <c:v>146717.260854218</c:v>
                </c:pt>
                <c:pt idx="1468">
                  <c:v>146817.272620308</c:v>
                </c:pt>
                <c:pt idx="1469">
                  <c:v>146917.284386398</c:v>
                </c:pt>
                <c:pt idx="1470">
                  <c:v>147017.296152489</c:v>
                </c:pt>
                <c:pt idx="1471">
                  <c:v>147117.307918579</c:v>
                </c:pt>
                <c:pt idx="1472">
                  <c:v>147217.319684669</c:v>
                </c:pt>
                <c:pt idx="1473">
                  <c:v>147317.331450759</c:v>
                </c:pt>
                <c:pt idx="1474">
                  <c:v>147417.343216849</c:v>
                </c:pt>
                <c:pt idx="1475">
                  <c:v>147517.354982939</c:v>
                </c:pt>
                <c:pt idx="1476">
                  <c:v>147617.366749029</c:v>
                </c:pt>
                <c:pt idx="1477">
                  <c:v>147717.378515119</c:v>
                </c:pt>
                <c:pt idx="1478">
                  <c:v>147817.39028121</c:v>
                </c:pt>
                <c:pt idx="1479">
                  <c:v>147917.4020473</c:v>
                </c:pt>
                <c:pt idx="1480">
                  <c:v>148017.41381339</c:v>
                </c:pt>
                <c:pt idx="1481">
                  <c:v>148117.42557948</c:v>
                </c:pt>
                <c:pt idx="1482">
                  <c:v>148217.43734557</c:v>
                </c:pt>
                <c:pt idx="1483">
                  <c:v>148317.44911166</c:v>
                </c:pt>
                <c:pt idx="1484">
                  <c:v>148417.46087775</c:v>
                </c:pt>
                <c:pt idx="1485">
                  <c:v>148517.47264384</c:v>
                </c:pt>
                <c:pt idx="1486">
                  <c:v>148617.484409931</c:v>
                </c:pt>
                <c:pt idx="1487">
                  <c:v>148717.496176021</c:v>
                </c:pt>
                <c:pt idx="1488">
                  <c:v>148817.507942111</c:v>
                </c:pt>
                <c:pt idx="1489">
                  <c:v>148917.519708201</c:v>
                </c:pt>
                <c:pt idx="1490">
                  <c:v>149017.531474291</c:v>
                </c:pt>
                <c:pt idx="1491">
                  <c:v>149117.543240381</c:v>
                </c:pt>
                <c:pt idx="1492">
                  <c:v>149217.555006471</c:v>
                </c:pt>
                <c:pt idx="1493">
                  <c:v>149317.566772562</c:v>
                </c:pt>
                <c:pt idx="1494">
                  <c:v>149417.578538652</c:v>
                </c:pt>
                <c:pt idx="1495">
                  <c:v>149517.590304742</c:v>
                </c:pt>
                <c:pt idx="1496">
                  <c:v>149617.602070832</c:v>
                </c:pt>
                <c:pt idx="1497">
                  <c:v>149717.613836922</c:v>
                </c:pt>
                <c:pt idx="1498">
                  <c:v>149817.625603012</c:v>
                </c:pt>
                <c:pt idx="1499">
                  <c:v>149917.637369102</c:v>
                </c:pt>
                <c:pt idx="1500">
                  <c:v>150017.649135192</c:v>
                </c:pt>
                <c:pt idx="1501">
                  <c:v>150117.660901283</c:v>
                </c:pt>
                <c:pt idx="1502">
                  <c:v>150217.672667373</c:v>
                </c:pt>
                <c:pt idx="1503">
                  <c:v>150317.684433463</c:v>
                </c:pt>
                <c:pt idx="1504">
                  <c:v>150417.696199553</c:v>
                </c:pt>
                <c:pt idx="1505">
                  <c:v>150517.707965643</c:v>
                </c:pt>
                <c:pt idx="1506">
                  <c:v>150617.719731733</c:v>
                </c:pt>
                <c:pt idx="1507">
                  <c:v>150717.731497823</c:v>
                </c:pt>
                <c:pt idx="1508">
                  <c:v>150817.743263913</c:v>
                </c:pt>
                <c:pt idx="1509">
                  <c:v>150917.755030004</c:v>
                </c:pt>
                <c:pt idx="1510">
                  <c:v>151017.766796094</c:v>
                </c:pt>
                <c:pt idx="1511">
                  <c:v>151117.778562184</c:v>
                </c:pt>
                <c:pt idx="1512">
                  <c:v>151217.790328274</c:v>
                </c:pt>
                <c:pt idx="1513">
                  <c:v>151317.802094364</c:v>
                </c:pt>
                <c:pt idx="1514">
                  <c:v>151417.813860454</c:v>
                </c:pt>
                <c:pt idx="1515">
                  <c:v>151517.825626544</c:v>
                </c:pt>
                <c:pt idx="1516">
                  <c:v>151617.837392634</c:v>
                </c:pt>
                <c:pt idx="1517">
                  <c:v>151717.849158725</c:v>
                </c:pt>
                <c:pt idx="1518">
                  <c:v>151817.860924815</c:v>
                </c:pt>
                <c:pt idx="1519">
                  <c:v>151917.872690905</c:v>
                </c:pt>
                <c:pt idx="1520">
                  <c:v>152017.884456995</c:v>
                </c:pt>
                <c:pt idx="1521">
                  <c:v>152117.896223085</c:v>
                </c:pt>
                <c:pt idx="1522">
                  <c:v>152217.907989175</c:v>
                </c:pt>
                <c:pt idx="1523">
                  <c:v>152317.919755265</c:v>
                </c:pt>
                <c:pt idx="1524">
                  <c:v>152417.931521356</c:v>
                </c:pt>
                <c:pt idx="1525">
                  <c:v>152517.943287446</c:v>
                </c:pt>
                <c:pt idx="1526">
                  <c:v>152617.955053536</c:v>
                </c:pt>
                <c:pt idx="1527">
                  <c:v>152717.966819626</c:v>
                </c:pt>
                <c:pt idx="1528">
                  <c:v>152817.978585716</c:v>
                </c:pt>
                <c:pt idx="1529">
                  <c:v>152917.990351806</c:v>
                </c:pt>
                <c:pt idx="1530">
                  <c:v>153018.002117896</c:v>
                </c:pt>
                <c:pt idx="1531">
                  <c:v>153118.013883986</c:v>
                </c:pt>
                <c:pt idx="1532">
                  <c:v>153218.025650077</c:v>
                </c:pt>
                <c:pt idx="1533">
                  <c:v>153318.037416167</c:v>
                </c:pt>
                <c:pt idx="1534">
                  <c:v>153418.049182257</c:v>
                </c:pt>
                <c:pt idx="1535">
                  <c:v>153518.060948347</c:v>
                </c:pt>
                <c:pt idx="1536">
                  <c:v>153618.072714437</c:v>
                </c:pt>
                <c:pt idx="1537">
                  <c:v>153718.084480527</c:v>
                </c:pt>
                <c:pt idx="1538">
                  <c:v>153818.096246617</c:v>
                </c:pt>
                <c:pt idx="1539">
                  <c:v>153918.108012707</c:v>
                </c:pt>
                <c:pt idx="1540">
                  <c:v>154018.119778798</c:v>
                </c:pt>
                <c:pt idx="1541">
                  <c:v>154118.131544888</c:v>
                </c:pt>
                <c:pt idx="1542">
                  <c:v>154218.143310978</c:v>
                </c:pt>
                <c:pt idx="1543">
                  <c:v>154318.155077068</c:v>
                </c:pt>
                <c:pt idx="1544">
                  <c:v>154418.166843158</c:v>
                </c:pt>
                <c:pt idx="1545">
                  <c:v>154518.178609248</c:v>
                </c:pt>
                <c:pt idx="1546">
                  <c:v>154618.190375338</c:v>
                </c:pt>
                <c:pt idx="1547">
                  <c:v>154718.202141428</c:v>
                </c:pt>
                <c:pt idx="1548">
                  <c:v>154818.213907519</c:v>
                </c:pt>
                <c:pt idx="1549">
                  <c:v>154918.225673609</c:v>
                </c:pt>
                <c:pt idx="1550">
                  <c:v>155018.237439699</c:v>
                </c:pt>
                <c:pt idx="1551">
                  <c:v>155118.249205789</c:v>
                </c:pt>
                <c:pt idx="1552">
                  <c:v>155218.260971879</c:v>
                </c:pt>
                <c:pt idx="1553">
                  <c:v>155318.272737969</c:v>
                </c:pt>
                <c:pt idx="1554">
                  <c:v>155418.284504059</c:v>
                </c:pt>
                <c:pt idx="1555">
                  <c:v>155518.296270149</c:v>
                </c:pt>
                <c:pt idx="1556">
                  <c:v>155618.30803624</c:v>
                </c:pt>
                <c:pt idx="1557">
                  <c:v>155718.31980233</c:v>
                </c:pt>
                <c:pt idx="1558">
                  <c:v>155818.33156842</c:v>
                </c:pt>
                <c:pt idx="1559">
                  <c:v>155918.34333451</c:v>
                </c:pt>
                <c:pt idx="1560">
                  <c:v>156018.3551006</c:v>
                </c:pt>
                <c:pt idx="1561">
                  <c:v>156118.36686669</c:v>
                </c:pt>
                <c:pt idx="1562">
                  <c:v>156218.37863278</c:v>
                </c:pt>
                <c:pt idx="1563">
                  <c:v>156318.390398871</c:v>
                </c:pt>
                <c:pt idx="1564">
                  <c:v>156418.402164961</c:v>
                </c:pt>
                <c:pt idx="1565">
                  <c:v>156518.413931051</c:v>
                </c:pt>
                <c:pt idx="1566">
                  <c:v>156618.425697141</c:v>
                </c:pt>
                <c:pt idx="1567">
                  <c:v>156718.437463231</c:v>
                </c:pt>
                <c:pt idx="1568">
                  <c:v>156818.449229321</c:v>
                </c:pt>
                <c:pt idx="1569">
                  <c:v>156918.460995411</c:v>
                </c:pt>
                <c:pt idx="1570">
                  <c:v>157018.472761501</c:v>
                </c:pt>
                <c:pt idx="1571">
                  <c:v>157118.484527592</c:v>
                </c:pt>
                <c:pt idx="1572">
                  <c:v>157218.496293682</c:v>
                </c:pt>
                <c:pt idx="1573">
                  <c:v>157318.508059772</c:v>
                </c:pt>
                <c:pt idx="1574">
                  <c:v>157418.519825862</c:v>
                </c:pt>
                <c:pt idx="1575">
                  <c:v>157518.531591952</c:v>
                </c:pt>
                <c:pt idx="1576">
                  <c:v>157618.543358042</c:v>
                </c:pt>
                <c:pt idx="1577">
                  <c:v>157718.555124132</c:v>
                </c:pt>
                <c:pt idx="1578">
                  <c:v>157818.566890222</c:v>
                </c:pt>
                <c:pt idx="1579">
                  <c:v>157918.578656313</c:v>
                </c:pt>
                <c:pt idx="1580">
                  <c:v>158018.590422403</c:v>
                </c:pt>
                <c:pt idx="1581">
                  <c:v>158118.602188493</c:v>
                </c:pt>
                <c:pt idx="1582">
                  <c:v>158218.613954583</c:v>
                </c:pt>
                <c:pt idx="1583">
                  <c:v>158318.625720673</c:v>
                </c:pt>
                <c:pt idx="1584">
                  <c:v>158418.637486763</c:v>
                </c:pt>
                <c:pt idx="1585">
                  <c:v>158518.649252853</c:v>
                </c:pt>
                <c:pt idx="1586">
                  <c:v>158618.661018943</c:v>
                </c:pt>
                <c:pt idx="1587">
                  <c:v>158718.672785034</c:v>
                </c:pt>
                <c:pt idx="1588">
                  <c:v>158818.684551124</c:v>
                </c:pt>
                <c:pt idx="1589">
                  <c:v>158918.696317214</c:v>
                </c:pt>
                <c:pt idx="1590">
                  <c:v>159018.708083304</c:v>
                </c:pt>
                <c:pt idx="1591">
                  <c:v>159118.719849394</c:v>
                </c:pt>
                <c:pt idx="1592">
                  <c:v>159218.731615484</c:v>
                </c:pt>
                <c:pt idx="1593">
                  <c:v>159318.743381574</c:v>
                </c:pt>
                <c:pt idx="1594">
                  <c:v>159418.755147664</c:v>
                </c:pt>
                <c:pt idx="1595">
                  <c:v>159518.766913755</c:v>
                </c:pt>
                <c:pt idx="1596">
                  <c:v>159618.778679845</c:v>
                </c:pt>
                <c:pt idx="1597">
                  <c:v>159718.790445935</c:v>
                </c:pt>
                <c:pt idx="1598">
                  <c:v>159818.802212025</c:v>
                </c:pt>
                <c:pt idx="1599">
                  <c:v>159918.813978115</c:v>
                </c:pt>
                <c:pt idx="1600">
                  <c:v>160018.825744205</c:v>
                </c:pt>
                <c:pt idx="1601">
                  <c:v>160118.837510295</c:v>
                </c:pt>
                <c:pt idx="1602">
                  <c:v>160218.849276385</c:v>
                </c:pt>
                <c:pt idx="1603">
                  <c:v>160318.861042476</c:v>
                </c:pt>
                <c:pt idx="1604">
                  <c:v>160418.872808566</c:v>
                </c:pt>
                <c:pt idx="1605">
                  <c:v>160518.884574656</c:v>
                </c:pt>
                <c:pt idx="1606">
                  <c:v>160618.896340746</c:v>
                </c:pt>
                <c:pt idx="1607">
                  <c:v>160718.908106836</c:v>
                </c:pt>
                <c:pt idx="1608">
                  <c:v>160818.919872926</c:v>
                </c:pt>
                <c:pt idx="1609">
                  <c:v>160918.931639016</c:v>
                </c:pt>
                <c:pt idx="1610">
                  <c:v>161018.943405107</c:v>
                </c:pt>
                <c:pt idx="1611">
                  <c:v>161118.955171197</c:v>
                </c:pt>
                <c:pt idx="1612">
                  <c:v>161218.966937287</c:v>
                </c:pt>
                <c:pt idx="1613">
                  <c:v>161318.978703377</c:v>
                </c:pt>
                <c:pt idx="1614">
                  <c:v>161418.990469467</c:v>
                </c:pt>
                <c:pt idx="1615">
                  <c:v>161519.002235557</c:v>
                </c:pt>
                <c:pt idx="1616">
                  <c:v>161619.014001647</c:v>
                </c:pt>
                <c:pt idx="1617">
                  <c:v>161719.025767737</c:v>
                </c:pt>
                <c:pt idx="1618">
                  <c:v>161819.037533828</c:v>
                </c:pt>
                <c:pt idx="1619">
                  <c:v>161919.049299918</c:v>
                </c:pt>
                <c:pt idx="1620">
                  <c:v>162019.061066008</c:v>
                </c:pt>
                <c:pt idx="1621">
                  <c:v>162119.072832098</c:v>
                </c:pt>
                <c:pt idx="1622">
                  <c:v>162219.084598188</c:v>
                </c:pt>
                <c:pt idx="1623">
                  <c:v>162319.096364278</c:v>
                </c:pt>
                <c:pt idx="1624">
                  <c:v>162419.108130368</c:v>
                </c:pt>
                <c:pt idx="1625">
                  <c:v>162519.119896458</c:v>
                </c:pt>
                <c:pt idx="1626">
                  <c:v>162619.131662549</c:v>
                </c:pt>
                <c:pt idx="1627">
                  <c:v>162719.143428639</c:v>
                </c:pt>
                <c:pt idx="1628">
                  <c:v>162819.155194729</c:v>
                </c:pt>
                <c:pt idx="1629">
                  <c:v>162919.166960819</c:v>
                </c:pt>
                <c:pt idx="1630">
                  <c:v>163019.178726909</c:v>
                </c:pt>
                <c:pt idx="1631">
                  <c:v>163119.190492999</c:v>
                </c:pt>
                <c:pt idx="1632">
                  <c:v>163219.202259089</c:v>
                </c:pt>
                <c:pt idx="1633">
                  <c:v>163319.214025179</c:v>
                </c:pt>
                <c:pt idx="1634">
                  <c:v>163419.22579127</c:v>
                </c:pt>
                <c:pt idx="1635">
                  <c:v>163519.23755736</c:v>
                </c:pt>
                <c:pt idx="1636">
                  <c:v>163619.24932345</c:v>
                </c:pt>
                <c:pt idx="1637">
                  <c:v>163719.26108954</c:v>
                </c:pt>
                <c:pt idx="1638">
                  <c:v>163819.27285563</c:v>
                </c:pt>
                <c:pt idx="1639">
                  <c:v>163919.28462172</c:v>
                </c:pt>
                <c:pt idx="1640">
                  <c:v>164019.29638781</c:v>
                </c:pt>
                <c:pt idx="1641">
                  <c:v>164119.308153901</c:v>
                </c:pt>
                <c:pt idx="1642">
                  <c:v>164219.319919991</c:v>
                </c:pt>
                <c:pt idx="1643">
                  <c:v>164319.331686081</c:v>
                </c:pt>
                <c:pt idx="1644">
                  <c:v>164419.343452171</c:v>
                </c:pt>
                <c:pt idx="1645">
                  <c:v>164519.355218261</c:v>
                </c:pt>
                <c:pt idx="1646">
                  <c:v>164619.366984351</c:v>
                </c:pt>
                <c:pt idx="1647">
                  <c:v>164719.378750441</c:v>
                </c:pt>
                <c:pt idx="1648">
                  <c:v>164819.390516531</c:v>
                </c:pt>
                <c:pt idx="1649">
                  <c:v>164919.402282622</c:v>
                </c:pt>
                <c:pt idx="1650">
                  <c:v>165019.414048712</c:v>
                </c:pt>
                <c:pt idx="1651">
                  <c:v>165119.425814802</c:v>
                </c:pt>
                <c:pt idx="1652">
                  <c:v>165219.437580892</c:v>
                </c:pt>
                <c:pt idx="1653">
                  <c:v>165319.449346982</c:v>
                </c:pt>
                <c:pt idx="1654">
                  <c:v>165419.461113072</c:v>
                </c:pt>
                <c:pt idx="1655">
                  <c:v>165519.472879162</c:v>
                </c:pt>
                <c:pt idx="1656">
                  <c:v>165619.484645252</c:v>
                </c:pt>
                <c:pt idx="1657">
                  <c:v>165719.496411343</c:v>
                </c:pt>
                <c:pt idx="1658">
                  <c:v>165819.508177433</c:v>
                </c:pt>
                <c:pt idx="1659">
                  <c:v>165919.519943523</c:v>
                </c:pt>
                <c:pt idx="1660">
                  <c:v>166019.531709613</c:v>
                </c:pt>
                <c:pt idx="1661">
                  <c:v>166119.543475703</c:v>
                </c:pt>
                <c:pt idx="1662">
                  <c:v>166219.555241793</c:v>
                </c:pt>
                <c:pt idx="1663">
                  <c:v>166319.567007883</c:v>
                </c:pt>
                <c:pt idx="1664">
                  <c:v>166419.578773973</c:v>
                </c:pt>
                <c:pt idx="1665">
                  <c:v>166519.590540064</c:v>
                </c:pt>
                <c:pt idx="1666">
                  <c:v>166619.602306154</c:v>
                </c:pt>
                <c:pt idx="1667">
                  <c:v>166719.614072244</c:v>
                </c:pt>
                <c:pt idx="1668">
                  <c:v>166819.625838334</c:v>
                </c:pt>
                <c:pt idx="1669">
                  <c:v>166919.637604424</c:v>
                </c:pt>
                <c:pt idx="1670">
                  <c:v>167019.649370514</c:v>
                </c:pt>
                <c:pt idx="1671">
                  <c:v>167119.661136604</c:v>
                </c:pt>
                <c:pt idx="1672">
                  <c:v>167219.672902694</c:v>
                </c:pt>
                <c:pt idx="1673">
                  <c:v>167319.684668785</c:v>
                </c:pt>
                <c:pt idx="1674">
                  <c:v>167419.696434875</c:v>
                </c:pt>
                <c:pt idx="1675">
                  <c:v>167519.708200965</c:v>
                </c:pt>
                <c:pt idx="1676">
                  <c:v>167619.719967055</c:v>
                </c:pt>
                <c:pt idx="1677">
                  <c:v>167719.731733145</c:v>
                </c:pt>
                <c:pt idx="1678">
                  <c:v>167819.743499235</c:v>
                </c:pt>
                <c:pt idx="1679">
                  <c:v>167919.755265325</c:v>
                </c:pt>
                <c:pt idx="1680">
                  <c:v>168019.767031416</c:v>
                </c:pt>
                <c:pt idx="1681">
                  <c:v>168119.778797506</c:v>
                </c:pt>
                <c:pt idx="1682">
                  <c:v>168219.790563596</c:v>
                </c:pt>
                <c:pt idx="1683">
                  <c:v>168319.802329686</c:v>
                </c:pt>
                <c:pt idx="1684">
                  <c:v>168419.814095776</c:v>
                </c:pt>
                <c:pt idx="1685">
                  <c:v>168519.825861866</c:v>
                </c:pt>
                <c:pt idx="1686">
                  <c:v>168619.837627956</c:v>
                </c:pt>
                <c:pt idx="1687">
                  <c:v>168719.849394046</c:v>
                </c:pt>
                <c:pt idx="1688">
                  <c:v>168819.861160137</c:v>
                </c:pt>
                <c:pt idx="1689">
                  <c:v>168919.872926227</c:v>
                </c:pt>
                <c:pt idx="1690">
                  <c:v>169019.884692317</c:v>
                </c:pt>
                <c:pt idx="1691">
                  <c:v>169119.896458407</c:v>
                </c:pt>
                <c:pt idx="1692">
                  <c:v>169219.908224497</c:v>
                </c:pt>
                <c:pt idx="1693">
                  <c:v>169319.919990587</c:v>
                </c:pt>
                <c:pt idx="1694">
                  <c:v>169419.931756677</c:v>
                </c:pt>
                <c:pt idx="1695">
                  <c:v>169519.943522767</c:v>
                </c:pt>
                <c:pt idx="1696">
                  <c:v>169619.955288858</c:v>
                </c:pt>
                <c:pt idx="1697">
                  <c:v>169719.967054948</c:v>
                </c:pt>
                <c:pt idx="1698">
                  <c:v>169819.978821038</c:v>
                </c:pt>
                <c:pt idx="1699">
                  <c:v>169919.990587128</c:v>
                </c:pt>
              </c:numCache>
            </c:numRef>
          </c:xVal>
          <c:yVal>
            <c:numRef>
              <c:f>12_Traces!$J$5:$J$1704</c:f>
              <c:numCache>
                <c:formatCode>0.0000</c:formatCode>
                <c:ptCount val="1700"/>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5</c:v>
                </c:pt>
                <c:pt idx="100">
                  <c:v>5</c:v>
                </c:pt>
                <c:pt idx="101">
                  <c:v>5</c:v>
                </c:pt>
                <c:pt idx="102">
                  <c:v>5</c:v>
                </c:pt>
                <c:pt idx="103">
                  <c:v>5</c:v>
                </c:pt>
                <c:pt idx="104">
                  <c:v>5</c:v>
                </c:pt>
                <c:pt idx="105">
                  <c:v>5</c:v>
                </c:pt>
                <c:pt idx="106">
                  <c:v>5</c:v>
                </c:pt>
                <c:pt idx="107">
                  <c:v>5</c:v>
                </c:pt>
                <c:pt idx="108">
                  <c:v>5</c:v>
                </c:pt>
                <c:pt idx="109">
                  <c:v>5</c:v>
                </c:pt>
                <c:pt idx="110">
                  <c:v>5</c:v>
                </c:pt>
                <c:pt idx="111">
                  <c:v>5</c:v>
                </c:pt>
                <c:pt idx="112">
                  <c:v>5</c:v>
                </c:pt>
                <c:pt idx="113">
                  <c:v>5</c:v>
                </c:pt>
                <c:pt idx="114">
                  <c:v>5</c:v>
                </c:pt>
                <c:pt idx="115">
                  <c:v>5</c:v>
                </c:pt>
                <c:pt idx="116">
                  <c:v>5</c:v>
                </c:pt>
                <c:pt idx="117">
                  <c:v>5</c:v>
                </c:pt>
                <c:pt idx="118">
                  <c:v>5</c:v>
                </c:pt>
                <c:pt idx="119">
                  <c:v>5</c:v>
                </c:pt>
                <c:pt idx="120">
                  <c:v>5</c:v>
                </c:pt>
                <c:pt idx="121">
                  <c:v>5</c:v>
                </c:pt>
                <c:pt idx="122">
                  <c:v>5</c:v>
                </c:pt>
                <c:pt idx="123">
                  <c:v>5</c:v>
                </c:pt>
                <c:pt idx="124">
                  <c:v>5</c:v>
                </c:pt>
                <c:pt idx="125">
                  <c:v>5</c:v>
                </c:pt>
                <c:pt idx="126">
                  <c:v>5</c:v>
                </c:pt>
                <c:pt idx="127">
                  <c:v>5</c:v>
                </c:pt>
                <c:pt idx="128">
                  <c:v>5</c:v>
                </c:pt>
                <c:pt idx="129">
                  <c:v>5</c:v>
                </c:pt>
                <c:pt idx="130">
                  <c:v>5</c:v>
                </c:pt>
                <c:pt idx="131">
                  <c:v>5</c:v>
                </c:pt>
                <c:pt idx="132">
                  <c:v>5</c:v>
                </c:pt>
                <c:pt idx="133">
                  <c:v>5</c:v>
                </c:pt>
                <c:pt idx="134">
                  <c:v>5</c:v>
                </c:pt>
                <c:pt idx="135">
                  <c:v>5</c:v>
                </c:pt>
                <c:pt idx="136">
                  <c:v>5</c:v>
                </c:pt>
                <c:pt idx="137">
                  <c:v>5</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5</c:v>
                </c:pt>
                <c:pt idx="196">
                  <c:v>5</c:v>
                </c:pt>
                <c:pt idx="197">
                  <c:v>5</c:v>
                </c:pt>
                <c:pt idx="198">
                  <c:v>5</c:v>
                </c:pt>
                <c:pt idx="199">
                  <c:v>5</c:v>
                </c:pt>
                <c:pt idx="200">
                  <c:v>5</c:v>
                </c:pt>
                <c:pt idx="201">
                  <c:v>5.0863969413816</c:v>
                </c:pt>
                <c:pt idx="202">
                  <c:v>5.16028110136065</c:v>
                </c:pt>
                <c:pt idx="203">
                  <c:v>5.22832885019897</c:v>
                </c:pt>
                <c:pt idx="204">
                  <c:v>5.29071280633315</c:v>
                </c:pt>
                <c:pt idx="205">
                  <c:v>5.34758236236859</c:v>
                </c:pt>
                <c:pt idx="206">
                  <c:v>5.39670598575171</c:v>
                </c:pt>
                <c:pt idx="207">
                  <c:v>5.43102131688442</c:v>
                </c:pt>
                <c:pt idx="208">
                  <c:v>5.39857343193971</c:v>
                </c:pt>
                <c:pt idx="209">
                  <c:v>5.28537810788982</c:v>
                </c:pt>
                <c:pt idx="210">
                  <c:v>5.2550504736728</c:v>
                </c:pt>
                <c:pt idx="211">
                  <c:v>5.20145244812882</c:v>
                </c:pt>
                <c:pt idx="212">
                  <c:v>5.15654789360957</c:v>
                </c:pt>
                <c:pt idx="213">
                  <c:v>5.13219362432404</c:v>
                </c:pt>
                <c:pt idx="214">
                  <c:v>5.22332344674192</c:v>
                </c:pt>
                <c:pt idx="215">
                  <c:v>5.26083349207593</c:v>
                </c:pt>
                <c:pt idx="216">
                  <c:v>5.28807756507586</c:v>
                </c:pt>
                <c:pt idx="217">
                  <c:v>5.3187276223283</c:v>
                </c:pt>
                <c:pt idx="218">
                  <c:v>5.31849264720099</c:v>
                </c:pt>
                <c:pt idx="219">
                  <c:v>5.22466245206748</c:v>
                </c:pt>
                <c:pt idx="220">
                  <c:v>5.20664742434569</c:v>
                </c:pt>
                <c:pt idx="221">
                  <c:v>5.20682732155229</c:v>
                </c:pt>
                <c:pt idx="222">
                  <c:v>5.28665198507358</c:v>
                </c:pt>
                <c:pt idx="223">
                  <c:v>5.3028267798373</c:v>
                </c:pt>
                <c:pt idx="224">
                  <c:v>5.22922595835251</c:v>
                </c:pt>
                <c:pt idx="225">
                  <c:v>5.20283618198258</c:v>
                </c:pt>
                <c:pt idx="226">
                  <c:v>5.21099076041608</c:v>
                </c:pt>
                <c:pt idx="227">
                  <c:v>5.29255184698008</c:v>
                </c:pt>
                <c:pt idx="228">
                  <c:v>5.30020761856567</c:v>
                </c:pt>
                <c:pt idx="229">
                  <c:v>5.22076160005496</c:v>
                </c:pt>
                <c:pt idx="230">
                  <c:v>5.20100861664962</c:v>
                </c:pt>
                <c:pt idx="231">
                  <c:v>5.24418770983886</c:v>
                </c:pt>
                <c:pt idx="232">
                  <c:v>5.29755497123078</c:v>
                </c:pt>
                <c:pt idx="233">
                  <c:v>5.29574699259211</c:v>
                </c:pt>
                <c:pt idx="234">
                  <c:v>5.21329895192664</c:v>
                </c:pt>
                <c:pt idx="235">
                  <c:v>5.20068400146251</c:v>
                </c:pt>
                <c:pt idx="236">
                  <c:v>5.2728111747469</c:v>
                </c:pt>
                <c:pt idx="237">
                  <c:v>5.30019100110106</c:v>
                </c:pt>
                <c:pt idx="238">
                  <c:v>5.28131830929606</c:v>
                </c:pt>
                <c:pt idx="239">
                  <c:v>5.20729351821577</c:v>
                </c:pt>
                <c:pt idx="240">
                  <c:v>5.20207580069054</c:v>
                </c:pt>
                <c:pt idx="241">
                  <c:v>5.28286943999345</c:v>
                </c:pt>
                <c:pt idx="242">
                  <c:v>5.3009862857994</c:v>
                </c:pt>
                <c:pt idx="243">
                  <c:v>5.23828285875835</c:v>
                </c:pt>
                <c:pt idx="244">
                  <c:v>5.20296093723308</c:v>
                </c:pt>
                <c:pt idx="245">
                  <c:v>5.2063231232074</c:v>
                </c:pt>
                <c:pt idx="246">
                  <c:v>5.28960927024954</c:v>
                </c:pt>
                <c:pt idx="247">
                  <c:v>5.30057573862888</c:v>
                </c:pt>
                <c:pt idx="248">
                  <c:v>5.22521588088792</c:v>
                </c:pt>
                <c:pt idx="249">
                  <c:v>5.20121204102421</c:v>
                </c:pt>
                <c:pt idx="250">
                  <c:v>5.21875050188052</c:v>
                </c:pt>
                <c:pt idx="251">
                  <c:v>5.29488039035467</c:v>
                </c:pt>
                <c:pt idx="252">
                  <c:v>5.29850276749866</c:v>
                </c:pt>
                <c:pt idx="253">
                  <c:v>5.21737698084183</c:v>
                </c:pt>
                <c:pt idx="254">
                  <c:v>5.20047667718261</c:v>
                </c:pt>
                <c:pt idx="255">
                  <c:v>5.26120752092534</c:v>
                </c:pt>
                <c:pt idx="256">
                  <c:v>5.29893621224488</c:v>
                </c:pt>
                <c:pt idx="257">
                  <c:v>5.29306879649557</c:v>
                </c:pt>
                <c:pt idx="258">
                  <c:v>5.21130962398487</c:v>
                </c:pt>
                <c:pt idx="259">
                  <c:v>5.20076730047816</c:v>
                </c:pt>
                <c:pt idx="260">
                  <c:v>5.27597092032774</c:v>
                </c:pt>
                <c:pt idx="261">
                  <c:v>5.30054135264352</c:v>
                </c:pt>
                <c:pt idx="262">
                  <c:v>5.27306731770072</c:v>
                </c:pt>
                <c:pt idx="263">
                  <c:v>5.20628196201315</c:v>
                </c:pt>
                <c:pt idx="264">
                  <c:v>5.2025552663483</c:v>
                </c:pt>
                <c:pt idx="265">
                  <c:v>5.28414134205602</c:v>
                </c:pt>
                <c:pt idx="266">
                  <c:v>5.30106449561387</c:v>
                </c:pt>
                <c:pt idx="267">
                  <c:v>5.23583039678986</c:v>
                </c:pt>
                <c:pt idx="268">
                  <c:v>5.20265532158976</c:v>
                </c:pt>
                <c:pt idx="269">
                  <c:v>5.20721551609205</c:v>
                </c:pt>
                <c:pt idx="270">
                  <c:v>5.29026416970244</c:v>
                </c:pt>
                <c:pt idx="271">
                  <c:v>5.30050419549122</c:v>
                </c:pt>
                <c:pt idx="272">
                  <c:v>5.22435828739987</c:v>
                </c:pt>
                <c:pt idx="273">
                  <c:v>5.20111414710569</c:v>
                </c:pt>
                <c:pt idx="274">
                  <c:v>5.22115554091327</c:v>
                </c:pt>
                <c:pt idx="275">
                  <c:v>5.29526205613663</c:v>
                </c:pt>
                <c:pt idx="276">
                  <c:v>5.2982922288716</c:v>
                </c:pt>
                <c:pt idx="277">
                  <c:v>5.21690127487306</c:v>
                </c:pt>
                <c:pt idx="278">
                  <c:v>5.20047295076435</c:v>
                </c:pt>
                <c:pt idx="279">
                  <c:v>5.26283226116348</c:v>
                </c:pt>
                <c:pt idx="280">
                  <c:v>5.29911392889005</c:v>
                </c:pt>
                <c:pt idx="281">
                  <c:v>5.29259303365638</c:v>
                </c:pt>
                <c:pt idx="282">
                  <c:v>5.21099416894551</c:v>
                </c:pt>
                <c:pt idx="283">
                  <c:v>5.20083807079346</c:v>
                </c:pt>
                <c:pt idx="284">
                  <c:v>5.27652877380425</c:v>
                </c:pt>
                <c:pt idx="285">
                  <c:v>5.30061052105459</c:v>
                </c:pt>
                <c:pt idx="286">
                  <c:v>5.27071297513639</c:v>
                </c:pt>
                <c:pt idx="287">
                  <c:v>5.20605992659971</c:v>
                </c:pt>
                <c:pt idx="288">
                  <c:v>5.20271879557235</c:v>
                </c:pt>
                <c:pt idx="289">
                  <c:v>5.28446836492133</c:v>
                </c:pt>
                <c:pt idx="290">
                  <c:v>5.30108119096478</c:v>
                </c:pt>
                <c:pt idx="291">
                  <c:v>5.23518017761774</c:v>
                </c:pt>
                <c:pt idx="292">
                  <c:v>5.20257737821491</c:v>
                </c:pt>
                <c:pt idx="293">
                  <c:v>5.20756568949769</c:v>
                </c:pt>
                <c:pt idx="294">
                  <c:v>5.29049337558482</c:v>
                </c:pt>
                <c:pt idx="295">
                  <c:v>5.30047077694981</c:v>
                </c:pt>
                <c:pt idx="296">
                  <c:v>5.22403092766602</c:v>
                </c:pt>
                <c:pt idx="297">
                  <c:v>5.20108326372808</c:v>
                </c:pt>
                <c:pt idx="298">
                  <c:v>5.22238268872088</c:v>
                </c:pt>
                <c:pt idx="299">
                  <c:v>5.2954319578002</c:v>
                </c:pt>
                <c:pt idx="300">
                  <c:v>5.29818470131914</c:v>
                </c:pt>
                <c:pt idx="301">
                  <c:v>5.21666890177046</c:v>
                </c:pt>
                <c:pt idx="302">
                  <c:v>5.20047877985875</c:v>
                </c:pt>
                <c:pt idx="303">
                  <c:v>5.26364091709914</c:v>
                </c:pt>
                <c:pt idx="304">
                  <c:v>5.29920437730896</c:v>
                </c:pt>
                <c:pt idx="305">
                  <c:v>5.29230491847996</c:v>
                </c:pt>
                <c:pt idx="306">
                  <c:v>5.21080688777718</c:v>
                </c:pt>
                <c:pt idx="307">
                  <c:v>5.20088954142241</c:v>
                </c:pt>
                <c:pt idx="308">
                  <c:v>5.27687833925234</c:v>
                </c:pt>
                <c:pt idx="309">
                  <c:v>5.30065220757188</c:v>
                </c:pt>
                <c:pt idx="310">
                  <c:v>5.2689742739455</c:v>
                </c:pt>
                <c:pt idx="311">
                  <c:v>5.20590441290909</c:v>
                </c:pt>
                <c:pt idx="312">
                  <c:v>5.20284704148381</c:v>
                </c:pt>
                <c:pt idx="313">
                  <c:v>5.28471040873449</c:v>
                </c:pt>
                <c:pt idx="314">
                  <c:v>5.30109021687691</c:v>
                </c:pt>
                <c:pt idx="315">
                  <c:v>5.23468352968986</c:v>
                </c:pt>
                <c:pt idx="316">
                  <c:v>5.20251833860743</c:v>
                </c:pt>
                <c:pt idx="317">
                  <c:v>5.20787788265027</c:v>
                </c:pt>
                <c:pt idx="318">
                  <c:v>5.29068974568637</c:v>
                </c:pt>
                <c:pt idx="319">
                  <c:v>5.30043658004059</c:v>
                </c:pt>
                <c:pt idx="320">
                  <c:v>5.22373485851947</c:v>
                </c:pt>
                <c:pt idx="321">
                  <c:v>5.2010580702976</c:v>
                </c:pt>
                <c:pt idx="322">
                  <c:v>5.22368907522357</c:v>
                </c:pt>
                <c:pt idx="323">
                  <c:v>5.29559866352718</c:v>
                </c:pt>
                <c:pt idx="324">
                  <c:v>5.29806849238792</c:v>
                </c:pt>
                <c:pt idx="325">
                  <c:v>5.21642576294224</c:v>
                </c:pt>
                <c:pt idx="326">
                  <c:v>5.20048976743621</c:v>
                </c:pt>
                <c:pt idx="327">
                  <c:v>5.26449110038636</c:v>
                </c:pt>
                <c:pt idx="328">
                  <c:v>5.29930027682838</c:v>
                </c:pt>
                <c:pt idx="329">
                  <c:v>5.29195154023853</c:v>
                </c:pt>
                <c:pt idx="330">
                  <c:v>5.21058146106929</c:v>
                </c:pt>
                <c:pt idx="331">
                  <c:v>5.20096001407929</c:v>
                </c:pt>
                <c:pt idx="332">
                  <c:v>5.27731521165361</c:v>
                </c:pt>
                <c:pt idx="333">
                  <c:v>5.30070157522933</c:v>
                </c:pt>
                <c:pt idx="334">
                  <c:v>5.26647050401726</c:v>
                </c:pt>
                <c:pt idx="335">
                  <c:v>5.20568893748229</c:v>
                </c:pt>
                <c:pt idx="336">
                  <c:v>5.20304203345892</c:v>
                </c:pt>
                <c:pt idx="337">
                  <c:v>5.28506276134022</c:v>
                </c:pt>
                <c:pt idx="338">
                  <c:v>5.30109688505792</c:v>
                </c:pt>
                <c:pt idx="339">
                  <c:v>5.23393144344793</c:v>
                </c:pt>
                <c:pt idx="340">
                  <c:v>5.20242961210655</c:v>
                </c:pt>
                <c:pt idx="341">
                  <c:v>5.20843016426178</c:v>
                </c:pt>
                <c:pt idx="342">
                  <c:v>5.29102444256554</c:v>
                </c:pt>
                <c:pt idx="343">
                  <c:v>5.30036388951992</c:v>
                </c:pt>
                <c:pt idx="344">
                  <c:v>5.22319377538833</c:v>
                </c:pt>
                <c:pt idx="345">
                  <c:v>5.20101770273228</c:v>
                </c:pt>
                <c:pt idx="346">
                  <c:v>5.22665390536971</c:v>
                </c:pt>
                <c:pt idx="347">
                  <c:v>5.29593576426091</c:v>
                </c:pt>
                <c:pt idx="348">
                  <c:v>5.29779483470635</c:v>
                </c:pt>
                <c:pt idx="349">
                  <c:v>5.2158875994227</c:v>
                </c:pt>
                <c:pt idx="350">
                  <c:v>5.20052797901191</c:v>
                </c:pt>
                <c:pt idx="351">
                  <c:v>5.26634765240919</c:v>
                </c:pt>
                <c:pt idx="352">
                  <c:v>5.29950966674425</c:v>
                </c:pt>
                <c:pt idx="353">
                  <c:v>5.29091543742372</c:v>
                </c:pt>
                <c:pt idx="354">
                  <c:v>5.20996442038029</c:v>
                </c:pt>
                <c:pt idx="355">
                  <c:v>5.20118698347874</c:v>
                </c:pt>
                <c:pt idx="356">
                  <c:v>5.27857331612501</c:v>
                </c:pt>
                <c:pt idx="357">
                  <c:v>5.30081772137861</c:v>
                </c:pt>
                <c:pt idx="358">
                  <c:v>5.25754295357148</c:v>
                </c:pt>
                <c:pt idx="359">
                  <c:v>5.20494585997028</c:v>
                </c:pt>
                <c:pt idx="360">
                  <c:v>5.20382190512011</c:v>
                </c:pt>
                <c:pt idx="361">
                  <c:v>5.28640647626677</c:v>
                </c:pt>
                <c:pt idx="362">
                  <c:v>5.3010237311187</c:v>
                </c:pt>
                <c:pt idx="363">
                  <c:v>5.23081836367749</c:v>
                </c:pt>
                <c:pt idx="364">
                  <c:v>5.2020448430124</c:v>
                </c:pt>
                <c:pt idx="365">
                  <c:v>5.21143293845034</c:v>
                </c:pt>
                <c:pt idx="366">
                  <c:v>5.29272002102034</c:v>
                </c:pt>
                <c:pt idx="367">
                  <c:v>5.29963866590287</c:v>
                </c:pt>
                <c:pt idx="368">
                  <c:v>5.22019863651692</c:v>
                </c:pt>
                <c:pt idx="369">
                  <c:v>5.20076035120268</c:v>
                </c:pt>
                <c:pt idx="370">
                  <c:v>5.25011883685606</c:v>
                </c:pt>
                <c:pt idx="371">
                  <c:v>5.29791106718518</c:v>
                </c:pt>
                <c:pt idx="372">
                  <c:v>5.29499677693647</c:v>
                </c:pt>
                <c:pt idx="373">
                  <c:v>5.21270163888511</c:v>
                </c:pt>
                <c:pt idx="374">
                  <c:v>5.20065634506387</c:v>
                </c:pt>
                <c:pt idx="375">
                  <c:v>5.27382224556942</c:v>
                </c:pt>
                <c:pt idx="376">
                  <c:v>5.3002805563724</c:v>
                </c:pt>
                <c:pt idx="377">
                  <c:v>5.27919417113887</c:v>
                </c:pt>
                <c:pt idx="378">
                  <c:v>5.20697652955994</c:v>
                </c:pt>
                <c:pt idx="379">
                  <c:v>5.20218737656944</c:v>
                </c:pt>
                <c:pt idx="380">
                  <c:v>5.28324539286153</c:v>
                </c:pt>
                <c:pt idx="381">
                  <c:v>5.30100638172733</c:v>
                </c:pt>
                <c:pt idx="382">
                  <c:v>5.23755127507742</c:v>
                </c:pt>
                <c:pt idx="383">
                  <c:v>5.20286667155978</c:v>
                </c:pt>
                <c:pt idx="384">
                  <c:v>5.20653757484643</c:v>
                </c:pt>
                <c:pt idx="385">
                  <c:v>5.2897793952975</c:v>
                </c:pt>
                <c:pt idx="386">
                  <c:v>5.30055871329633</c:v>
                </c:pt>
                <c:pt idx="387">
                  <c:v>5.22500106733134</c:v>
                </c:pt>
                <c:pt idx="388">
                  <c:v>5.20118486708081</c:v>
                </c:pt>
                <c:pt idx="389">
                  <c:v>5.21926635347216</c:v>
                </c:pt>
                <c:pt idx="390">
                  <c:v>5.29496851948684</c:v>
                </c:pt>
                <c:pt idx="391">
                  <c:v>5.2984571158368</c:v>
                </c:pt>
                <c:pt idx="392">
                  <c:v>5.2172717955903</c:v>
                </c:pt>
                <c:pt idx="393">
                  <c:v>5.2004739170174</c:v>
                </c:pt>
                <c:pt idx="394">
                  <c:v>5.26156284352419</c:v>
                </c:pt>
                <c:pt idx="395">
                  <c:v>5.29897445458785</c:v>
                </c:pt>
                <c:pt idx="396">
                  <c:v>5.29297447351331</c:v>
                </c:pt>
                <c:pt idx="397">
                  <c:v>5.21124642913293</c:v>
                </c:pt>
                <c:pt idx="398">
                  <c:v>5.20077981150014</c:v>
                </c:pt>
                <c:pt idx="399">
                  <c:v>5.27607947043273</c:v>
                </c:pt>
                <c:pt idx="400">
                  <c:v>5.30055497229627</c:v>
                </c:pt>
                <c:pt idx="401">
                  <c:v>5.27264526907567</c:v>
                </c:pt>
                <c:pt idx="402">
                  <c:v>5.20624095713177</c:v>
                </c:pt>
                <c:pt idx="403">
                  <c:v>5.20258368669293</c:v>
                </c:pt>
                <c:pt idx="404">
                  <c:v>5.28420006932746</c:v>
                </c:pt>
                <c:pt idx="405">
                  <c:v>5.3010678104396</c:v>
                </c:pt>
                <c:pt idx="406">
                  <c:v>5.23571510572174</c:v>
                </c:pt>
                <c:pt idx="407">
                  <c:v>5.20264144227504</c:v>
                </c:pt>
                <c:pt idx="408">
                  <c:v>5.20727310810439</c:v>
                </c:pt>
                <c:pt idx="409">
                  <c:v>5.29030264273122</c:v>
                </c:pt>
                <c:pt idx="410">
                  <c:v>5.30049901771543</c:v>
                </c:pt>
                <c:pt idx="411">
                  <c:v>5.2243045867504</c:v>
                </c:pt>
                <c:pt idx="412">
                  <c:v>5.20110885450946</c:v>
                </c:pt>
                <c:pt idx="413">
                  <c:v>5.22134275453305</c:v>
                </c:pt>
                <c:pt idx="414">
                  <c:v>5.29528891829169</c:v>
                </c:pt>
                <c:pt idx="415">
                  <c:v>5.29827589309271</c:v>
                </c:pt>
                <c:pt idx="416">
                  <c:v>5.21686550622712</c:v>
                </c:pt>
                <c:pt idx="417">
                  <c:v>5.20047353581787</c:v>
                </c:pt>
                <c:pt idx="418">
                  <c:v>5.26295624715817</c:v>
                </c:pt>
                <c:pt idx="419">
                  <c:v>5.29912773170339</c:v>
                </c:pt>
                <c:pt idx="420">
                  <c:v>5.29255144662772</c:v>
                </c:pt>
                <c:pt idx="421">
                  <c:v>5.21096696466316</c:v>
                </c:pt>
                <c:pt idx="422">
                  <c:v>5.20084512529826</c:v>
                </c:pt>
                <c:pt idx="423">
                  <c:v>5.27657873535339</c:v>
                </c:pt>
                <c:pt idx="424">
                  <c:v>5.30061657690637</c:v>
                </c:pt>
                <c:pt idx="425">
                  <c:v>5.27047793666497</c:v>
                </c:pt>
                <c:pt idx="426">
                  <c:v>5.2060385461857</c:v>
                </c:pt>
                <c:pt idx="427">
                  <c:v>5.20273577121133</c:v>
                </c:pt>
                <c:pt idx="428">
                  <c:v>5.28450101396967</c:v>
                </c:pt>
                <c:pt idx="429">
                  <c:v>5.30108259215934</c:v>
                </c:pt>
                <c:pt idx="430">
                  <c:v>5.23511403608046</c:v>
                </c:pt>
                <c:pt idx="431">
                  <c:v>5.20256949083425</c:v>
                </c:pt>
                <c:pt idx="432">
                  <c:v>5.2076049304213</c:v>
                </c:pt>
                <c:pt idx="433">
                  <c:v>5.29051842353905</c:v>
                </c:pt>
                <c:pt idx="434">
                  <c:v>5.30046672196156</c:v>
                </c:pt>
                <c:pt idx="435">
                  <c:v>5.22399400715399</c:v>
                </c:pt>
                <c:pt idx="436">
                  <c:v>5.20107998354118</c:v>
                </c:pt>
                <c:pt idx="437">
                  <c:v>5.22253475943773</c:v>
                </c:pt>
                <c:pt idx="438">
                  <c:v>5.29545206008795</c:v>
                </c:pt>
                <c:pt idx="439">
                  <c:v>5.29817128212881</c:v>
                </c:pt>
                <c:pt idx="440">
                  <c:v>5.21664040415156</c:v>
                </c:pt>
                <c:pt idx="441">
                  <c:v>5.20047981809142</c:v>
                </c:pt>
                <c:pt idx="442">
                  <c:v>5.26374048365675</c:v>
                </c:pt>
                <c:pt idx="443">
                  <c:v>5.29921557461557</c:v>
                </c:pt>
                <c:pt idx="444">
                  <c:v>5.29226645980593</c:v>
                </c:pt>
                <c:pt idx="445">
                  <c:v>5.21078210914549</c:v>
                </c:pt>
                <c:pt idx="446">
                  <c:v>5.20089685023439</c:v>
                </c:pt>
                <c:pt idx="447">
                  <c:v>5.27692554292552</c:v>
                </c:pt>
                <c:pt idx="448">
                  <c:v>5.30065770226848</c:v>
                </c:pt>
                <c:pt idx="449">
                  <c:v>5.26872197106348</c:v>
                </c:pt>
                <c:pt idx="450">
                  <c:v>5.20588230498645</c:v>
                </c:pt>
                <c:pt idx="451">
                  <c:v>5.20286615307905</c:v>
                </c:pt>
                <c:pt idx="452">
                  <c:v>5.28474566744803</c:v>
                </c:pt>
                <c:pt idx="453">
                  <c:v>5.30109125171269</c:v>
                </c:pt>
                <c:pt idx="454">
                  <c:v>5.23460989223761</c:v>
                </c:pt>
                <c:pt idx="455">
                  <c:v>5.20250961982362</c:v>
                </c:pt>
                <c:pt idx="456">
                  <c:v>5.20792768846721</c:v>
                </c:pt>
                <c:pt idx="457">
                  <c:v>5.29072051634863</c:v>
                </c:pt>
                <c:pt idx="458">
                  <c:v>5.30043069428124</c:v>
                </c:pt>
                <c:pt idx="459">
                  <c:v>5.223687049145</c:v>
                </c:pt>
                <c:pt idx="460">
                  <c:v>5.20105423070839</c:v>
                </c:pt>
                <c:pt idx="461">
                  <c:v>5.22391958903332</c:v>
                </c:pt>
                <c:pt idx="462">
                  <c:v>5.29562676795829</c:v>
                </c:pt>
                <c:pt idx="463">
                  <c:v>5.29804774377341</c:v>
                </c:pt>
                <c:pt idx="464">
                  <c:v>5.21638322510365</c:v>
                </c:pt>
                <c:pt idx="465">
                  <c:v>5.20049215977103</c:v>
                </c:pt>
                <c:pt idx="466">
                  <c:v>5.2646397087661</c:v>
                </c:pt>
                <c:pt idx="467">
                  <c:v>5.29931708734093</c:v>
                </c:pt>
                <c:pt idx="468">
                  <c:v>5.29188337780494</c:v>
                </c:pt>
                <c:pt idx="469">
                  <c:v>5.21053862866686</c:v>
                </c:pt>
                <c:pt idx="470">
                  <c:v>5.20097435364429</c:v>
                </c:pt>
                <c:pt idx="471">
                  <c:v>5.27739996937825</c:v>
                </c:pt>
                <c:pt idx="472">
                  <c:v>5.3007107252487</c:v>
                </c:pt>
                <c:pt idx="473">
                  <c:v>5.26594061768607</c:v>
                </c:pt>
                <c:pt idx="474">
                  <c:v>5.20564424813755</c:v>
                </c:pt>
                <c:pt idx="475">
                  <c:v>5.20308476818925</c:v>
                </c:pt>
                <c:pt idx="476">
                  <c:v>5.28513820104551</c:v>
                </c:pt>
                <c:pt idx="477">
                  <c:v>5.30109715893271</c:v>
                </c:pt>
                <c:pt idx="478">
                  <c:v>5.2337656298456</c:v>
                </c:pt>
                <c:pt idx="479">
                  <c:v>5.20241010615752</c:v>
                </c:pt>
                <c:pt idx="480">
                  <c:v>5.2085647229297</c:v>
                </c:pt>
                <c:pt idx="481">
                  <c:v>5.29110424773138</c:v>
                </c:pt>
                <c:pt idx="482">
                  <c:v>5.3003435118908</c:v>
                </c:pt>
                <c:pt idx="483">
                  <c:v>5.22305819461255</c:v>
                </c:pt>
                <c:pt idx="484">
                  <c:v>5.20100841753695</c:v>
                </c:pt>
                <c:pt idx="485">
                  <c:v>5.22752732559089</c:v>
                </c:pt>
                <c:pt idx="486">
                  <c:v>5.29602656773072</c:v>
                </c:pt>
                <c:pt idx="487">
                  <c:v>5.29771113382362</c:v>
                </c:pt>
                <c:pt idx="488">
                  <c:v>5.21573376917569</c:v>
                </c:pt>
                <c:pt idx="489">
                  <c:v>5.20054105614284</c:v>
                </c:pt>
                <c:pt idx="490">
                  <c:v>5.26686223977836</c:v>
                </c:pt>
                <c:pt idx="491">
                  <c:v>5.29956676611773</c:v>
                </c:pt>
                <c:pt idx="492">
                  <c:v>5.29053725538669</c:v>
                </c:pt>
                <c:pt idx="493">
                  <c:v>5.20976251840541</c:v>
                </c:pt>
                <c:pt idx="494">
                  <c:v>5.20126617084868</c:v>
                </c:pt>
                <c:pt idx="495">
                  <c:v>5.27899362400747</c:v>
                </c:pt>
                <c:pt idx="496">
                  <c:v>5.30084482299285</c:v>
                </c:pt>
                <c:pt idx="497">
                  <c:v>5.25445219157482</c:v>
                </c:pt>
                <c:pt idx="498">
                  <c:v>5.20467933311004</c:v>
                </c:pt>
                <c:pt idx="499">
                  <c:v>5.20411913596631</c:v>
                </c:pt>
                <c:pt idx="500">
                  <c:v>5.28691324676312</c:v>
                </c:pt>
                <c:pt idx="501">
                  <c:v>5.30095131326441</c:v>
                </c:pt>
                <c:pt idx="502">
                  <c:v>5.22965581572413</c:v>
                </c:pt>
                <c:pt idx="503">
                  <c:v>5.20188087585171</c:v>
                </c:pt>
                <c:pt idx="504">
                  <c:v>5.21264385859433</c:v>
                </c:pt>
                <c:pt idx="505">
                  <c:v>5.29328037412561</c:v>
                </c:pt>
                <c:pt idx="506">
                  <c:v>5.29931345453554</c:v>
                </c:pt>
                <c:pt idx="507">
                  <c:v>5.21933072036275</c:v>
                </c:pt>
                <c:pt idx="508">
                  <c:v>5.2006560795034</c:v>
                </c:pt>
                <c:pt idx="509">
                  <c:v>5.2542771856939</c:v>
                </c:pt>
                <c:pt idx="510">
                  <c:v>5.29826598243893</c:v>
                </c:pt>
                <c:pt idx="511">
                  <c:v>5.294380678232</c:v>
                </c:pt>
                <c:pt idx="512">
                  <c:v>5.21223263167884</c:v>
                </c:pt>
                <c:pt idx="513">
                  <c:v>5.20066854458257</c:v>
                </c:pt>
                <c:pt idx="514">
                  <c:v>5.2745240245167</c:v>
                </c:pt>
                <c:pt idx="515">
                  <c:v>5.30036238878744</c:v>
                </c:pt>
                <c:pt idx="516">
                  <c:v>5.27751251817727</c:v>
                </c:pt>
                <c:pt idx="517">
                  <c:v>5.20676234802019</c:v>
                </c:pt>
                <c:pt idx="518">
                  <c:v>5.20228058582204</c:v>
                </c:pt>
                <c:pt idx="519">
                  <c:v>5.28350543707494</c:v>
                </c:pt>
                <c:pt idx="520">
                  <c:v>5.30102371026568</c:v>
                </c:pt>
                <c:pt idx="521">
                  <c:v>5.23705337016984</c:v>
                </c:pt>
                <c:pt idx="522">
                  <c:v>5.20280465201789</c:v>
                </c:pt>
                <c:pt idx="523">
                  <c:v>5.20670396316213</c:v>
                </c:pt>
                <c:pt idx="524">
                  <c:v>5.28990486383806</c:v>
                </c:pt>
                <c:pt idx="525">
                  <c:v>5.300546056749</c:v>
                </c:pt>
                <c:pt idx="526">
                  <c:v>5.2248397418465</c:v>
                </c:pt>
                <c:pt idx="527">
                  <c:v>5.20116579318606</c:v>
                </c:pt>
                <c:pt idx="528">
                  <c:v>5.21968659061965</c:v>
                </c:pt>
                <c:pt idx="529">
                  <c:v>5.29503767005971</c:v>
                </c:pt>
                <c:pt idx="530">
                  <c:v>5.29842026771707</c:v>
                </c:pt>
                <c:pt idx="531">
                  <c:v>5.2171875333165</c:v>
                </c:pt>
                <c:pt idx="532">
                  <c:v>5.20047254687513</c:v>
                </c:pt>
                <c:pt idx="533">
                  <c:v>5.26184895989931</c:v>
                </c:pt>
                <c:pt idx="534">
                  <c:v>5.29900555262975</c:v>
                </c:pt>
                <c:pt idx="535">
                  <c:v>5.29289487136943</c:v>
                </c:pt>
                <c:pt idx="536">
                  <c:v>5.21119336233727</c:v>
                </c:pt>
                <c:pt idx="537">
                  <c:v>5.20079097747379</c:v>
                </c:pt>
                <c:pt idx="538">
                  <c:v>5.27617186270061</c:v>
                </c:pt>
                <c:pt idx="539">
                  <c:v>5.30056652493511</c:v>
                </c:pt>
                <c:pt idx="540">
                  <c:v>5.27227301596057</c:v>
                </c:pt>
                <c:pt idx="541">
                  <c:v>5.2062052697829</c:v>
                </c:pt>
                <c:pt idx="542">
                  <c:v>5.20260908369816</c:v>
                </c:pt>
                <c:pt idx="543">
                  <c:v>5.28425179676344</c:v>
                </c:pt>
                <c:pt idx="544">
                  <c:v>5.3010706266242</c:v>
                </c:pt>
                <c:pt idx="545">
                  <c:v>5.23561306395808</c:v>
                </c:pt>
                <c:pt idx="546">
                  <c:v>5.20262918090698</c:v>
                </c:pt>
                <c:pt idx="547">
                  <c:v>5.20732563987208</c:v>
                </c:pt>
                <c:pt idx="548">
                  <c:v>5.29033744940305</c:v>
                </c:pt>
                <c:pt idx="549">
                  <c:v>5.30049419176811</c:v>
                </c:pt>
                <c:pt idx="550">
                  <c:v>5.22425558915695</c:v>
                </c:pt>
                <c:pt idx="551">
                  <c:v>5.20110410439662</c:v>
                </c:pt>
                <c:pt idx="552">
                  <c:v>5.22151818871011</c:v>
                </c:pt>
                <c:pt idx="553">
                  <c:v>5.29531376820243</c:v>
                </c:pt>
                <c:pt idx="554">
                  <c:v>5.29826056759818</c:v>
                </c:pt>
                <c:pt idx="555">
                  <c:v>5.21683210343143</c:v>
                </c:pt>
                <c:pt idx="556">
                  <c:v>5.20047418682538</c:v>
                </c:pt>
                <c:pt idx="557">
                  <c:v>5.2630722191582</c:v>
                </c:pt>
                <c:pt idx="558">
                  <c:v>5.29914066587547</c:v>
                </c:pt>
                <c:pt idx="559">
                  <c:v>5.29251174628895</c:v>
                </c:pt>
                <c:pt idx="560">
                  <c:v>5.21094104737287</c:v>
                </c:pt>
                <c:pt idx="561">
                  <c:v>5.20085198128389</c:v>
                </c:pt>
                <c:pt idx="562">
                  <c:v>5.27662659658563</c:v>
                </c:pt>
                <c:pt idx="563">
                  <c:v>5.30062234979743</c:v>
                </c:pt>
                <c:pt idx="564">
                  <c:v>5.27024869734552</c:v>
                </c:pt>
                <c:pt idx="565">
                  <c:v>5.20601780907723</c:v>
                </c:pt>
                <c:pt idx="566">
                  <c:v>5.20275243820561</c:v>
                </c:pt>
                <c:pt idx="567">
                  <c:v>5.28453287307759</c:v>
                </c:pt>
                <c:pt idx="568">
                  <c:v>5.30108390682984</c:v>
                </c:pt>
                <c:pt idx="569">
                  <c:v>5.2350492512597</c:v>
                </c:pt>
                <c:pt idx="570">
                  <c:v>5.2025617727319</c:v>
                </c:pt>
                <c:pt idx="571">
                  <c:v>5.20764404962987</c:v>
                </c:pt>
                <c:pt idx="572">
                  <c:v>5.29054328174039</c:v>
                </c:pt>
                <c:pt idx="573">
                  <c:v>5.30046261244883</c:v>
                </c:pt>
                <c:pt idx="574">
                  <c:v>5.22395712836984</c:v>
                </c:pt>
                <c:pt idx="575">
                  <c:v>5.20107674739396</c:v>
                </c:pt>
                <c:pt idx="576">
                  <c:v>5.22268962853894</c:v>
                </c:pt>
                <c:pt idx="577">
                  <c:v>5.29547233379106</c:v>
                </c:pt>
                <c:pt idx="578">
                  <c:v>5.2981575894025</c:v>
                </c:pt>
                <c:pt idx="579">
                  <c:v>5.21661143901258</c:v>
                </c:pt>
                <c:pt idx="580">
                  <c:v>5.20048094351325</c:v>
                </c:pt>
                <c:pt idx="581">
                  <c:v>5.26384173375089</c:v>
                </c:pt>
                <c:pt idx="582">
                  <c:v>5.29922697236474</c:v>
                </c:pt>
                <c:pt idx="583">
                  <c:v>5.29222660825082</c:v>
                </c:pt>
                <c:pt idx="584">
                  <c:v>5.21075649172947</c:v>
                </c:pt>
                <c:pt idx="585">
                  <c:v>5.20090452454218</c:v>
                </c:pt>
                <c:pt idx="586">
                  <c:v>5.27697456705482</c:v>
                </c:pt>
                <c:pt idx="587">
                  <c:v>5.30066337088358</c:v>
                </c:pt>
                <c:pt idx="588">
                  <c:v>5.26845533940747</c:v>
                </c:pt>
                <c:pt idx="589">
                  <c:v>5.20585905092012</c:v>
                </c:pt>
                <c:pt idx="590">
                  <c:v>5.20288648438119</c:v>
                </c:pt>
                <c:pt idx="591">
                  <c:v>5.2847829782495</c:v>
                </c:pt>
                <c:pt idx="592">
                  <c:v>5.30109226302608</c:v>
                </c:pt>
                <c:pt idx="593">
                  <c:v>5.23453158873292</c:v>
                </c:pt>
                <c:pt idx="594">
                  <c:v>5.20250035758205</c:v>
                </c:pt>
                <c:pt idx="595">
                  <c:v>5.20798166611579</c:v>
                </c:pt>
                <c:pt idx="596">
                  <c:v>5.29075371276572</c:v>
                </c:pt>
                <c:pt idx="597">
                  <c:v>5.30042417376558</c:v>
                </c:pt>
                <c:pt idx="598">
                  <c:v>5.22363502906423</c:v>
                </c:pt>
                <c:pt idx="599">
                  <c:v>5.20105012049529</c:v>
                </c:pt>
                <c:pt idx="600">
                  <c:v>5.25474006716908</c:v>
                </c:pt>
                <c:pt idx="601">
                  <c:v>5.33379516230411</c:v>
                </c:pt>
                <c:pt idx="602">
                  <c:v>5.27096135039656</c:v>
                </c:pt>
                <c:pt idx="603">
                  <c:v>5.2404164665361</c:v>
                </c:pt>
                <c:pt idx="604">
                  <c:v>5.23316653936004</c:v>
                </c:pt>
                <c:pt idx="605">
                  <c:v>5.22849519530616</c:v>
                </c:pt>
                <c:pt idx="606">
                  <c:v>5.22911545916432</c:v>
                </c:pt>
                <c:pt idx="607">
                  <c:v>5.23838365300222</c:v>
                </c:pt>
                <c:pt idx="608">
                  <c:v>5.29446842916703</c:v>
                </c:pt>
                <c:pt idx="609">
                  <c:v>5.28568918965826</c:v>
                </c:pt>
                <c:pt idx="610">
                  <c:v>5.23771902521401</c:v>
                </c:pt>
                <c:pt idx="611">
                  <c:v>5.23128844604414</c:v>
                </c:pt>
                <c:pt idx="612">
                  <c:v>5.23224726110618</c:v>
                </c:pt>
                <c:pt idx="613">
                  <c:v>5.24170783584762</c:v>
                </c:pt>
                <c:pt idx="614">
                  <c:v>5.29040531977311</c:v>
                </c:pt>
                <c:pt idx="615">
                  <c:v>5.27346680398335</c:v>
                </c:pt>
                <c:pt idx="616">
                  <c:v>5.23749640027724</c:v>
                </c:pt>
                <c:pt idx="617">
                  <c:v>5.23222759237317</c:v>
                </c:pt>
                <c:pt idx="618">
                  <c:v>5.23430520011743</c:v>
                </c:pt>
                <c:pt idx="619">
                  <c:v>5.24647825292191</c:v>
                </c:pt>
                <c:pt idx="620">
                  <c:v>5.29536758141259</c:v>
                </c:pt>
                <c:pt idx="621">
                  <c:v>5.25917995280513</c:v>
                </c:pt>
                <c:pt idx="622">
                  <c:v>5.23588500534483</c:v>
                </c:pt>
                <c:pt idx="623">
                  <c:v>5.23280972942392</c:v>
                </c:pt>
                <c:pt idx="624">
                  <c:v>5.23690067689157</c:v>
                </c:pt>
                <c:pt idx="625">
                  <c:v>5.25510743205221</c:v>
                </c:pt>
                <c:pt idx="626">
                  <c:v>5.29883377838277</c:v>
                </c:pt>
                <c:pt idx="627">
                  <c:v>5.24855313101257</c:v>
                </c:pt>
                <c:pt idx="628">
                  <c:v>5.23440075969656</c:v>
                </c:pt>
                <c:pt idx="629">
                  <c:v>5.23377528962223</c:v>
                </c:pt>
                <c:pt idx="630">
                  <c:v>5.24101405732257</c:v>
                </c:pt>
                <c:pt idx="631">
                  <c:v>5.2732169815084</c:v>
                </c:pt>
                <c:pt idx="632">
                  <c:v>5.28430571511465</c:v>
                </c:pt>
                <c:pt idx="633">
                  <c:v>5.24055845414494</c:v>
                </c:pt>
                <c:pt idx="634">
                  <c:v>5.23358155778868</c:v>
                </c:pt>
                <c:pt idx="635">
                  <c:v>5.23566547575707</c:v>
                </c:pt>
                <c:pt idx="636">
                  <c:v>5.24803887190735</c:v>
                </c:pt>
                <c:pt idx="637">
                  <c:v>5.29264036391412</c:v>
                </c:pt>
                <c:pt idx="638">
                  <c:v>5.25712763069843</c:v>
                </c:pt>
                <c:pt idx="639">
                  <c:v>5.23612331866427</c:v>
                </c:pt>
                <c:pt idx="640">
                  <c:v>5.23377755922529</c:v>
                </c:pt>
                <c:pt idx="641">
                  <c:v>5.2391335411596</c:v>
                </c:pt>
                <c:pt idx="642">
                  <c:v>5.26169467071029</c:v>
                </c:pt>
                <c:pt idx="643">
                  <c:v>5.29384250549822</c:v>
                </c:pt>
                <c:pt idx="644">
                  <c:v>5.24441501128731</c:v>
                </c:pt>
                <c:pt idx="645">
                  <c:v>5.23423233605318</c:v>
                </c:pt>
                <c:pt idx="646">
                  <c:v>5.23518535316797</c:v>
                </c:pt>
                <c:pt idx="647">
                  <c:v>5.24530142470176</c:v>
                </c:pt>
                <c:pt idx="648">
                  <c:v>5.28646050659742</c:v>
                </c:pt>
                <c:pt idx="649">
                  <c:v>5.26382210115223</c:v>
                </c:pt>
                <c:pt idx="650">
                  <c:v>5.23743849841272</c:v>
                </c:pt>
                <c:pt idx="651">
                  <c:v>5.16870006170365</c:v>
                </c:pt>
                <c:pt idx="652">
                  <c:v>5.1051975296953</c:v>
                </c:pt>
                <c:pt idx="653">
                  <c:v>5.04867824022713</c:v>
                </c:pt>
                <c:pt idx="654">
                  <c:v>4.99458208429854</c:v>
                </c:pt>
                <c:pt idx="655">
                  <c:v>4.9418431586988</c:v>
                </c:pt>
                <c:pt idx="656">
                  <c:v>4.89020633166416</c:v>
                </c:pt>
                <c:pt idx="657">
                  <c:v>4.83968426800122</c:v>
                </c:pt>
                <c:pt idx="658">
                  <c:v>4.79041960368022</c:v>
                </c:pt>
                <c:pt idx="659">
                  <c:v>4.74264914135892</c:v>
                </c:pt>
                <c:pt idx="660">
                  <c:v>4.69670921324159</c:v>
                </c:pt>
                <c:pt idx="661">
                  <c:v>4.65307262637934</c:v>
                </c:pt>
                <c:pt idx="662">
                  <c:v>4.61243227947881</c:v>
                </c:pt>
                <c:pt idx="663">
                  <c:v>4.57588631453722</c:v>
                </c:pt>
                <c:pt idx="664">
                  <c:v>4.54540808513792</c:v>
                </c:pt>
                <c:pt idx="665">
                  <c:v>4.52540764009298</c:v>
                </c:pt>
                <c:pt idx="666">
                  <c:v>4.53218210557229</c:v>
                </c:pt>
                <c:pt idx="667">
                  <c:v>4.68315001052635</c:v>
                </c:pt>
                <c:pt idx="668">
                  <c:v>4.72571909162112</c:v>
                </c:pt>
                <c:pt idx="669">
                  <c:v>4.80504633531178</c:v>
                </c:pt>
                <c:pt idx="670">
                  <c:v>4.87761341139203</c:v>
                </c:pt>
                <c:pt idx="671">
                  <c:v>4.92904772255551</c:v>
                </c:pt>
                <c:pt idx="672">
                  <c:v>4.82908857232562</c:v>
                </c:pt>
                <c:pt idx="673">
                  <c:v>4.79774268208961</c:v>
                </c:pt>
                <c:pt idx="674">
                  <c:v>4.77143619466629</c:v>
                </c:pt>
                <c:pt idx="675">
                  <c:v>4.73737964290374</c:v>
                </c:pt>
                <c:pt idx="676">
                  <c:v>4.70837115903692</c:v>
                </c:pt>
                <c:pt idx="677">
                  <c:v>4.68644305582658</c:v>
                </c:pt>
                <c:pt idx="678">
                  <c:v>4.67601204886007</c:v>
                </c:pt>
                <c:pt idx="679">
                  <c:v>4.6893056561682</c:v>
                </c:pt>
                <c:pt idx="680">
                  <c:v>4.78837605013792</c:v>
                </c:pt>
                <c:pt idx="681">
                  <c:v>4.81568463918076</c:v>
                </c:pt>
                <c:pt idx="682">
                  <c:v>4.76392174441899</c:v>
                </c:pt>
                <c:pt idx="683">
                  <c:v>4.72663123106685</c:v>
                </c:pt>
                <c:pt idx="684">
                  <c:v>4.7233086556077</c:v>
                </c:pt>
                <c:pt idx="685">
                  <c:v>4.7293818371835</c:v>
                </c:pt>
                <c:pt idx="686">
                  <c:v>4.78536683405341</c:v>
                </c:pt>
                <c:pt idx="687">
                  <c:v>4.81749367697108</c:v>
                </c:pt>
                <c:pt idx="688">
                  <c:v>4.74257083191702</c:v>
                </c:pt>
                <c:pt idx="689">
                  <c:v>4.73066847622742</c:v>
                </c:pt>
                <c:pt idx="690">
                  <c:v>4.72944349208303</c:v>
                </c:pt>
                <c:pt idx="691">
                  <c:v>4.7349552055589</c:v>
                </c:pt>
                <c:pt idx="692">
                  <c:v>4.7648365060223</c:v>
                </c:pt>
                <c:pt idx="693">
                  <c:v>4.80895230119845</c:v>
                </c:pt>
                <c:pt idx="694">
                  <c:v>4.74463339628969</c:v>
                </c:pt>
                <c:pt idx="695">
                  <c:v>4.73243713678077</c:v>
                </c:pt>
                <c:pt idx="696">
                  <c:v>4.7315258483816</c:v>
                </c:pt>
                <c:pt idx="697">
                  <c:v>4.73755054491789</c:v>
                </c:pt>
                <c:pt idx="698">
                  <c:v>4.76703495394506</c:v>
                </c:pt>
                <c:pt idx="699">
                  <c:v>4.80259793291876</c:v>
                </c:pt>
                <c:pt idx="700">
                  <c:v>4.74319134547321</c:v>
                </c:pt>
                <c:pt idx="701">
                  <c:v>4.73283544313259</c:v>
                </c:pt>
                <c:pt idx="702">
                  <c:v>4.73289016527342</c:v>
                </c:pt>
                <c:pt idx="703">
                  <c:v>4.7407751431307</c:v>
                </c:pt>
                <c:pt idx="704">
                  <c:v>4.77979945156829</c:v>
                </c:pt>
                <c:pt idx="705">
                  <c:v>4.78448400849716</c:v>
                </c:pt>
                <c:pt idx="706">
                  <c:v>4.73947161371615</c:v>
                </c:pt>
                <c:pt idx="707">
                  <c:v>4.73276797548007</c:v>
                </c:pt>
                <c:pt idx="708">
                  <c:v>4.73445143174988</c:v>
                </c:pt>
                <c:pt idx="709">
                  <c:v>4.74578582010471</c:v>
                </c:pt>
                <c:pt idx="710">
                  <c:v>4.79279983300554</c:v>
                </c:pt>
                <c:pt idx="711">
                  <c:v>4.76115636942921</c:v>
                </c:pt>
                <c:pt idx="712">
                  <c:v>4.7363056369846</c:v>
                </c:pt>
                <c:pt idx="713">
                  <c:v>4.73289512930744</c:v>
                </c:pt>
                <c:pt idx="714">
                  <c:v>4.73677753128931</c:v>
                </c:pt>
                <c:pt idx="715">
                  <c:v>4.75432721737407</c:v>
                </c:pt>
                <c:pt idx="716">
                  <c:v>4.79855367047862</c:v>
                </c:pt>
                <c:pt idx="717">
                  <c:v>4.74914962974511</c:v>
                </c:pt>
                <c:pt idx="718">
                  <c:v>4.73443227146223</c:v>
                </c:pt>
                <c:pt idx="719">
                  <c:v>4.7335726013194</c:v>
                </c:pt>
                <c:pt idx="720">
                  <c:v>4.74045242928552</c:v>
                </c:pt>
                <c:pt idx="721">
                  <c:v>4.7712368016868</c:v>
                </c:pt>
                <c:pt idx="722">
                  <c:v>4.78827073219207</c:v>
                </c:pt>
                <c:pt idx="723">
                  <c:v>4.74111335122444</c:v>
                </c:pt>
                <c:pt idx="724">
                  <c:v>4.73342600343157</c:v>
                </c:pt>
                <c:pt idx="725">
                  <c:v>4.7350560051163</c:v>
                </c:pt>
                <c:pt idx="726">
                  <c:v>4.74640868173168</c:v>
                </c:pt>
                <c:pt idx="727">
                  <c:v>4.79141087153741</c:v>
                </c:pt>
                <c:pt idx="728">
                  <c:v>4.76027061322311</c:v>
                </c:pt>
                <c:pt idx="729">
                  <c:v>4.73643773336194</c:v>
                </c:pt>
                <c:pt idx="730">
                  <c:v>4.73331805344749</c:v>
                </c:pt>
                <c:pt idx="731">
                  <c:v>4.73771926815929</c:v>
                </c:pt>
                <c:pt idx="732">
                  <c:v>4.756949187125</c:v>
                </c:pt>
                <c:pt idx="733">
                  <c:v>4.79729637962313</c:v>
                </c:pt>
                <c:pt idx="734">
                  <c:v>4.74716161086201</c:v>
                </c:pt>
                <c:pt idx="735">
                  <c:v>4.73430568066514</c:v>
                </c:pt>
                <c:pt idx="736">
                  <c:v>4.73413025967959</c:v>
                </c:pt>
                <c:pt idx="737">
                  <c:v>4.74216753076022</c:v>
                </c:pt>
                <c:pt idx="738">
                  <c:v>4.77818204368244</c:v>
                </c:pt>
                <c:pt idx="739">
                  <c:v>4.77673503539378</c:v>
                </c:pt>
                <c:pt idx="740">
                  <c:v>4.73925856207545</c:v>
                </c:pt>
                <c:pt idx="741">
                  <c:v>4.73343011434412</c:v>
                </c:pt>
                <c:pt idx="742">
                  <c:v>4.73602207489519</c:v>
                </c:pt>
                <c:pt idx="743">
                  <c:v>4.74969279523917</c:v>
                </c:pt>
                <c:pt idx="744">
                  <c:v>4.79476659735903</c:v>
                </c:pt>
                <c:pt idx="745">
                  <c:v>4.75433547041941</c:v>
                </c:pt>
                <c:pt idx="746">
                  <c:v>4.73551756262674</c:v>
                </c:pt>
                <c:pt idx="747">
                  <c:v>4.73363764551117</c:v>
                </c:pt>
                <c:pt idx="748">
                  <c:v>4.7393976682785</c:v>
                </c:pt>
                <c:pt idx="749">
                  <c:v>4.7640658656438</c:v>
                </c:pt>
                <c:pt idx="750">
                  <c:v>4.79356441195525</c:v>
                </c:pt>
                <c:pt idx="751">
                  <c:v>4.74338357606298</c:v>
                </c:pt>
                <c:pt idx="752">
                  <c:v>4.73385871248159</c:v>
                </c:pt>
                <c:pt idx="753">
                  <c:v>4.73488622905205</c:v>
                </c:pt>
                <c:pt idx="754">
                  <c:v>4.74507137083536</c:v>
                </c:pt>
                <c:pt idx="755">
                  <c:v>4.78766835790785</c:v>
                </c:pt>
                <c:pt idx="756">
                  <c:v>4.76411930577819</c:v>
                </c:pt>
                <c:pt idx="757">
                  <c:v>4.73720839898156</c:v>
                </c:pt>
                <c:pt idx="758">
                  <c:v>4.73344766807029</c:v>
                </c:pt>
                <c:pt idx="759">
                  <c:v>4.73741638791828</c:v>
                </c:pt>
                <c:pt idx="760">
                  <c:v>4.75509977598177</c:v>
                </c:pt>
                <c:pt idx="761">
                  <c:v>4.79676134388699</c:v>
                </c:pt>
                <c:pt idx="762">
                  <c:v>4.74852063273284</c:v>
                </c:pt>
                <c:pt idx="763">
                  <c:v>4.73459516963176</c:v>
                </c:pt>
                <c:pt idx="764">
                  <c:v>4.73412765076299</c:v>
                </c:pt>
                <c:pt idx="765">
                  <c:v>4.74177439724954</c:v>
                </c:pt>
                <c:pt idx="766">
                  <c:v>4.77563403821896</c:v>
                </c:pt>
                <c:pt idx="767">
                  <c:v>4.77934743049379</c:v>
                </c:pt>
                <c:pt idx="768">
                  <c:v>4.73980959473363</c:v>
                </c:pt>
                <c:pt idx="769">
                  <c:v>4.73353702197689</c:v>
                </c:pt>
                <c:pt idx="770">
                  <c:v>4.73595497912071</c:v>
                </c:pt>
                <c:pt idx="771">
                  <c:v>4.74919795155658</c:v>
                </c:pt>
                <c:pt idx="772">
                  <c:v>4.79404328114382</c:v>
                </c:pt>
                <c:pt idx="773">
                  <c:v>4.75511308652908</c:v>
                </c:pt>
                <c:pt idx="774">
                  <c:v>4.73568857136097</c:v>
                </c:pt>
                <c:pt idx="775">
                  <c:v>4.73366730250997</c:v>
                </c:pt>
                <c:pt idx="776">
                  <c:v>4.73930090014833</c:v>
                </c:pt>
                <c:pt idx="777">
                  <c:v>4.76334563730212</c:v>
                </c:pt>
                <c:pt idx="778">
                  <c:v>4.79381314259619</c:v>
                </c:pt>
                <c:pt idx="779">
                  <c:v>4.74366918690879</c:v>
                </c:pt>
                <c:pt idx="780">
                  <c:v>4.73392356945299</c:v>
                </c:pt>
                <c:pt idx="781">
                  <c:v>4.73488727698413</c:v>
                </c:pt>
                <c:pt idx="782">
                  <c:v>4.74496399632023</c:v>
                </c:pt>
                <c:pt idx="783">
                  <c:v>4.78721856391238</c:v>
                </c:pt>
                <c:pt idx="784">
                  <c:v>4.76450118946988</c:v>
                </c:pt>
                <c:pt idx="785">
                  <c:v>4.73729450723584</c:v>
                </c:pt>
                <c:pt idx="786">
                  <c:v>4.73347291190983</c:v>
                </c:pt>
                <c:pt idx="787">
                  <c:v>4.737411943049</c:v>
                </c:pt>
                <c:pt idx="788">
                  <c:v>4.75499150337508</c:v>
                </c:pt>
                <c:pt idx="789">
                  <c:v>4.79665917666881</c:v>
                </c:pt>
                <c:pt idx="790">
                  <c:v>4.74860879131389</c:v>
                </c:pt>
                <c:pt idx="791">
                  <c:v>4.73462222541038</c:v>
                </c:pt>
                <c:pt idx="792">
                  <c:v>4.7341430404954</c:v>
                </c:pt>
                <c:pt idx="793">
                  <c:v>4.74178205209331</c:v>
                </c:pt>
                <c:pt idx="794">
                  <c:v>4.77555625360193</c:v>
                </c:pt>
                <c:pt idx="795">
                  <c:v>4.77931661239754</c:v>
                </c:pt>
                <c:pt idx="796">
                  <c:v>4.7398213736364</c:v>
                </c:pt>
                <c:pt idx="797">
                  <c:v>4.73354919292491</c:v>
                </c:pt>
                <c:pt idx="798">
                  <c:v>4.73597527506494</c:v>
                </c:pt>
                <c:pt idx="799">
                  <c:v>4.74924030313111</c:v>
                </c:pt>
                <c:pt idx="800">
                  <c:v>4.7639488063652</c:v>
                </c:pt>
                <c:pt idx="801">
                  <c:v>4.71734264532884</c:v>
                </c:pt>
                <c:pt idx="802">
                  <c:v>4.70705796105417</c:v>
                </c:pt>
                <c:pt idx="803">
                  <c:v>4.78416461317962</c:v>
                </c:pt>
                <c:pt idx="804">
                  <c:v>4.79863596865006</c:v>
                </c:pt>
                <c:pt idx="805">
                  <c:v>4.72817842169202</c:v>
                </c:pt>
                <c:pt idx="806">
                  <c:v>4.70105475104813</c:v>
                </c:pt>
                <c:pt idx="807">
                  <c:v>4.71748133820726</c:v>
                </c:pt>
                <c:pt idx="808">
                  <c:v>4.79433242734345</c:v>
                </c:pt>
                <c:pt idx="809">
                  <c:v>4.79866769501186</c:v>
                </c:pt>
                <c:pt idx="810">
                  <c:v>4.7180969305265</c:v>
                </c:pt>
                <c:pt idx="811">
                  <c:v>4.70034289235967</c:v>
                </c:pt>
                <c:pt idx="812">
                  <c:v>4.75841857789343</c:v>
                </c:pt>
                <c:pt idx="813">
                  <c:v>4.79858849193745</c:v>
                </c:pt>
                <c:pt idx="814">
                  <c:v>4.79409213309183</c:v>
                </c:pt>
                <c:pt idx="815">
                  <c:v>4.71197247714887</c:v>
                </c:pt>
                <c:pt idx="816">
                  <c:v>4.70055156715714</c:v>
                </c:pt>
                <c:pt idx="817">
                  <c:v>4.77453099754402</c:v>
                </c:pt>
                <c:pt idx="818">
                  <c:v>4.8003799616119</c:v>
                </c:pt>
                <c:pt idx="819">
                  <c:v>4.77885220382365</c:v>
                </c:pt>
                <c:pt idx="820">
                  <c:v>4.70690832098572</c:v>
                </c:pt>
                <c:pt idx="821">
                  <c:v>4.7020305267533</c:v>
                </c:pt>
                <c:pt idx="822">
                  <c:v>4.78304799468338</c:v>
                </c:pt>
                <c:pt idx="823">
                  <c:v>4.80104807911424</c:v>
                </c:pt>
                <c:pt idx="824">
                  <c:v>4.73861024476549</c:v>
                </c:pt>
                <c:pt idx="825">
                  <c:v>4.70297496137397</c:v>
                </c:pt>
                <c:pt idx="826">
                  <c:v>4.70593373558596</c:v>
                </c:pt>
                <c:pt idx="827">
                  <c:v>4.78934088741884</c:v>
                </c:pt>
                <c:pt idx="828">
                  <c:v>4.80069764562029</c:v>
                </c:pt>
                <c:pt idx="829">
                  <c:v>4.72588683991916</c:v>
                </c:pt>
                <c:pt idx="830">
                  <c:v>4.70125923101057</c:v>
                </c:pt>
                <c:pt idx="831">
                  <c:v>4.71660689227658</c:v>
                </c:pt>
                <c:pt idx="832">
                  <c:v>4.7944747854559</c:v>
                </c:pt>
                <c:pt idx="833">
                  <c:v>4.79887035809449</c:v>
                </c:pt>
                <c:pt idx="834">
                  <c:v>4.71808463366803</c:v>
                </c:pt>
                <c:pt idx="835">
                  <c:v>4.70044826022358</c:v>
                </c:pt>
                <c:pt idx="836">
                  <c:v>4.75778381135922</c:v>
                </c:pt>
                <c:pt idx="837">
                  <c:v>4.798596518503</c:v>
                </c:pt>
                <c:pt idx="838">
                  <c:v>4.79414023947235</c:v>
                </c:pt>
                <c:pt idx="839">
                  <c:v>4.71200585748125</c:v>
                </c:pt>
                <c:pt idx="840">
                  <c:v>4.70056897906722</c:v>
                </c:pt>
                <c:pt idx="841">
                  <c:v>4.7744589564685</c:v>
                </c:pt>
                <c:pt idx="842">
                  <c:v>4.80038324552096</c:v>
                </c:pt>
                <c:pt idx="843">
                  <c:v>4.77894257263965</c:v>
                </c:pt>
                <c:pt idx="844">
                  <c:v>4.7069263822585</c:v>
                </c:pt>
                <c:pt idx="845">
                  <c:v>4.70202675871676</c:v>
                </c:pt>
                <c:pt idx="846">
                  <c:v>4.78302596098431</c:v>
                </c:pt>
                <c:pt idx="847">
                  <c:v>4.80104862509631</c:v>
                </c:pt>
                <c:pt idx="848">
                  <c:v>4.73864962076354</c:v>
                </c:pt>
                <c:pt idx="849">
                  <c:v>4.70298111749376</c:v>
                </c:pt>
                <c:pt idx="850">
                  <c:v>4.70592342410628</c:v>
                </c:pt>
                <c:pt idx="851">
                  <c:v>4.78933158107695</c:v>
                </c:pt>
                <c:pt idx="852">
                  <c:v>4.80069877509262</c:v>
                </c:pt>
                <c:pt idx="853">
                  <c:v>4.72589844597162</c:v>
                </c:pt>
                <c:pt idx="854">
                  <c:v>4.70126109807567</c:v>
                </c:pt>
                <c:pt idx="855">
                  <c:v>4.71658701248484</c:v>
                </c:pt>
                <c:pt idx="856">
                  <c:v>4.79447053658948</c:v>
                </c:pt>
                <c:pt idx="857">
                  <c:v>4.79887232711796</c:v>
                </c:pt>
                <c:pt idx="858">
                  <c:v>4.71808939461355</c:v>
                </c:pt>
                <c:pt idx="859">
                  <c:v>4.70044870333931</c:v>
                </c:pt>
                <c:pt idx="860">
                  <c:v>4.75776671313896</c:v>
                </c:pt>
                <c:pt idx="861">
                  <c:v>4.79859485695193</c:v>
                </c:pt>
                <c:pt idx="862">
                  <c:v>4.79414324570097</c:v>
                </c:pt>
                <c:pt idx="863">
                  <c:v>4.71200803417932</c:v>
                </c:pt>
                <c:pt idx="864">
                  <c:v>4.70056884433769</c:v>
                </c:pt>
                <c:pt idx="865">
                  <c:v>4.77445561904817</c:v>
                </c:pt>
                <c:pt idx="866">
                  <c:v>4.80038282958482</c:v>
                </c:pt>
                <c:pt idx="867">
                  <c:v>4.77895034569836</c:v>
                </c:pt>
                <c:pt idx="868">
                  <c:v>4.70692739387185</c:v>
                </c:pt>
                <c:pt idx="869">
                  <c:v>4.70202635383301</c:v>
                </c:pt>
                <c:pt idx="870">
                  <c:v>4.78302473277265</c:v>
                </c:pt>
                <c:pt idx="871">
                  <c:v>4.80104853418934</c:v>
                </c:pt>
                <c:pt idx="872">
                  <c:v>4.73865216834745</c:v>
                </c:pt>
                <c:pt idx="873">
                  <c:v>4.70298143204941</c:v>
                </c:pt>
                <c:pt idx="874">
                  <c:v>4.70592281731682</c:v>
                </c:pt>
                <c:pt idx="875">
                  <c:v>4.78933104467324</c:v>
                </c:pt>
                <c:pt idx="876">
                  <c:v>4.80069881779881</c:v>
                </c:pt>
                <c:pt idx="877">
                  <c:v>4.72589912812756</c:v>
                </c:pt>
                <c:pt idx="878">
                  <c:v>4.70126119469925</c:v>
                </c:pt>
                <c:pt idx="879">
                  <c:v>4.71658589265612</c:v>
                </c:pt>
                <c:pt idx="880">
                  <c:v>4.79447029144439</c:v>
                </c:pt>
                <c:pt idx="881">
                  <c:v>4.79887243671184</c:v>
                </c:pt>
                <c:pt idx="882">
                  <c:v>4.71808966855872</c:v>
                </c:pt>
                <c:pt idx="883">
                  <c:v>4.70044872658631</c:v>
                </c:pt>
                <c:pt idx="884">
                  <c:v>4.75776574171867</c:v>
                </c:pt>
                <c:pt idx="885">
                  <c:v>4.79859476113423</c:v>
                </c:pt>
                <c:pt idx="886">
                  <c:v>4.79414341780103</c:v>
                </c:pt>
                <c:pt idx="887">
                  <c:v>4.71200815882979</c:v>
                </c:pt>
                <c:pt idx="888">
                  <c:v>4.7005688362366</c:v>
                </c:pt>
                <c:pt idx="889">
                  <c:v>4.77445542837706</c:v>
                </c:pt>
                <c:pt idx="890">
                  <c:v>4.80038280557192</c:v>
                </c:pt>
                <c:pt idx="891">
                  <c:v>4.77895079122407</c:v>
                </c:pt>
                <c:pt idx="892">
                  <c:v>4.70692745173994</c:v>
                </c:pt>
                <c:pt idx="893">
                  <c:v>4.70202633061012</c:v>
                </c:pt>
                <c:pt idx="894">
                  <c:v>4.78302466252329</c:v>
                </c:pt>
                <c:pt idx="895">
                  <c:v>4.80104852894564</c:v>
                </c:pt>
                <c:pt idx="896">
                  <c:v>4.73865231419955</c:v>
                </c:pt>
                <c:pt idx="897">
                  <c:v>4.70298145003171</c:v>
                </c:pt>
                <c:pt idx="898">
                  <c:v>4.70592278260498</c:v>
                </c:pt>
                <c:pt idx="899">
                  <c:v>4.78933101398876</c:v>
                </c:pt>
                <c:pt idx="900">
                  <c:v>4.80069882023394</c:v>
                </c:pt>
                <c:pt idx="901">
                  <c:v>4.72589916715467</c:v>
                </c:pt>
                <c:pt idx="902">
                  <c:v>4.70126120022298</c:v>
                </c:pt>
                <c:pt idx="903">
                  <c:v>4.71658582861274</c:v>
                </c:pt>
                <c:pt idx="904">
                  <c:v>4.79447027742152</c:v>
                </c:pt>
                <c:pt idx="905">
                  <c:v>4.79887244297941</c:v>
                </c:pt>
                <c:pt idx="906">
                  <c:v>4.71808968422873</c:v>
                </c:pt>
                <c:pt idx="907">
                  <c:v>4.70044872791542</c:v>
                </c:pt>
                <c:pt idx="908">
                  <c:v>4.75776568615617</c:v>
                </c:pt>
                <c:pt idx="909">
                  <c:v>4.79859475565331</c:v>
                </c:pt>
                <c:pt idx="910">
                  <c:v>4.79414342764477</c:v>
                </c:pt>
                <c:pt idx="911">
                  <c:v>4.71200816595959</c:v>
                </c:pt>
                <c:pt idx="912">
                  <c:v>4.70056883577316</c:v>
                </c:pt>
                <c:pt idx="913">
                  <c:v>4.77445541747121</c:v>
                </c:pt>
                <c:pt idx="914">
                  <c:v>4.80038280419837</c:v>
                </c:pt>
                <c:pt idx="915">
                  <c:v>4.77895081670689</c:v>
                </c:pt>
                <c:pt idx="916">
                  <c:v>4.70692745504984</c:v>
                </c:pt>
                <c:pt idx="917">
                  <c:v>4.70202632928184</c:v>
                </c:pt>
                <c:pt idx="918">
                  <c:v>4.78302465850524</c:v>
                </c:pt>
                <c:pt idx="919">
                  <c:v>4.8010485286457</c:v>
                </c:pt>
                <c:pt idx="920">
                  <c:v>4.73865232254193</c:v>
                </c:pt>
                <c:pt idx="921">
                  <c:v>4.70298145106025</c:v>
                </c:pt>
                <c:pt idx="922">
                  <c:v>4.70592278061959</c:v>
                </c:pt>
                <c:pt idx="923">
                  <c:v>4.7893310122337</c:v>
                </c:pt>
                <c:pt idx="924">
                  <c:v>4.80069882037322</c:v>
                </c:pt>
                <c:pt idx="925">
                  <c:v>4.7258991693869</c:v>
                </c:pt>
                <c:pt idx="926">
                  <c:v>4.70126120053892</c:v>
                </c:pt>
                <c:pt idx="927">
                  <c:v>4.71658582494969</c:v>
                </c:pt>
                <c:pt idx="928">
                  <c:v>4.79447027661946</c:v>
                </c:pt>
                <c:pt idx="929">
                  <c:v>4.7988724433379</c:v>
                </c:pt>
                <c:pt idx="930">
                  <c:v>4.71808968512501</c:v>
                </c:pt>
                <c:pt idx="931">
                  <c:v>4.70044872799145</c:v>
                </c:pt>
                <c:pt idx="932">
                  <c:v>4.75776568297818</c:v>
                </c:pt>
                <c:pt idx="933">
                  <c:v>4.79859475533982</c:v>
                </c:pt>
                <c:pt idx="934">
                  <c:v>4.7941434282078</c:v>
                </c:pt>
                <c:pt idx="935">
                  <c:v>4.71200816636739</c:v>
                </c:pt>
                <c:pt idx="936">
                  <c:v>4.70056883574665</c:v>
                </c:pt>
                <c:pt idx="937">
                  <c:v>4.77445541684744</c:v>
                </c:pt>
                <c:pt idx="938">
                  <c:v>4.80038280411981</c:v>
                </c:pt>
                <c:pt idx="939">
                  <c:v>4.77895081816442</c:v>
                </c:pt>
                <c:pt idx="940">
                  <c:v>4.70692745523916</c:v>
                </c:pt>
                <c:pt idx="941">
                  <c:v>4.70202632920587</c:v>
                </c:pt>
                <c:pt idx="942">
                  <c:v>4.78302465827542</c:v>
                </c:pt>
                <c:pt idx="943">
                  <c:v>4.80104852862855</c:v>
                </c:pt>
                <c:pt idx="944">
                  <c:v>4.73865232301909</c:v>
                </c:pt>
                <c:pt idx="945">
                  <c:v>4.70298145111908</c:v>
                </c:pt>
                <c:pt idx="946">
                  <c:v>4.70592278050603</c:v>
                </c:pt>
                <c:pt idx="947">
                  <c:v>4.78933101213332</c:v>
                </c:pt>
                <c:pt idx="948">
                  <c:v>4.80069882038119</c:v>
                </c:pt>
                <c:pt idx="949">
                  <c:v>4.72589916951458</c:v>
                </c:pt>
                <c:pt idx="950">
                  <c:v>4.701261200557</c:v>
                </c:pt>
                <c:pt idx="951">
                  <c:v>4.71658582474017</c:v>
                </c:pt>
                <c:pt idx="952">
                  <c:v>4.79447027657358</c:v>
                </c:pt>
                <c:pt idx="953">
                  <c:v>4.7988724433584</c:v>
                </c:pt>
                <c:pt idx="954">
                  <c:v>4.71808968517627</c:v>
                </c:pt>
                <c:pt idx="955">
                  <c:v>4.70044872799579</c:v>
                </c:pt>
                <c:pt idx="956">
                  <c:v>4.7577656827964</c:v>
                </c:pt>
                <c:pt idx="957">
                  <c:v>4.79859475532189</c:v>
                </c:pt>
                <c:pt idx="958">
                  <c:v>4.79414342824001</c:v>
                </c:pt>
                <c:pt idx="959">
                  <c:v>4.71200816639072</c:v>
                </c:pt>
                <c:pt idx="960">
                  <c:v>4.70056883574513</c:v>
                </c:pt>
                <c:pt idx="961">
                  <c:v>4.77445541681176</c:v>
                </c:pt>
                <c:pt idx="962">
                  <c:v>4.80038280411532</c:v>
                </c:pt>
                <c:pt idx="963">
                  <c:v>4.77895081824779</c:v>
                </c:pt>
                <c:pt idx="964">
                  <c:v>4.70692745524998</c:v>
                </c:pt>
                <c:pt idx="965">
                  <c:v>4.70202632920152</c:v>
                </c:pt>
                <c:pt idx="966">
                  <c:v>4.78302465826227</c:v>
                </c:pt>
                <c:pt idx="967">
                  <c:v>4.80104852862757</c:v>
                </c:pt>
                <c:pt idx="968">
                  <c:v>4.73865232304638</c:v>
                </c:pt>
                <c:pt idx="969">
                  <c:v>4.70298145112245</c:v>
                </c:pt>
                <c:pt idx="970">
                  <c:v>4.70592278049953</c:v>
                </c:pt>
                <c:pt idx="971">
                  <c:v>4.78933101212758</c:v>
                </c:pt>
                <c:pt idx="972">
                  <c:v>4.80069882038164</c:v>
                </c:pt>
                <c:pt idx="973">
                  <c:v>4.72589916952188</c:v>
                </c:pt>
                <c:pt idx="974">
                  <c:v>4.70126120055803</c:v>
                </c:pt>
                <c:pt idx="975">
                  <c:v>4.71658582472819</c:v>
                </c:pt>
                <c:pt idx="976">
                  <c:v>4.79447027657096</c:v>
                </c:pt>
                <c:pt idx="977">
                  <c:v>4.79887244335957</c:v>
                </c:pt>
                <c:pt idx="978">
                  <c:v>4.71808968517921</c:v>
                </c:pt>
                <c:pt idx="979">
                  <c:v>4.70044872799604</c:v>
                </c:pt>
                <c:pt idx="980">
                  <c:v>4.75776568278601</c:v>
                </c:pt>
                <c:pt idx="981">
                  <c:v>4.79859475532086</c:v>
                </c:pt>
                <c:pt idx="982">
                  <c:v>4.79414342824185</c:v>
                </c:pt>
                <c:pt idx="983">
                  <c:v>4.71200816639205</c:v>
                </c:pt>
                <c:pt idx="984">
                  <c:v>4.70056883574505</c:v>
                </c:pt>
                <c:pt idx="985">
                  <c:v>4.77445541680972</c:v>
                </c:pt>
                <c:pt idx="986">
                  <c:v>4.80038280411506</c:v>
                </c:pt>
                <c:pt idx="987">
                  <c:v>4.77895081825255</c:v>
                </c:pt>
                <c:pt idx="988">
                  <c:v>4.7069274552506</c:v>
                </c:pt>
                <c:pt idx="989">
                  <c:v>4.70202632920127</c:v>
                </c:pt>
                <c:pt idx="990">
                  <c:v>4.78302465826152</c:v>
                </c:pt>
                <c:pt idx="991">
                  <c:v>4.80104852862751</c:v>
                </c:pt>
                <c:pt idx="992">
                  <c:v>4.73865232304795</c:v>
                </c:pt>
                <c:pt idx="993">
                  <c:v>4.70298145112264</c:v>
                </c:pt>
                <c:pt idx="994">
                  <c:v>4.70592278049916</c:v>
                </c:pt>
                <c:pt idx="995">
                  <c:v>4.78933101212725</c:v>
                </c:pt>
                <c:pt idx="996">
                  <c:v>4.80069882038167</c:v>
                </c:pt>
                <c:pt idx="997">
                  <c:v>4.7258991695223</c:v>
                </c:pt>
                <c:pt idx="998">
                  <c:v>4.70126120055809</c:v>
                </c:pt>
                <c:pt idx="999">
                  <c:v>4.7165858247275</c:v>
                </c:pt>
                <c:pt idx="1000">
                  <c:v>4.76493333740536</c:v>
                </c:pt>
                <c:pt idx="1001">
                  <c:v>4.76190237764929</c:v>
                </c:pt>
                <c:pt idx="1002">
                  <c:v>4.74324601230189</c:v>
                </c:pt>
                <c:pt idx="1003">
                  <c:v>4.70330586884301</c:v>
                </c:pt>
                <c:pt idx="1004">
                  <c:v>4.75249409577722</c:v>
                </c:pt>
                <c:pt idx="1005">
                  <c:v>4.76508235648149</c:v>
                </c:pt>
                <c:pt idx="1006">
                  <c:v>4.76532099900912</c:v>
                </c:pt>
                <c:pt idx="1007">
                  <c:v>4.75755114287448</c:v>
                </c:pt>
                <c:pt idx="1008">
                  <c:v>4.72790380277804</c:v>
                </c:pt>
                <c:pt idx="1009">
                  <c:v>4.7238532796177</c:v>
                </c:pt>
                <c:pt idx="1010">
                  <c:v>4.75960955896275</c:v>
                </c:pt>
                <c:pt idx="1011">
                  <c:v>4.7653484378812</c:v>
                </c:pt>
                <c:pt idx="1012">
                  <c:v>4.7620472188293</c:v>
                </c:pt>
                <c:pt idx="1013">
                  <c:v>4.7480307929003</c:v>
                </c:pt>
                <c:pt idx="1014">
                  <c:v>4.71055762175842</c:v>
                </c:pt>
                <c:pt idx="1015">
                  <c:v>4.74854968676914</c:v>
                </c:pt>
                <c:pt idx="1016">
                  <c:v>4.76366778306821</c:v>
                </c:pt>
                <c:pt idx="1017">
                  <c:v>4.76410471030115</c:v>
                </c:pt>
                <c:pt idx="1018">
                  <c:v>4.75618859577572</c:v>
                </c:pt>
                <c:pt idx="1019">
                  <c:v>4.72685722421554</c:v>
                </c:pt>
                <c:pt idx="1020">
                  <c:v>4.72997800894411</c:v>
                </c:pt>
                <c:pt idx="1021">
                  <c:v>4.75995511038063</c:v>
                </c:pt>
                <c:pt idx="1022">
                  <c:v>4.76459463873918</c:v>
                </c:pt>
                <c:pt idx="1023">
                  <c:v>4.76039880013524</c:v>
                </c:pt>
                <c:pt idx="1024">
                  <c:v>4.74393595365815</c:v>
                </c:pt>
                <c:pt idx="1025">
                  <c:v>4.71309761263462</c:v>
                </c:pt>
                <c:pt idx="1026">
                  <c:v>4.7524608491237</c:v>
                </c:pt>
                <c:pt idx="1027">
                  <c:v>4.76376349263948</c:v>
                </c:pt>
                <c:pt idx="1028">
                  <c:v>4.76271006851835</c:v>
                </c:pt>
                <c:pt idx="1029">
                  <c:v>4.75262040929298</c:v>
                </c:pt>
                <c:pt idx="1030">
                  <c:v>4.71911950069746</c:v>
                </c:pt>
                <c:pt idx="1031">
                  <c:v>4.74064120296471</c:v>
                </c:pt>
                <c:pt idx="1032">
                  <c:v>4.76165771530726</c:v>
                </c:pt>
                <c:pt idx="1033">
                  <c:v>4.76382661950937</c:v>
                </c:pt>
                <c:pt idx="1034">
                  <c:v>4.75758829004284</c:v>
                </c:pt>
                <c:pt idx="1035">
                  <c:v>4.73493325816961</c:v>
                </c:pt>
                <c:pt idx="1036">
                  <c:v>4.72388213241845</c:v>
                </c:pt>
                <c:pt idx="1037">
                  <c:v>4.75749409731595</c:v>
                </c:pt>
                <c:pt idx="1038">
                  <c:v>4.76390682786278</c:v>
                </c:pt>
                <c:pt idx="1039">
                  <c:v>4.76058876049299</c:v>
                </c:pt>
                <c:pt idx="1040">
                  <c:v>4.74613675232307</c:v>
                </c:pt>
                <c:pt idx="1041">
                  <c:v>4.71513274488653</c:v>
                </c:pt>
                <c:pt idx="1042">
                  <c:v>4.75038329345253</c:v>
                </c:pt>
                <c:pt idx="1043">
                  <c:v>4.76302972469128</c:v>
                </c:pt>
                <c:pt idx="1044">
                  <c:v>4.76239140063551</c:v>
                </c:pt>
                <c:pt idx="1045">
                  <c:v>4.7527990630799</c:v>
                </c:pt>
                <c:pt idx="1046">
                  <c:v>4.7216639702002</c:v>
                </c:pt>
                <c:pt idx="1047">
                  <c:v>4.74005651220268</c:v>
                </c:pt>
                <c:pt idx="1048">
                  <c:v>4.76109454648104</c:v>
                </c:pt>
                <c:pt idx="1049">
                  <c:v>4.76333296274836</c:v>
                </c:pt>
                <c:pt idx="1050">
                  <c:v>4.75703524546309</c:v>
                </c:pt>
                <c:pt idx="1051">
                  <c:v>4.73452936584359</c:v>
                </c:pt>
                <c:pt idx="1052">
                  <c:v>4.72655844224945</c:v>
                </c:pt>
                <c:pt idx="1053">
                  <c:v>4.7576034047907</c:v>
                </c:pt>
                <c:pt idx="1054">
                  <c:v>4.76349391886734</c:v>
                </c:pt>
                <c:pt idx="1055">
                  <c:v>4.7598084926347</c:v>
                </c:pt>
                <c:pt idx="1056">
                  <c:v>4.74443144808658</c:v>
                </c:pt>
                <c:pt idx="1057">
                  <c:v>4.71724125728237</c:v>
                </c:pt>
                <c:pt idx="1058">
                  <c:v>4.75190972082024</c:v>
                </c:pt>
                <c:pt idx="1059">
                  <c:v>4.76290893858765</c:v>
                </c:pt>
                <c:pt idx="1060">
                  <c:v>4.76159042869982</c:v>
                </c:pt>
                <c:pt idx="1061">
                  <c:v>4.75086062108398</c:v>
                </c:pt>
                <c:pt idx="1062">
                  <c:v>4.71986141196768</c:v>
                </c:pt>
                <c:pt idx="1063">
                  <c:v>4.74388582739968</c:v>
                </c:pt>
                <c:pt idx="1064">
                  <c:v>4.76153173471396</c:v>
                </c:pt>
                <c:pt idx="1065">
                  <c:v>4.76267599498516</c:v>
                </c:pt>
                <c:pt idx="1066">
                  <c:v>4.75518915891709</c:v>
                </c:pt>
                <c:pt idx="1067">
                  <c:v>4.72969750164355</c:v>
                </c:pt>
                <c:pt idx="1068">
                  <c:v>4.73343412208655</c:v>
                </c:pt>
                <c:pt idx="1069">
                  <c:v>4.75910776932964</c:v>
                </c:pt>
                <c:pt idx="1070">
                  <c:v>4.76312815254316</c:v>
                </c:pt>
                <c:pt idx="1071">
                  <c:v>4.75817998411453</c:v>
                </c:pt>
                <c:pt idx="1072">
                  <c:v>4.73971430499987</c:v>
                </c:pt>
                <c:pt idx="1073">
                  <c:v>4.72243221095119</c:v>
                </c:pt>
                <c:pt idx="1074">
                  <c:v>4.75515789202808</c:v>
                </c:pt>
                <c:pt idx="1075">
                  <c:v>4.7629763294311</c:v>
                </c:pt>
                <c:pt idx="1076">
                  <c:v>4.76023638334786</c:v>
                </c:pt>
                <c:pt idx="1077">
                  <c:v>4.74684530912068</c:v>
                </c:pt>
                <c:pt idx="1078">
                  <c:v>4.71847273777201</c:v>
                </c:pt>
                <c:pt idx="1079">
                  <c:v>4.74946575284059</c:v>
                </c:pt>
                <c:pt idx="1080">
                  <c:v>4.76223192168591</c:v>
                </c:pt>
                <c:pt idx="1081">
                  <c:v>4.76160098222187</c:v>
                </c:pt>
                <c:pt idx="1082">
                  <c:v>4.75181273260812</c:v>
                </c:pt>
                <c:pt idx="1083">
                  <c:v>4.72281053873033</c:v>
                </c:pt>
                <c:pt idx="1084">
                  <c:v>4.74199723362108</c:v>
                </c:pt>
                <c:pt idx="1085">
                  <c:v>4.76081009150484</c:v>
                </c:pt>
                <c:pt idx="1086">
                  <c:v>4.76243320882403</c:v>
                </c:pt>
                <c:pt idx="1087">
                  <c:v>4.75536218476416</c:v>
                </c:pt>
                <c:pt idx="1088">
                  <c:v>4.73152279460725</c:v>
                </c:pt>
                <c:pt idx="1089">
                  <c:v>4.73291513258819</c:v>
                </c:pt>
                <c:pt idx="1090">
                  <c:v>4.75851618038543</c:v>
                </c:pt>
                <c:pt idx="1091">
                  <c:v>4.76277871045477</c:v>
                </c:pt>
                <c:pt idx="1092">
                  <c:v>4.75792832365111</c:v>
                </c:pt>
                <c:pt idx="1093">
                  <c:v>4.73983212093828</c:v>
                </c:pt>
                <c:pt idx="1094">
                  <c:v>4.72386868137237</c:v>
                </c:pt>
                <c:pt idx="1095">
                  <c:v>4.75503090756381</c:v>
                </c:pt>
                <c:pt idx="1096">
                  <c:v>4.76264914645265</c:v>
                </c:pt>
                <c:pt idx="1097">
                  <c:v>4.75976869386736</c:v>
                </c:pt>
                <c:pt idx="1098">
                  <c:v>4.74607029059385</c:v>
                </c:pt>
                <c:pt idx="1099">
                  <c:v>4.71991428826948</c:v>
                </c:pt>
                <c:pt idx="1100">
                  <c:v>4.75021833898741</c:v>
                </c:pt>
                <c:pt idx="1101">
                  <c:v>4.76204279595638</c:v>
                </c:pt>
                <c:pt idx="1102">
                  <c:v>4.76104577288491</c:v>
                </c:pt>
                <c:pt idx="1103">
                  <c:v>4.75062392614421</c:v>
                </c:pt>
                <c:pt idx="1104">
                  <c:v>4.72245587598119</c:v>
                </c:pt>
                <c:pt idx="1105">
                  <c:v>4.74412982335505</c:v>
                </c:pt>
                <c:pt idx="1106">
                  <c:v>4.76091700746791</c:v>
                </c:pt>
                <c:pt idx="1107">
                  <c:v>4.76186533605018</c:v>
                </c:pt>
                <c:pt idx="1108">
                  <c:v>4.7539871171544</c:v>
                </c:pt>
                <c:pt idx="1109">
                  <c:v>4.72902802141851</c:v>
                </c:pt>
                <c:pt idx="1110">
                  <c:v>4.73694035090744</c:v>
                </c:pt>
                <c:pt idx="1111">
                  <c:v>4.75918050734506</c:v>
                </c:pt>
                <c:pt idx="1112">
                  <c:v>4.76229489901499</c:v>
                </c:pt>
                <c:pt idx="1113">
                  <c:v>4.75649173125247</c:v>
                </c:pt>
                <c:pt idx="1114">
                  <c:v>4.7363449422367</c:v>
                </c:pt>
                <c:pt idx="1115">
                  <c:v>4.72932855667739</c:v>
                </c:pt>
                <c:pt idx="1116">
                  <c:v>4.75667806993009</c:v>
                </c:pt>
                <c:pt idx="1117">
                  <c:v>4.76235304030124</c:v>
                </c:pt>
                <c:pt idx="1118">
                  <c:v>4.75834795262011</c:v>
                </c:pt>
                <c:pt idx="1119">
                  <c:v>4.74239264166592</c:v>
                </c:pt>
                <c:pt idx="1120">
                  <c:v>4.72348241507967</c:v>
                </c:pt>
                <c:pt idx="1121">
                  <c:v>4.75329213514155</c:v>
                </c:pt>
                <c:pt idx="1122">
                  <c:v>4.76205451557834</c:v>
                </c:pt>
                <c:pt idx="1123">
                  <c:v>4.75969401719984</c:v>
                </c:pt>
                <c:pt idx="1124">
                  <c:v>4.74699956524142</c:v>
                </c:pt>
                <c:pt idx="1125">
                  <c:v>4.72199038346622</c:v>
                </c:pt>
                <c:pt idx="1126">
                  <c:v>4.74909674881619</c:v>
                </c:pt>
                <c:pt idx="1127">
                  <c:v>4.76139969671912</c:v>
                </c:pt>
                <c:pt idx="1128">
                  <c:v>4.76062270769524</c:v>
                </c:pt>
                <c:pt idx="1129">
                  <c:v>4.75046700771244</c:v>
                </c:pt>
                <c:pt idx="1130">
                  <c:v>4.72451405635351</c:v>
                </c:pt>
                <c:pt idx="1131">
                  <c:v>4.74428086020006</c:v>
                </c:pt>
                <c:pt idx="1132">
                  <c:v>4.76038095301484</c:v>
                </c:pt>
                <c:pt idx="1133">
                  <c:v>4.76119902656165</c:v>
                </c:pt>
                <c:pt idx="1134">
                  <c:v>4.75306683795734</c:v>
                </c:pt>
                <c:pt idx="1135">
                  <c:v>4.72928883959495</c:v>
                </c:pt>
                <c:pt idx="1136">
                  <c:v>4.73918850805768</c:v>
                </c:pt>
                <c:pt idx="1137">
                  <c:v>4.75899628955792</c:v>
                </c:pt>
                <c:pt idx="1138">
                  <c:v>4.76147141882744</c:v>
                </c:pt>
                <c:pt idx="1139">
                  <c:v>4.75499399845145</c:v>
                </c:pt>
                <c:pt idx="1140">
                  <c:v>4.73443544388232</c:v>
                </c:pt>
                <c:pt idx="1141">
                  <c:v>4.73436297478698</c:v>
                </c:pt>
                <c:pt idx="1142">
                  <c:v>4.75726284754463</c:v>
                </c:pt>
                <c:pt idx="1143">
                  <c:v>4.76147828117888</c:v>
                </c:pt>
                <c:pt idx="1144">
                  <c:v>4.75638569065234</c:v>
                </c:pt>
                <c:pt idx="1145">
                  <c:v>4.73883528908882</c:v>
                </c:pt>
                <c:pt idx="1146">
                  <c:v>4.73054342288781</c:v>
                </c:pt>
                <c:pt idx="1147">
                  <c:v>4.75525013168019</c:v>
                </c:pt>
                <c:pt idx="1148">
                  <c:v>4.76125478802537</c:v>
                </c:pt>
                <c:pt idx="1149">
                  <c:v>4.7573402550861</c:v>
                </c:pt>
                <c:pt idx="1150">
                  <c:v>4.74223391969932</c:v>
                </c:pt>
                <c:pt idx="1151">
                  <c:v>4.72839971329236</c:v>
                </c:pt>
                <c:pt idx="1152">
                  <c:v>4.75311148660265</c:v>
                </c:pt>
                <c:pt idx="1153">
                  <c:v>4.76084013409267</c:v>
                </c:pt>
                <c:pt idx="1154">
                  <c:v>4.75793058841625</c:v>
                </c:pt>
                <c:pt idx="1155">
                  <c:v>4.74472204281784</c:v>
                </c:pt>
                <c:pt idx="1156">
                  <c:v>4.72800278738903</c:v>
                </c:pt>
                <c:pt idx="1157">
                  <c:v>4.75105965632581</c:v>
                </c:pt>
                <c:pt idx="1158">
                  <c:v>4.76028094321072</c:v>
                </c:pt>
                <c:pt idx="1159">
                  <c:v>4.75821282792865</c:v>
                </c:pt>
                <c:pt idx="1160">
                  <c:v>4.74644809018233</c:v>
                </c:pt>
                <c:pt idx="1161">
                  <c:v>4.72885233749357</c:v>
                </c:pt>
                <c:pt idx="1162">
                  <c:v>4.74930911893321</c:v>
                </c:pt>
                <c:pt idx="1163">
                  <c:v>4.75963018073001</c:v>
                </c:pt>
                <c:pt idx="1164">
                  <c:v>4.75823194535778</c:v>
                </c:pt>
                <c:pt idx="1165">
                  <c:v>4.74754351433023</c:v>
                </c:pt>
                <c:pt idx="1166">
                  <c:v>4.7303333456507</c:v>
                </c:pt>
                <c:pt idx="1167">
                  <c:v>4.7480256320295</c:v>
                </c:pt>
                <c:pt idx="1168">
                  <c:v>4.7589424138357</c:v>
                </c:pt>
                <c:pt idx="1169">
                  <c:v>4.75802542398283</c:v>
                </c:pt>
                <c:pt idx="1170">
                  <c:v>4.74811602709302</c:v>
                </c:pt>
                <c:pt idx="1171">
                  <c:v>4.73200047342672</c:v>
                </c:pt>
                <c:pt idx="1172">
                  <c:v>4.7472893518503</c:v>
                </c:pt>
                <c:pt idx="1173">
                  <c:v>4.75826550254593</c:v>
                </c:pt>
                <c:pt idx="1174">
                  <c:v>4.75762549173631</c:v>
                </c:pt>
                <c:pt idx="1175">
                  <c:v>4.7482576166917</c:v>
                </c:pt>
                <c:pt idx="1176">
                  <c:v>4.73363298433539</c:v>
                </c:pt>
                <c:pt idx="1177">
                  <c:v>4.74708443327043</c:v>
                </c:pt>
                <c:pt idx="1178">
                  <c:v>4.75763157606327</c:v>
                </c:pt>
                <c:pt idx="1179">
                  <c:v>4.75706047422517</c:v>
                </c:pt>
                <c:pt idx="1180">
                  <c:v>4.74805428348223</c:v>
                </c:pt>
                <c:pt idx="1181">
                  <c:v>4.73517808358598</c:v>
                </c:pt>
                <c:pt idx="1182">
                  <c:v>4.74731798937237</c:v>
                </c:pt>
                <c:pt idx="1183">
                  <c:v>4.75705170999654</c:v>
                </c:pt>
                <c:pt idx="1184">
                  <c:v>4.75635588613489</c:v>
                </c:pt>
                <c:pt idx="1185">
                  <c:v>4.74759389359287</c:v>
                </c:pt>
                <c:pt idx="1186">
                  <c:v>4.73666785747461</c:v>
                </c:pt>
                <c:pt idx="1187">
                  <c:v>4.74785580259129</c:v>
                </c:pt>
                <c:pt idx="1188">
                  <c:v>4.75651725924235</c:v>
                </c:pt>
                <c:pt idx="1189">
                  <c:v>4.75553591504549</c:v>
                </c:pt>
                <c:pt idx="1190">
                  <c:v>4.74697085408547</c:v>
                </c:pt>
                <c:pt idx="1191">
                  <c:v>4.73815120503134</c:v>
                </c:pt>
                <c:pt idx="1192">
                  <c:v>4.74855779479541</c:v>
                </c:pt>
                <c:pt idx="1193">
                  <c:v>4.75600698143536</c:v>
                </c:pt>
                <c:pt idx="1194">
                  <c:v>4.75462543046893</c:v>
                </c:pt>
                <c:pt idx="1195">
                  <c:v>4.74628602820912</c:v>
                </c:pt>
                <c:pt idx="1196">
                  <c:v>4.73965324758102</c:v>
                </c:pt>
                <c:pt idx="1197">
                  <c:v>4.74930279857871</c:v>
                </c:pt>
                <c:pt idx="1198">
                  <c:v>4.75549628047954</c:v>
                </c:pt>
                <c:pt idx="1199">
                  <c:v>4.7536521377306</c:v>
                </c:pt>
                <c:pt idx="1200">
                  <c:v>4.74564070854667</c:v>
                </c:pt>
                <c:pt idx="1201">
                  <c:v>4.8357903417886</c:v>
                </c:pt>
                <c:pt idx="1202">
                  <c:v>4.90026934920332</c:v>
                </c:pt>
                <c:pt idx="1203">
                  <c:v>4.95682004844636</c:v>
                </c:pt>
                <c:pt idx="1204">
                  <c:v>5.01081235698567</c:v>
                </c:pt>
                <c:pt idx="1205">
                  <c:v>5.0633764295505</c:v>
                </c:pt>
                <c:pt idx="1206">
                  <c:v>5.11477445177865</c:v>
                </c:pt>
                <c:pt idx="1207">
                  <c:v>5.1649877843199</c:v>
                </c:pt>
                <c:pt idx="1208">
                  <c:v>5.21386155555873</c:v>
                </c:pt>
                <c:pt idx="1209">
                  <c:v>5.26114090706152</c:v>
                </c:pt>
                <c:pt idx="1210">
                  <c:v>5.30646316791314</c:v>
                </c:pt>
                <c:pt idx="1211">
                  <c:v>5.34931473614452</c:v>
                </c:pt>
                <c:pt idx="1212">
                  <c:v>5.38893312947749</c:v>
                </c:pt>
                <c:pt idx="1213">
                  <c:v>5.42408441980756</c:v>
                </c:pt>
                <c:pt idx="1214">
                  <c:v>5.45247187102925</c:v>
                </c:pt>
                <c:pt idx="1215">
                  <c:v>5.46859495587972</c:v>
                </c:pt>
                <c:pt idx="1216">
                  <c:v>5.44682486372105</c:v>
                </c:pt>
                <c:pt idx="1217">
                  <c:v>5.30135749905171</c:v>
                </c:pt>
                <c:pt idx="1218">
                  <c:v>5.26292744867107</c:v>
                </c:pt>
                <c:pt idx="1219">
                  <c:v>5.18569805116588</c:v>
                </c:pt>
                <c:pt idx="1220">
                  <c:v>5.11623121964196</c:v>
                </c:pt>
                <c:pt idx="1221">
                  <c:v>5.07346907622135</c:v>
                </c:pt>
                <c:pt idx="1222">
                  <c:v>5.17828741531718</c:v>
                </c:pt>
                <c:pt idx="1223">
                  <c:v>5.20252826523746</c:v>
                </c:pt>
                <c:pt idx="1224">
                  <c:v>5.23704363623433</c:v>
                </c:pt>
                <c:pt idx="1225">
                  <c:v>5.27013193502302</c:v>
                </c:pt>
                <c:pt idx="1226">
                  <c:v>5.29734145928837</c:v>
                </c:pt>
                <c:pt idx="1227">
                  <c:v>5.31662745812539</c:v>
                </c:pt>
                <c:pt idx="1228">
                  <c:v>5.32201287771466</c:v>
                </c:pt>
                <c:pt idx="1229">
                  <c:v>5.29300393692845</c:v>
                </c:pt>
                <c:pt idx="1230">
                  <c:v>5.19336367022953</c:v>
                </c:pt>
                <c:pt idx="1231">
                  <c:v>5.17773495913248</c:v>
                </c:pt>
                <c:pt idx="1232">
                  <c:v>5.26036289745175</c:v>
                </c:pt>
                <c:pt idx="1233">
                  <c:v>5.27421150113302</c:v>
                </c:pt>
                <c:pt idx="1234">
                  <c:v>5.27491730982939</c:v>
                </c:pt>
                <c:pt idx="1235">
                  <c:v>5.26485253790661</c:v>
                </c:pt>
                <c:pt idx="1236">
                  <c:v>5.20615081584317</c:v>
                </c:pt>
                <c:pt idx="1237">
                  <c:v>5.195703345618</c:v>
                </c:pt>
                <c:pt idx="1238">
                  <c:v>5.26179986285595</c:v>
                </c:pt>
                <c:pt idx="1239">
                  <c:v>5.2697409336524</c:v>
                </c:pt>
                <c:pt idx="1240">
                  <c:v>5.26898002612262</c:v>
                </c:pt>
                <c:pt idx="1241">
                  <c:v>5.25908106009025</c:v>
                </c:pt>
                <c:pt idx="1242">
                  <c:v>5.21133003582513</c:v>
                </c:pt>
                <c:pt idx="1243">
                  <c:v>5.22255603834885</c:v>
                </c:pt>
                <c:pt idx="1244">
                  <c:v>5.26226313143733</c:v>
                </c:pt>
                <c:pt idx="1245">
                  <c:v>5.26791184973963</c:v>
                </c:pt>
                <c:pt idx="1246">
                  <c:v>5.26542514254522</c:v>
                </c:pt>
                <c:pt idx="1247">
                  <c:v>5.25323584885916</c:v>
                </c:pt>
                <c:pt idx="1248">
                  <c:v>5.20720717436158</c:v>
                </c:pt>
                <c:pt idx="1249">
                  <c:v>5.24146735717794</c:v>
                </c:pt>
                <c:pt idx="1250">
                  <c:v>5.26377372764706</c:v>
                </c:pt>
                <c:pt idx="1251">
                  <c:v>5.26655990406578</c:v>
                </c:pt>
                <c:pt idx="1252">
                  <c:v>5.26142975922488</c:v>
                </c:pt>
                <c:pt idx="1253">
                  <c:v>5.24251614745868</c:v>
                </c:pt>
                <c:pt idx="1254">
                  <c:v>5.20620138029664</c:v>
                </c:pt>
                <c:pt idx="1255">
                  <c:v>5.25352067112453</c:v>
                </c:pt>
                <c:pt idx="1256">
                  <c:v>5.2650222252184</c:v>
                </c:pt>
                <c:pt idx="1257">
                  <c:v>5.26438902949576</c:v>
                </c:pt>
                <c:pt idx="1258">
                  <c:v>5.25516879212797</c:v>
                </c:pt>
                <c:pt idx="1259">
                  <c:v>5.22019070013502</c:v>
                </c:pt>
                <c:pt idx="1260">
                  <c:v>5.23418475507406</c:v>
                </c:pt>
                <c:pt idx="1261">
                  <c:v>5.26131856720419</c:v>
                </c:pt>
                <c:pt idx="1262">
                  <c:v>5.2650099929706</c:v>
                </c:pt>
                <c:pt idx="1263">
                  <c:v>5.26024696986971</c:v>
                </c:pt>
                <c:pt idx="1264">
                  <c:v>5.242367473148</c:v>
                </c:pt>
                <c:pt idx="1265">
                  <c:v>5.21234601825879</c:v>
                </c:pt>
                <c:pt idx="1266">
                  <c:v>5.25359993275297</c:v>
                </c:pt>
                <c:pt idx="1267">
                  <c:v>5.26405945313024</c:v>
                </c:pt>
                <c:pt idx="1268">
                  <c:v>5.26267354741503</c:v>
                </c:pt>
                <c:pt idx="1269">
                  <c:v>5.25213386245476</c:v>
                </c:pt>
                <c:pt idx="1270">
                  <c:v>5.21783763177412</c:v>
                </c:pt>
                <c:pt idx="1271">
                  <c:v>5.2417005102044</c:v>
                </c:pt>
                <c:pt idx="1272">
                  <c:v>5.26185421356598</c:v>
                </c:pt>
                <c:pt idx="1273">
                  <c:v>5.26369970261911</c:v>
                </c:pt>
                <c:pt idx="1274">
                  <c:v>5.25713616480556</c:v>
                </c:pt>
                <c:pt idx="1275">
                  <c:v>5.23365337162941</c:v>
                </c:pt>
                <c:pt idx="1276">
                  <c:v>5.22599509320778</c:v>
                </c:pt>
                <c:pt idx="1277">
                  <c:v>5.25789115931066</c:v>
                </c:pt>
                <c:pt idx="1278">
                  <c:v>5.26370244953936</c:v>
                </c:pt>
                <c:pt idx="1279">
                  <c:v>5.25998792870563</c:v>
                </c:pt>
                <c:pt idx="1280">
                  <c:v>5.24464525349146</c:v>
                </c:pt>
                <c:pt idx="1281">
                  <c:v>5.21655325744539</c:v>
                </c:pt>
                <c:pt idx="1282">
                  <c:v>5.25169402122928</c:v>
                </c:pt>
                <c:pt idx="1283">
                  <c:v>5.26290705938975</c:v>
                </c:pt>
                <c:pt idx="1284">
                  <c:v>5.26162927732573</c:v>
                </c:pt>
                <c:pt idx="1285">
                  <c:v>5.25099214272101</c:v>
                </c:pt>
                <c:pt idx="1286">
                  <c:v>5.22018837423894</c:v>
                </c:pt>
                <c:pt idx="1287">
                  <c:v>5.24359727325723</c:v>
                </c:pt>
                <c:pt idx="1288">
                  <c:v>5.26136837054508</c:v>
                </c:pt>
                <c:pt idx="1289">
                  <c:v>5.26251090615422</c:v>
                </c:pt>
                <c:pt idx="1290">
                  <c:v>5.25498035325897</c:v>
                </c:pt>
                <c:pt idx="1291">
                  <c:v>5.22979087761562</c:v>
                </c:pt>
                <c:pt idx="1292">
                  <c:v>5.23408598162711</c:v>
                </c:pt>
                <c:pt idx="1293">
                  <c:v>5.2589818162263</c:v>
                </c:pt>
                <c:pt idx="1294">
                  <c:v>5.26279440273583</c:v>
                </c:pt>
                <c:pt idx="1295">
                  <c:v>5.25760398996207</c:v>
                </c:pt>
                <c:pt idx="1296">
                  <c:v>5.23872367166902</c:v>
                </c:pt>
                <c:pt idx="1297">
                  <c:v>5.22503078834764</c:v>
                </c:pt>
                <c:pt idx="1298">
                  <c:v>5.25557305042143</c:v>
                </c:pt>
                <c:pt idx="1299">
                  <c:v>5.26258789813835</c:v>
                </c:pt>
                <c:pt idx="1300">
                  <c:v>5.259343636639</c:v>
                </c:pt>
                <c:pt idx="1301">
                  <c:v>5.24495784449938</c:v>
                </c:pt>
                <c:pt idx="1302">
                  <c:v>5.22080470945637</c:v>
                </c:pt>
                <c:pt idx="1303">
                  <c:v>5.25121103797426</c:v>
                </c:pt>
                <c:pt idx="1304">
                  <c:v>5.26196316324734</c:v>
                </c:pt>
                <c:pt idx="1305">
                  <c:v>5.26046416330337</c:v>
                </c:pt>
                <c:pt idx="1306">
                  <c:v>5.24923486483824</c:v>
                </c:pt>
                <c:pt idx="1307">
                  <c:v>5.22230207945195</c:v>
                </c:pt>
                <c:pt idx="1308">
                  <c:v>5.24620972869431</c:v>
                </c:pt>
                <c:pt idx="1309">
                  <c:v>5.26095569550633</c:v>
                </c:pt>
                <c:pt idx="1310">
                  <c:v>5.26111916438007</c:v>
                </c:pt>
                <c:pt idx="1311">
                  <c:v>5.25221497297864</c:v>
                </c:pt>
                <c:pt idx="1312">
                  <c:v>5.22700338125267</c:v>
                </c:pt>
                <c:pt idx="1313">
                  <c:v>5.24100049371604</c:v>
                </c:pt>
                <c:pt idx="1314">
                  <c:v>5.25959315887183</c:v>
                </c:pt>
                <c:pt idx="1315">
                  <c:v>5.26140113231675</c:v>
                </c:pt>
                <c:pt idx="1316">
                  <c:v>5.25428153867538</c:v>
                </c:pt>
                <c:pt idx="1317">
                  <c:v>5.23241847865107</c:v>
                </c:pt>
                <c:pt idx="1318">
                  <c:v>5.23622427374513</c:v>
                </c:pt>
                <c:pt idx="1319">
                  <c:v>5.25792688974355</c:v>
                </c:pt>
                <c:pt idx="1320">
                  <c:v>5.26137557842819</c:v>
                </c:pt>
                <c:pt idx="1321">
                  <c:v>5.25566243458287</c:v>
                </c:pt>
                <c:pt idx="1322">
                  <c:v>5.23697624947911</c:v>
                </c:pt>
                <c:pt idx="1323">
                  <c:v>5.23261800488826</c:v>
                </c:pt>
                <c:pt idx="1324">
                  <c:v>5.25607921022938</c:v>
                </c:pt>
                <c:pt idx="1325">
                  <c:v>5.26110019202408</c:v>
                </c:pt>
                <c:pt idx="1326">
                  <c:v>5.25650451504656</c:v>
                </c:pt>
                <c:pt idx="1327">
                  <c:v>5.24031303488</c:v>
                </c:pt>
                <c:pt idx="1328">
                  <c:v>5.23070972747068</c:v>
                </c:pt>
                <c:pt idx="1329">
                  <c:v>5.25424844160811</c:v>
                </c:pt>
                <c:pt idx="1330">
                  <c:v>5.26063313044267</c:v>
                </c:pt>
                <c:pt idx="1331">
                  <c:v>5.25690973674552</c:v>
                </c:pt>
                <c:pt idx="1332">
                  <c:v>5.24256535829247</c:v>
                </c:pt>
                <c:pt idx="1333">
                  <c:v>5.23044648926127</c:v>
                </c:pt>
                <c:pt idx="1334">
                  <c:v>5.25265910998887</c:v>
                </c:pt>
                <c:pt idx="1335">
                  <c:v>5.26003461437383</c:v>
                </c:pt>
                <c:pt idx="1336">
                  <c:v>5.25695298489172</c:v>
                </c:pt>
                <c:pt idx="1337">
                  <c:v>5.24394381877407</c:v>
                </c:pt>
                <c:pt idx="1338">
                  <c:v>5.23133096758182</c:v>
                </c:pt>
                <c:pt idx="1339">
                  <c:v>5.25148492702028</c:v>
                </c:pt>
                <c:pt idx="1340">
                  <c:v>5.2593617004725</c:v>
                </c:pt>
                <c:pt idx="1341">
                  <c:v>5.25669266193123</c:v>
                </c:pt>
                <c:pt idx="1342">
                  <c:v>5.24463710234265</c:v>
                </c:pt>
                <c:pt idx="1343">
                  <c:v>5.23284090195972</c:v>
                </c:pt>
                <c:pt idx="1344">
                  <c:v>5.25079933208875</c:v>
                </c:pt>
                <c:pt idx="1345">
                  <c:v>5.25865987568683</c:v>
                </c:pt>
                <c:pt idx="1346">
                  <c:v>5.25617743539854</c:v>
                </c:pt>
                <c:pt idx="1347">
                  <c:v>5.24481132851887</c:v>
                </c:pt>
                <c:pt idx="1348">
                  <c:v>5.2346359973513</c:v>
                </c:pt>
                <c:pt idx="1349">
                  <c:v>5.25056903692902</c:v>
                </c:pt>
                <c:pt idx="1350">
                  <c:v>5.25795594829243</c:v>
                </c:pt>
                <c:pt idx="1351">
                  <c:v>5.2554509495727</c:v>
                </c:pt>
                <c:pt idx="1352">
                  <c:v>5.24462447385459</c:v>
                </c:pt>
                <c:pt idx="1353">
                  <c:v>5.23654665729866</c:v>
                </c:pt>
                <c:pt idx="1354">
                  <c:v>5.25068427737155</c:v>
                </c:pt>
                <c:pt idx="1355">
                  <c:v>5.25725659611425</c:v>
                </c:pt>
                <c:pt idx="1356">
                  <c:v>5.25455557040702</c:v>
                </c:pt>
                <c:pt idx="1357">
                  <c:v>5.24423561083296</c:v>
                </c:pt>
                <c:pt idx="1358">
                  <c:v>5.23849161278008</c:v>
                </c:pt>
                <c:pt idx="1359">
                  <c:v>5.25100494201012</c:v>
                </c:pt>
                <c:pt idx="1360">
                  <c:v>5.25655377374626</c:v>
                </c:pt>
                <c:pt idx="1361">
                  <c:v>5.25353577973732</c:v>
                </c:pt>
                <c:pt idx="1362">
                  <c:v>5.24380301832036</c:v>
                </c:pt>
                <c:pt idx="1363">
                  <c:v>5.24041277920175</c:v>
                </c:pt>
                <c:pt idx="1364">
                  <c:v>5.25140009540481</c:v>
                </c:pt>
                <c:pt idx="1365">
                  <c:v>5.25583389287244</c:v>
                </c:pt>
                <c:pt idx="1366">
                  <c:v>5.25244087945628</c:v>
                </c:pt>
                <c:pt idx="1367">
                  <c:v>5.2434696548631</c:v>
                </c:pt>
                <c:pt idx="1368">
                  <c:v>5.24224989845652</c:v>
                </c:pt>
                <c:pt idx="1369">
                  <c:v>5.25176998527582</c:v>
                </c:pt>
                <c:pt idx="1370">
                  <c:v>5.25508635802977</c:v>
                </c:pt>
                <c:pt idx="1371">
                  <c:v>5.2513260437529</c:v>
                </c:pt>
                <c:pt idx="1372">
                  <c:v>5.24334099151612</c:v>
                </c:pt>
                <c:pt idx="1373">
                  <c:v>5.24394305650556</c:v>
                </c:pt>
                <c:pt idx="1374">
                  <c:v>5.25205147876957</c:v>
                </c:pt>
                <c:pt idx="1375">
                  <c:v>5.25430872050347</c:v>
                </c:pt>
                <c:pt idx="1376">
                  <c:v>5.25025061762004</c:v>
                </c:pt>
                <c:pt idx="1377">
                  <c:v>5.24346655844115</c:v>
                </c:pt>
                <c:pt idx="1378">
                  <c:v>5.24544378470282</c:v>
                </c:pt>
                <c:pt idx="1379">
                  <c:v>5.2522134622379</c:v>
                </c:pt>
                <c:pt idx="1380">
                  <c:v>5.25350818734674</c:v>
                </c:pt>
                <c:pt idx="1381">
                  <c:v>5.24927330962647</c:v>
                </c:pt>
                <c:pt idx="1382">
                  <c:v>5.24383700778285</c:v>
                </c:pt>
                <c:pt idx="1383">
                  <c:v>5.24672274859896</c:v>
                </c:pt>
                <c:pt idx="1384">
                  <c:v>5.25224850623838</c:v>
                </c:pt>
                <c:pt idx="1385">
                  <c:v>5.25270048819129</c:v>
                </c:pt>
                <c:pt idx="1386">
                  <c:v>5.24844503373383</c:v>
                </c:pt>
                <c:pt idx="1387">
                  <c:v>5.24439884719758</c:v>
                </c:pt>
                <c:pt idx="1388">
                  <c:v>5.24777087321787</c:v>
                </c:pt>
                <c:pt idx="1389">
                  <c:v>5.25216471325787</c:v>
                </c:pt>
                <c:pt idx="1390">
                  <c:v>5.251907292563</c:v>
                </c:pt>
                <c:pt idx="1391">
                  <c:v>5.24780146590126</c:v>
                </c:pt>
                <c:pt idx="1392">
                  <c:v>5.24507817670009</c:v>
                </c:pt>
                <c:pt idx="1393">
                  <c:v>5.24859569300458</c:v>
                </c:pt>
                <c:pt idx="1394">
                  <c:v>5.25197929809369</c:v>
                </c:pt>
                <c:pt idx="1395">
                  <c:v>5.25115300513901</c:v>
                </c:pt>
                <c:pt idx="1396">
                  <c:v>5.24735793612694</c:v>
                </c:pt>
                <c:pt idx="1397">
                  <c:v>5.24580201817399</c:v>
                </c:pt>
                <c:pt idx="1398">
                  <c:v>5.24921590717612</c:v>
                </c:pt>
                <c:pt idx="1399">
                  <c:v>5.251714067911</c:v>
                </c:pt>
                <c:pt idx="1400">
                  <c:v>5.25046146782671</c:v>
                </c:pt>
                <c:pt idx="1401">
                  <c:v>5.2471086360697</c:v>
                </c:pt>
                <c:pt idx="1402">
                  <c:v>5.2465110812406</c:v>
                </c:pt>
                <c:pt idx="1403">
                  <c:v>5.24965628927096</c:v>
                </c:pt>
                <c:pt idx="1404">
                  <c:v>5.25139242169672</c:v>
                </c:pt>
                <c:pt idx="1405">
                  <c:v>5.24985296227631</c:v>
                </c:pt>
                <c:pt idx="1406">
                  <c:v>5.24703028228071</c:v>
                </c:pt>
                <c:pt idx="1407">
                  <c:v>5.24716406271935</c:v>
                </c:pt>
                <c:pt idx="1408">
                  <c:v>5.24994389864045</c:v>
                </c:pt>
                <c:pt idx="1409">
                  <c:v>5.25103738095686</c:v>
                </c:pt>
                <c:pt idx="1410">
                  <c:v>5.24934188797022</c:v>
                </c:pt>
                <c:pt idx="1411">
                  <c:v>5.24708861895876</c:v>
                </c:pt>
                <c:pt idx="1412">
                  <c:v>5.24773654483226</c:v>
                </c:pt>
                <c:pt idx="1413">
                  <c:v>5.25010565934806</c:v>
                </c:pt>
                <c:pt idx="1414">
                  <c:v>5.2506702571235</c:v>
                </c:pt>
                <c:pt idx="1415">
                  <c:v>5.24893542598686</c:v>
                </c:pt>
                <c:pt idx="1416">
                  <c:v>5.24724541890742</c:v>
                </c:pt>
                <c:pt idx="1417">
                  <c:v>5.24821754244777</c:v>
                </c:pt>
                <c:pt idx="1418">
                  <c:v>5.25016698753629</c:v>
                </c:pt>
                <c:pt idx="1419">
                  <c:v>5.25030971222395</c:v>
                </c:pt>
                <c:pt idx="1420">
                  <c:v>5.24863334179526</c:v>
                </c:pt>
                <c:pt idx="1421">
                  <c:v>5.24746414600396</c:v>
                </c:pt>
                <c:pt idx="1422">
                  <c:v>5.24860565224148</c:v>
                </c:pt>
                <c:pt idx="1423">
                  <c:v>5.25015109359469</c:v>
                </c:pt>
                <c:pt idx="1424">
                  <c:v>5.24997109977295</c:v>
                </c:pt>
                <c:pt idx="1425">
                  <c:v>5.24842884558301</c:v>
                </c:pt>
                <c:pt idx="1426">
                  <c:v>5.24771349867047</c:v>
                </c:pt>
                <c:pt idx="1427">
                  <c:v>5.24890571985108</c:v>
                </c:pt>
                <c:pt idx="1428">
                  <c:v>5.25007866593013</c:v>
                </c:pt>
                <c:pt idx="1429">
                  <c:v>5.2496660589969</c:v>
                </c:pt>
                <c:pt idx="1430">
                  <c:v>5.24831020703908</c:v>
                </c:pt>
                <c:pt idx="1431">
                  <c:v>5.24796894671179</c:v>
                </c:pt>
                <c:pt idx="1432">
                  <c:v>5.24912629147476</c:v>
                </c:pt>
                <c:pt idx="1433">
                  <c:v>5.2499677499388</c:v>
                </c:pt>
                <c:pt idx="1434">
                  <c:v>5.24940237459819</c:v>
                </c:pt>
                <c:pt idx="1435">
                  <c:v>5.2482627058601</c:v>
                </c:pt>
                <c:pt idx="1436">
                  <c:v>5.248212815956</c:v>
                </c:pt>
                <c:pt idx="1437">
                  <c:v>5.24927780571364</c:v>
                </c:pt>
                <c:pt idx="1438">
                  <c:v>5.24983372276656</c:v>
                </c:pt>
                <c:pt idx="1439">
                  <c:v>5.24918410934148</c:v>
                </c:pt>
                <c:pt idx="1440">
                  <c:v>5.2482705204836</c:v>
                </c:pt>
                <c:pt idx="1441">
                  <c:v>5.24843353480209</c:v>
                </c:pt>
                <c:pt idx="1442">
                  <c:v>5.24937137176142</c:v>
                </c:pt>
                <c:pt idx="1443">
                  <c:v>5.24968932178927</c:v>
                </c:pt>
                <c:pt idx="1444">
                  <c:v>5.24901198829854</c:v>
                </c:pt>
                <c:pt idx="1445">
                  <c:v>5.24831827738024</c:v>
                </c:pt>
                <c:pt idx="1446">
                  <c:v>5.24862452375548</c:v>
                </c:pt>
                <c:pt idx="1447">
                  <c:v>5.24941797119564</c:v>
                </c:pt>
                <c:pt idx="1448">
                  <c:v>5.24954471767848</c:v>
                </c:pt>
                <c:pt idx="1449">
                  <c:v>5.24888397889582</c:v>
                </c:pt>
                <c:pt idx="1450">
                  <c:v>5.2483921345597</c:v>
                </c:pt>
                <c:pt idx="1451">
                  <c:v>5.24878303342204</c:v>
                </c:pt>
                <c:pt idx="1452">
                  <c:v>5.24942795036213</c:v>
                </c:pt>
                <c:pt idx="1453">
                  <c:v>5.24940763709727</c:v>
                </c:pt>
                <c:pt idx="1454">
                  <c:v>5.2487959857333</c:v>
                </c:pt>
                <c:pt idx="1455">
                  <c:v>5.24848039992799</c:v>
                </c:pt>
                <c:pt idx="1456">
                  <c:v>5.24890909101295</c:v>
                </c:pt>
                <c:pt idx="1457">
                  <c:v>5.24941070777108</c:v>
                </c:pt>
                <c:pt idx="1458">
                  <c:v>5.24928354151707</c:v>
                </c:pt>
                <c:pt idx="1459">
                  <c:v>5.2487425718994</c:v>
                </c:pt>
                <c:pt idx="1460">
                  <c:v>5.24857376263342</c:v>
                </c:pt>
                <c:pt idx="1461">
                  <c:v>5.24900461864333</c:v>
                </c:pt>
                <c:pt idx="1462">
                  <c:v>5.24937451329534</c:v>
                </c:pt>
                <c:pt idx="1463">
                  <c:v>5.24917586273264</c:v>
                </c:pt>
                <c:pt idx="1464">
                  <c:v>5.24871762925618</c:v>
                </c:pt>
                <c:pt idx="1465">
                  <c:v>5.2486652452267</c:v>
                </c:pt>
                <c:pt idx="1466">
                  <c:v>5.24907273201075</c:v>
                </c:pt>
                <c:pt idx="1467">
                  <c:v>5.24932641967515</c:v>
                </c:pt>
                <c:pt idx="1468">
                  <c:v>5.24908628699916</c:v>
                </c:pt>
                <c:pt idx="1469">
                  <c:v>5.24871494292957</c:v>
                </c:pt>
                <c:pt idx="1470">
                  <c:v>5.24874998122702</c:v>
                </c:pt>
                <c:pt idx="1471">
                  <c:v>5.24911720220612</c:v>
                </c:pt>
                <c:pt idx="1472">
                  <c:v>5.24927224223796</c:v>
                </c:pt>
                <c:pt idx="1473">
                  <c:v>5.24901507191286</c:v>
                </c:pt>
                <c:pt idx="1474">
                  <c:v>5.24872862192315</c:v>
                </c:pt>
                <c:pt idx="1475">
                  <c:v>5.24882490292547</c:v>
                </c:pt>
                <c:pt idx="1476">
                  <c:v>5.24914205458536</c:v>
                </c:pt>
                <c:pt idx="1477">
                  <c:v>5.24921659157232</c:v>
                </c:pt>
                <c:pt idx="1478">
                  <c:v>5.24896137546273</c:v>
                </c:pt>
                <c:pt idx="1479">
                  <c:v>5.24875339159895</c:v>
                </c:pt>
                <c:pt idx="1480">
                  <c:v>5.24888840006647</c:v>
                </c:pt>
                <c:pt idx="1481">
                  <c:v>5.24915127847701</c:v>
                </c:pt>
                <c:pt idx="1482">
                  <c:v>5.24916294814641</c:v>
                </c:pt>
                <c:pt idx="1483">
                  <c:v>5.24892357591311</c:v>
                </c:pt>
                <c:pt idx="1484">
                  <c:v>5.24878476093383</c:v>
                </c:pt>
                <c:pt idx="1485">
                  <c:v>5.24893998818548</c:v>
                </c:pt>
                <c:pt idx="1486">
                  <c:v>5.24914862492355</c:v>
                </c:pt>
                <c:pt idx="1487">
                  <c:v>5.24911376934827</c:v>
                </c:pt>
                <c:pt idx="1488">
                  <c:v>5.24889956392494</c:v>
                </c:pt>
                <c:pt idx="1489">
                  <c:v>5.24881908711251</c:v>
                </c:pt>
                <c:pt idx="1490">
                  <c:v>5.2489800084897</c:v>
                </c:pt>
                <c:pt idx="1491">
                  <c:v>5.24913747390469</c:v>
                </c:pt>
                <c:pt idx="1492">
                  <c:v>5.24907061960094</c:v>
                </c:pt>
                <c:pt idx="1493">
                  <c:v>5.24888699340604</c:v>
                </c:pt>
                <c:pt idx="1494">
                  <c:v>5.24885356328166</c:v>
                </c:pt>
                <c:pt idx="1495">
                  <c:v>5.24900936946084</c:v>
                </c:pt>
                <c:pt idx="1496">
                  <c:v>5.24912075630014</c:v>
                </c:pt>
                <c:pt idx="1497">
                  <c:v>5.24903431411278</c:v>
                </c:pt>
                <c:pt idx="1498">
                  <c:v>5.24888348357993</c:v>
                </c:pt>
                <c:pt idx="1499">
                  <c:v>5.24888615412732</c:v>
                </c:pt>
                <c:pt idx="1500">
                  <c:v>5.24902933295002</c:v>
                </c:pt>
                <c:pt idx="1501">
                  <c:v>5.24910091879709</c:v>
                </c:pt>
                <c:pt idx="1502">
                  <c:v>5.24900506708319</c:v>
                </c:pt>
                <c:pt idx="1503">
                  <c:v>5.24888677044948</c:v>
                </c:pt>
                <c:pt idx="1504">
                  <c:v>5.24891550031618</c:v>
                </c:pt>
                <c:pt idx="1505">
                  <c:v>5.2490413432503</c:v>
                </c:pt>
                <c:pt idx="1506">
                  <c:v>5.249079922053</c:v>
                </c:pt>
                <c:pt idx="1507">
                  <c:v>5.24898263605311</c:v>
                </c:pt>
                <c:pt idx="1508">
                  <c:v>5.24889481039946</c:v>
                </c:pt>
                <c:pt idx="1509">
                  <c:v>5.24894080829335</c:v>
                </c:pt>
                <c:pt idx="1510">
                  <c:v>5.24904689541189</c:v>
                </c:pt>
                <c:pt idx="1511">
                  <c:v>5.24905926388939</c:v>
                </c:pt>
                <c:pt idx="1512">
                  <c:v>5.2489664555428</c:v>
                </c:pt>
                <c:pt idx="1513">
                  <c:v>5.24890584178287</c:v>
                </c:pt>
                <c:pt idx="1514">
                  <c:v>5.24896173744873</c:v>
                </c:pt>
                <c:pt idx="1515">
                  <c:v>5.24904743809733</c:v>
                </c:pt>
                <c:pt idx="1516">
                  <c:v>5.24904002036352</c:v>
                </c:pt>
                <c:pt idx="1517">
                  <c:v>5.24895575496241</c:v>
                </c:pt>
                <c:pt idx="1518">
                  <c:v>5.24891841199295</c:v>
                </c:pt>
                <c:pt idx="1519">
                  <c:v>5.24897829277366</c:v>
                </c:pt>
                <c:pt idx="1520">
                  <c:v>5.24904430600835</c:v>
                </c:pt>
                <c:pt idx="1521">
                  <c:v>5.24902289845152</c:v>
                </c:pt>
                <c:pt idx="1522">
                  <c:v>5.24894965775269</c:v>
                </c:pt>
                <c:pt idx="1523">
                  <c:v>5.24893137798303</c:v>
                </c:pt>
                <c:pt idx="1524">
                  <c:v>5.24899072801959</c:v>
                </c:pt>
                <c:pt idx="1525">
                  <c:v>5.24903867701366</c:v>
                </c:pt>
                <c:pt idx="1526">
                  <c:v>5.24900829492196</c:v>
                </c:pt>
                <c:pt idx="1527">
                  <c:v>5.24894726057073</c:v>
                </c:pt>
                <c:pt idx="1528">
                  <c:v>5.24894388780173</c:v>
                </c:pt>
                <c:pt idx="1529">
                  <c:v>5.24899946203024</c:v>
                </c:pt>
                <c:pt idx="1530">
                  <c:v>5.24903154937782</c:v>
                </c:pt>
                <c:pt idx="1531">
                  <c:v>5.24899635685349</c:v>
                </c:pt>
                <c:pt idx="1532">
                  <c:v>5.24894769289945</c:v>
                </c:pt>
                <c:pt idx="1533">
                  <c:v>5.24895534979449</c:v>
                </c:pt>
                <c:pt idx="1534">
                  <c:v>5.24900500924513</c:v>
                </c:pt>
                <c:pt idx="1535">
                  <c:v>5.24902373484491</c:v>
                </c:pt>
                <c:pt idx="1536">
                  <c:v>5.24898704016554</c:v>
                </c:pt>
                <c:pt idx="1537">
                  <c:v>5.24895015863457</c:v>
                </c:pt>
                <c:pt idx="1538">
                  <c:v>5.24896539496245</c:v>
                </c:pt>
                <c:pt idx="1539">
                  <c:v>5.24900792422655</c:v>
                </c:pt>
                <c:pt idx="1540">
                  <c:v>5.24901586372729</c:v>
                </c:pt>
                <c:pt idx="1541">
                  <c:v>5.24898016345829</c:v>
                </c:pt>
                <c:pt idx="1542">
                  <c:v>5.24895396196824</c:v>
                </c:pt>
                <c:pt idx="1543">
                  <c:v>5.24897383676237</c:v>
                </c:pt>
                <c:pt idx="1544">
                  <c:v>5.24900875931736</c:v>
                </c:pt>
                <c:pt idx="1545">
                  <c:v>5.24900839857648</c:v>
                </c:pt>
                <c:pt idx="1546">
                  <c:v>5.24897545535003</c:v>
                </c:pt>
                <c:pt idx="1547">
                  <c:v>5.24895852028115</c:v>
                </c:pt>
                <c:pt idx="1548">
                  <c:v>5.2489806315041</c:v>
                </c:pt>
                <c:pt idx="1549">
                  <c:v>5.24900803408404</c:v>
                </c:pt>
                <c:pt idx="1550">
                  <c:v>5.24900165346331</c:v>
                </c:pt>
                <c:pt idx="1551">
                  <c:v>5.24897259430812</c:v>
                </c:pt>
                <c:pt idx="1552">
                  <c:v>5.2489633668429</c:v>
                </c:pt>
                <c:pt idx="1553">
                  <c:v>5.24898584151934</c:v>
                </c:pt>
                <c:pt idx="1554">
                  <c:v>5.24900621495656</c:v>
                </c:pt>
                <c:pt idx="1555">
                  <c:v>5.24899581636098</c:v>
                </c:pt>
                <c:pt idx="1556">
                  <c:v>5.24897124065599</c:v>
                </c:pt>
                <c:pt idx="1557">
                  <c:v>5.24896814598529</c:v>
                </c:pt>
                <c:pt idx="1558">
                  <c:v>5.24898960246414</c:v>
                </c:pt>
                <c:pt idx="1559">
                  <c:v>5.24900370338426</c:v>
                </c:pt>
                <c:pt idx="1560">
                  <c:v>5.24899097259442</c:v>
                </c:pt>
                <c:pt idx="1561">
                  <c:v>5.24897106098107</c:v>
                </c:pt>
                <c:pt idx="1562">
                  <c:v>5.24897260313287</c:v>
                </c:pt>
                <c:pt idx="1563">
                  <c:v>5.24899209547456</c:v>
                </c:pt>
                <c:pt idx="1564">
                  <c:v>5.24900083084047</c:v>
                </c:pt>
                <c:pt idx="1565">
                  <c:v>5.24898712777813</c:v>
                </c:pt>
                <c:pt idx="1566">
                  <c:v>5.24897174556182</c:v>
                </c:pt>
                <c:pt idx="1567">
                  <c:v>5.24897657171551</c:v>
                </c:pt>
                <c:pt idx="1568">
                  <c:v>5.24899352440732</c:v>
                </c:pt>
                <c:pt idx="1569">
                  <c:v>5.24899785909914</c:v>
                </c:pt>
                <c:pt idx="1570">
                  <c:v>5.24898422909514</c:v>
                </c:pt>
                <c:pt idx="1571">
                  <c:v>5.24897301968477</c:v>
                </c:pt>
                <c:pt idx="1572">
                  <c:v>5.24897995860219</c:v>
                </c:pt>
                <c:pt idx="1573">
                  <c:v>5.24899409804241</c:v>
                </c:pt>
                <c:pt idx="1574">
                  <c:v>5.2489949843484</c:v>
                </c:pt>
                <c:pt idx="1575">
                  <c:v>5.2489821841579</c:v>
                </c:pt>
                <c:pt idx="1576">
                  <c:v>5.24897464985342</c:v>
                </c:pt>
                <c:pt idx="1577">
                  <c:v>5.24898272931756</c:v>
                </c:pt>
                <c:pt idx="1578">
                  <c:v>5.2489940168813</c:v>
                </c:pt>
                <c:pt idx="1579">
                  <c:v>5.24899234388197</c:v>
                </c:pt>
                <c:pt idx="1580">
                  <c:v>5.24898087702585</c:v>
                </c:pt>
                <c:pt idx="1581">
                  <c:v>5.24897644592281</c:v>
                </c:pt>
                <c:pt idx="1582">
                  <c:v>5.2489848939584</c:v>
                </c:pt>
                <c:pt idx="1583">
                  <c:v>5.24899346402052</c:v>
                </c:pt>
                <c:pt idx="1584">
                  <c:v>5.2489900243033</c:v>
                </c:pt>
                <c:pt idx="1585">
                  <c:v>5.24898018122885</c:v>
                </c:pt>
                <c:pt idx="1586">
                  <c:v>5.24897826015274</c:v>
                </c:pt>
                <c:pt idx="1587">
                  <c:v>5.24898649442723</c:v>
                </c:pt>
                <c:pt idx="1588">
                  <c:v>5.24899259949878</c:v>
                </c:pt>
                <c:pt idx="1589">
                  <c:v>5.24898807037638</c:v>
                </c:pt>
                <c:pt idx="1590">
                  <c:v>5.24897996985753</c:v>
                </c:pt>
                <c:pt idx="1591">
                  <c:v>5.24897998408087</c:v>
                </c:pt>
                <c:pt idx="1592">
                  <c:v>5.24898759335078</c:v>
                </c:pt>
                <c:pt idx="1593">
                  <c:v>5.24899155748804</c:v>
                </c:pt>
                <c:pt idx="1594">
                  <c:v>5.24898649385133</c:v>
                </c:pt>
                <c:pt idx="1595">
                  <c:v>5.24898012293518</c:v>
                </c:pt>
                <c:pt idx="1596">
                  <c:v>5.24898154399633</c:v>
                </c:pt>
                <c:pt idx="1597">
                  <c:v>5.24898826485179</c:v>
                </c:pt>
                <c:pt idx="1598">
                  <c:v>5.24899044571305</c:v>
                </c:pt>
                <c:pt idx="1599">
                  <c:v>5.24898528177263</c:v>
                </c:pt>
                <c:pt idx="1600">
                  <c:v>5.24898053238517</c:v>
                </c:pt>
                <c:pt idx="1601">
                  <c:v>5.24898289565994</c:v>
                </c:pt>
                <c:pt idx="1602">
                  <c:v>5.24898858719003</c:v>
                </c:pt>
                <c:pt idx="1603">
                  <c:v>5.24898934652729</c:v>
                </c:pt>
                <c:pt idx="1604">
                  <c:v>5.24898440393851</c:v>
                </c:pt>
                <c:pt idx="1605">
                  <c:v>5.24898110496281</c:v>
                </c:pt>
                <c:pt idx="1606">
                  <c:v>5.24898401878215</c:v>
                </c:pt>
                <c:pt idx="1607">
                  <c:v>5.24898863717826</c:v>
                </c:pt>
                <c:pt idx="1608">
                  <c:v>5.24898831913516</c:v>
                </c:pt>
                <c:pt idx="1609">
                  <c:v>5.24898381931671</c:v>
                </c:pt>
                <c:pt idx="1610">
                  <c:v>5.24898176353806</c:v>
                </c:pt>
                <c:pt idx="1611">
                  <c:v>5.24898491164221</c:v>
                </c:pt>
                <c:pt idx="1612">
                  <c:v>5.24898848620434</c:v>
                </c:pt>
                <c:pt idx="1613">
                  <c:v>5.24898740252442</c:v>
                </c:pt>
                <c:pt idx="1614">
                  <c:v>5.24898348133371</c:v>
                </c:pt>
                <c:pt idx="1615">
                  <c:v>5.2489824471056</c:v>
                </c:pt>
                <c:pt idx="1616">
                  <c:v>5.24898558611801</c:v>
                </c:pt>
                <c:pt idx="1617">
                  <c:v>5.24898819764641</c:v>
                </c:pt>
                <c:pt idx="1618">
                  <c:v>5.24898661875015</c:v>
                </c:pt>
                <c:pt idx="1619">
                  <c:v>5.24898334204101</c:v>
                </c:pt>
                <c:pt idx="1620">
                  <c:v>5.24898310986971</c:v>
                </c:pt>
                <c:pt idx="1621">
                  <c:v>5.24898606329817</c:v>
                </c:pt>
                <c:pt idx="1622">
                  <c:v>5.24898782544788</c:v>
                </c:pt>
                <c:pt idx="1623">
                  <c:v>5.24898597628888</c:v>
                </c:pt>
                <c:pt idx="1624">
                  <c:v>5.24898335522562</c:v>
                </c:pt>
                <c:pt idx="1625">
                  <c:v>5.24898371970927</c:v>
                </c:pt>
                <c:pt idx="1626">
                  <c:v>5.24898636976723</c:v>
                </c:pt>
                <c:pt idx="1627">
                  <c:v>5.2489874136169</c:v>
                </c:pt>
                <c:pt idx="1628">
                  <c:v>5.24898547325324</c:v>
                </c:pt>
                <c:pt idx="1629">
                  <c:v>5.24898347857405</c:v>
                </c:pt>
                <c:pt idx="1630">
                  <c:v>5.24898425628042</c:v>
                </c:pt>
                <c:pt idx="1631">
                  <c:v>5.24898653459175</c:v>
                </c:pt>
                <c:pt idx="1632">
                  <c:v>5.24898699642729</c:v>
                </c:pt>
                <c:pt idx="1633">
                  <c:v>5.24898510032228</c:v>
                </c:pt>
                <c:pt idx="1634">
                  <c:v>5.24898367502381</c:v>
                </c:pt>
                <c:pt idx="1635">
                  <c:v>5.24898470896471</c:v>
                </c:pt>
                <c:pt idx="1636">
                  <c:v>5.2489865869872</c:v>
                </c:pt>
                <c:pt idx="1637">
                  <c:v>5.24898659911846</c:v>
                </c:pt>
                <c:pt idx="1638">
                  <c:v>5.24898484329776</c:v>
                </c:pt>
                <c:pt idx="1639">
                  <c:v>5.24898391344666</c:v>
                </c:pt>
                <c:pt idx="1640">
                  <c:v>5.24898507482204</c:v>
                </c:pt>
                <c:pt idx="1641">
                  <c:v>5.24898655461276</c:v>
                </c:pt>
                <c:pt idx="1642">
                  <c:v>5.2489862389189</c:v>
                </c:pt>
                <c:pt idx="1643">
                  <c:v>5.2489846852425</c:v>
                </c:pt>
                <c:pt idx="1644">
                  <c:v>5.24898416880656</c:v>
                </c:pt>
                <c:pt idx="1645">
                  <c:v>5.24898535666428</c:v>
                </c:pt>
                <c:pt idx="1646">
                  <c:v>5.24898646241967</c:v>
                </c:pt>
                <c:pt idx="1647">
                  <c:v>5.24898592624712</c:v>
                </c:pt>
                <c:pt idx="1648">
                  <c:v>5.24898460819248</c:v>
                </c:pt>
                <c:pt idx="1649">
                  <c:v>5.2489844219269</c:v>
                </c:pt>
                <c:pt idx="1650">
                  <c:v>5.24898556132641</c:v>
                </c:pt>
                <c:pt idx="1651">
                  <c:v>5.2489863319676</c:v>
                </c:pt>
                <c:pt idx="1652">
                  <c:v>5.24898566597336</c:v>
                </c:pt>
                <c:pt idx="1653">
                  <c:v>5.24898459446114</c:v>
                </c:pt>
                <c:pt idx="1654">
                  <c:v>5.24898465898661</c:v>
                </c:pt>
                <c:pt idx="1655">
                  <c:v>5.24898569817987</c:v>
                </c:pt>
                <c:pt idx="1656">
                  <c:v>5.24898618112062</c:v>
                </c:pt>
                <c:pt idx="1657">
                  <c:v>5.24898545865372</c:v>
                </c:pt>
                <c:pt idx="1658">
                  <c:v>5.24898462757234</c:v>
                </c:pt>
                <c:pt idx="1659">
                  <c:v>5.24898487084826</c:v>
                </c:pt>
                <c:pt idx="1660">
                  <c:v>5.24898577790685</c:v>
                </c:pt>
                <c:pt idx="1661">
                  <c:v>5.24898602403636</c:v>
                </c:pt>
                <c:pt idx="1662">
                  <c:v>5.24898530167404</c:v>
                </c:pt>
                <c:pt idx="1663">
                  <c:v>5.24898469287008</c:v>
                </c:pt>
                <c:pt idx="1664">
                  <c:v>5.24898505230205</c:v>
                </c:pt>
                <c:pt idx="1665">
                  <c:v>5.24898581153406</c:v>
                </c:pt>
                <c:pt idx="1666">
                  <c:v>5.24898587136932</c:v>
                </c:pt>
                <c:pt idx="1667">
                  <c:v>5.24898519026285</c:v>
                </c:pt>
                <c:pt idx="1668">
                  <c:v>5.24898477785814</c:v>
                </c:pt>
                <c:pt idx="1669">
                  <c:v>5.24898520129211</c:v>
                </c:pt>
                <c:pt idx="1670">
                  <c:v>5.2489858097103</c:v>
                </c:pt>
                <c:pt idx="1671">
                  <c:v>5.24898573061837</c:v>
                </c:pt>
                <c:pt idx="1672">
                  <c:v>5.24898511835126</c:v>
                </c:pt>
                <c:pt idx="1673">
                  <c:v>5.24898487232393</c:v>
                </c:pt>
                <c:pt idx="1674">
                  <c:v>5.24898531817377</c:v>
                </c:pt>
                <c:pt idx="1675">
                  <c:v>5.24898578220256</c:v>
                </c:pt>
                <c:pt idx="1676">
                  <c:v>5.24898560655929</c:v>
                </c:pt>
                <c:pt idx="1677">
                  <c:v>5.24898507927262</c:v>
                </c:pt>
                <c:pt idx="1678">
                  <c:v>5.24898496829832</c:v>
                </c:pt>
                <c:pt idx="1679">
                  <c:v>5.24898540503601</c:v>
                </c:pt>
                <c:pt idx="1680">
                  <c:v>5.24898573757968</c:v>
                </c:pt>
                <c:pt idx="1681">
                  <c:v>5.24898550171471</c:v>
                </c:pt>
                <c:pt idx="1682">
                  <c:v>5.24898506630549</c:v>
                </c:pt>
                <c:pt idx="1683">
                  <c:v>5.24898505989851</c:v>
                </c:pt>
                <c:pt idx="1684">
                  <c:v>5.24898546510971</c:v>
                </c:pt>
                <c:pt idx="1685">
                  <c:v>5.24898568305052</c:v>
                </c:pt>
                <c:pt idx="1686">
                  <c:v>5.24898541682435</c:v>
                </c:pt>
                <c:pt idx="1687">
                  <c:v>5.24898507307183</c:v>
                </c:pt>
                <c:pt idx="1688">
                  <c:v>5.24898514309465</c:v>
                </c:pt>
                <c:pt idx="1689">
                  <c:v>5.24898550227221</c:v>
                </c:pt>
                <c:pt idx="1690">
                  <c:v>5.24898562442375</c:v>
                </c:pt>
                <c:pt idx="1691">
                  <c:v>5.2489853512888</c:v>
                </c:pt>
                <c:pt idx="1692">
                  <c:v>5.24898509380703</c:v>
                </c:pt>
                <c:pt idx="1693">
                  <c:v>5.24898521543453</c:v>
                </c:pt>
                <c:pt idx="1694">
                  <c:v>5.24898552065005</c:v>
                </c:pt>
                <c:pt idx="1695">
                  <c:v>5.24898556615837</c:v>
                </c:pt>
                <c:pt idx="1696">
                  <c:v>5.24898530356861</c:v>
                </c:pt>
                <c:pt idx="1697">
                  <c:v>5.2489851235214</c:v>
                </c:pt>
                <c:pt idx="1698">
                  <c:v>5.24898527575329</c:v>
                </c:pt>
                <c:pt idx="1699">
                  <c:v>5.2489855243158</c:v>
                </c:pt>
              </c:numCache>
            </c:numRef>
          </c:yVal>
          <c:smooth val="0"/>
        </c:ser>
        <c:axId val="51515360"/>
        <c:axId val="23343778"/>
      </c:scatterChart>
      <c:valAx>
        <c:axId val="51515360"/>
        <c:scaling>
          <c:orientation val="minMax"/>
          <c:max val="170000"/>
          <c:min val="0"/>
        </c:scaling>
        <c:delete val="0"/>
        <c:axPos val="b"/>
        <c:majorGridlines>
          <c:spPr>
            <a:ln w="9360">
              <a:solidFill>
                <a:srgbClr val="878787"/>
              </a:solidFill>
              <a:round/>
            </a:ln>
          </c:spPr>
        </c:majorGridlines>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Time (s)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43778"/>
        <c:crosses val="min"/>
        <c:crossBetween val="midCat"/>
      </c:valAx>
      <c:valAx>
        <c:axId val="23343778"/>
        <c:scaling>
          <c:orientation val="minMax"/>
          <c:max val="6"/>
          <c:min val="0"/>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Qb (mL/s)</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51536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Mean IAE by controller (all segments vs tracking only)</a:t>
            </a:r>
          </a:p>
        </c:rich>
      </c:tx>
      <c:overlay val="0"/>
      <c:spPr>
        <a:noFill/>
        <a:ln w="0">
          <a:noFill/>
        </a:ln>
      </c:spPr>
    </c:title>
    <c:autoTitleDeleted val="0"/>
    <c:plotArea>
      <c:barChart>
        <c:barDir val="col"/>
        <c:grouping val="clustered"/>
        <c:varyColors val="0"/>
        <c:ser>
          <c:idx val="0"/>
          <c:order val="0"/>
          <c:tx>
            <c:strRef>
              <c:f>"All segments (incl. regulation)"</c:f>
              <c:strCache>
                <c:ptCount val="1"/>
                <c:pt idx="0">
                  <c:v>All segments (incl. regulation)</c:v>
                </c:pt>
              </c:strCache>
            </c:strRef>
          </c:tx>
          <c:spPr>
            <a:solidFill>
              <a:srgbClr val="1f77b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08_Metrics_Summary!$A$6:$A$9</c:f>
              <c:strCache>
                <c:ptCount val="4"/>
                <c:pt idx="0">
                  <c:v>Conventional PI</c:v>
                </c:pt>
                <c:pt idx="1">
                  <c:v>IMC PI</c:v>
                </c:pt>
                <c:pt idx="2">
                  <c:v>IMC-scheduled PID</c:v>
                </c:pt>
                <c:pt idx="3">
                  <c:v>Pure gain-scheduled PID</c:v>
                </c:pt>
              </c:strCache>
            </c:strRef>
          </c:cat>
          <c:val>
            <c:numRef>
              <c:f>08_Metrics_Summary!$B$6:$B$9</c:f>
              <c:numCache>
                <c:formatCode>#,##0</c:formatCode>
                <c:ptCount val="4"/>
                <c:pt idx="0">
                  <c:v>70127.7125</c:v>
                </c:pt>
                <c:pt idx="1">
                  <c:v>49528.596</c:v>
                </c:pt>
                <c:pt idx="2">
                  <c:v>12424.947</c:v>
                </c:pt>
                <c:pt idx="3">
                  <c:v>29671.505</c:v>
                </c:pt>
              </c:numCache>
            </c:numRef>
          </c:val>
        </c:ser>
        <c:ser>
          <c:idx val="1"/>
          <c:order val="1"/>
          <c:tx>
            <c:strRef>
              <c:f>"Setpoint tracking only"</c:f>
              <c:strCache>
                <c:ptCount val="1"/>
                <c:pt idx="0">
                  <c:v>Setpoint tracking only</c:v>
                </c:pt>
              </c:strCache>
            </c:strRef>
          </c:tx>
          <c:spPr>
            <a:solidFill>
              <a:srgbClr val="ff7f0e"/>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08_Metrics_Summary!$A$6:$A$9</c:f>
              <c:strCache>
                <c:ptCount val="4"/>
                <c:pt idx="0">
                  <c:v>Conventional PI</c:v>
                </c:pt>
                <c:pt idx="1">
                  <c:v>IMC PI</c:v>
                </c:pt>
                <c:pt idx="2">
                  <c:v>IMC-scheduled PID</c:v>
                </c:pt>
                <c:pt idx="3">
                  <c:v>Pure gain-scheduled PID</c:v>
                </c:pt>
              </c:strCache>
            </c:strRef>
          </c:cat>
          <c:val>
            <c:numRef>
              <c:f>08_Metrics_Summary!$B$13:$B$16</c:f>
              <c:numCache>
                <c:formatCode>#,##0</c:formatCode>
                <c:ptCount val="4"/>
                <c:pt idx="0">
                  <c:v>65312.3273333333</c:v>
                </c:pt>
                <c:pt idx="1">
                  <c:v>44647.328</c:v>
                </c:pt>
                <c:pt idx="2">
                  <c:v>11680.546</c:v>
                </c:pt>
                <c:pt idx="3">
                  <c:v>21345.154</c:v>
                </c:pt>
              </c:numCache>
            </c:numRef>
          </c:val>
        </c:ser>
        <c:gapWidth val="150"/>
        <c:overlap val="0"/>
        <c:axId val="87799520"/>
        <c:axId val="76112200"/>
      </c:barChart>
      <c:catAx>
        <c:axId val="87799520"/>
        <c:scaling>
          <c:orientation val="minMax"/>
        </c:scaling>
        <c:delete val="0"/>
        <c:axPos val="b"/>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Controller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112200"/>
        <c:crosses val="autoZero"/>
        <c:auto val="1"/>
        <c:lblAlgn val="ctr"/>
        <c:lblOffset val="100"/>
        <c:noMultiLvlLbl val="0"/>
      </c:catAx>
      <c:valAx>
        <c:axId val="76112200"/>
        <c:scaling>
          <c:orientation val="minMax"/>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Mean IAE (pH.s)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7995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Phase margin by controller and region</a:t>
            </a:r>
          </a:p>
        </c:rich>
      </c:tx>
      <c:overlay val="0"/>
      <c:spPr>
        <a:noFill/>
        <a:ln w="0">
          <a:noFill/>
        </a:ln>
      </c:spPr>
    </c:title>
    <c:autoTitleDeleted val="0"/>
    <c:plotArea>
      <c:barChart>
        <c:barDir val="col"/>
        <c:grouping val="clustered"/>
        <c:varyColors val="0"/>
        <c:ser>
          <c:idx val="0"/>
          <c:order val="0"/>
          <c:tx>
            <c:strRef>
              <c:f>09_Margins!$G$4</c:f>
              <c:strCache>
                <c:ptCount val="1"/>
                <c:pt idx="0">
                  <c:v>Phase margin (deg)</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multiLvlStrRef>
              <c:f>09_Margins!$A$5:$B$16</c:f>
              <c:multiLvlStrCache>
                <c:ptCount val="12"/>
                <c:lvl>
                  <c:pt idx="0">
                    <c:v>Acidic</c:v>
                  </c:pt>
                  <c:pt idx="1">
                    <c:v>Near-neutral</c:v>
                  </c:pt>
                  <c:pt idx="2">
                    <c:v>Alkaline</c:v>
                  </c:pt>
                  <c:pt idx="3">
                    <c:v>Acidic</c:v>
                  </c:pt>
                  <c:pt idx="4">
                    <c:v>Near-neutral</c:v>
                  </c:pt>
                  <c:pt idx="5">
                    <c:v>Alkaline</c:v>
                  </c:pt>
                  <c:pt idx="6">
                    <c:v>Acidic</c:v>
                  </c:pt>
                  <c:pt idx="7">
                    <c:v>Near-neutral</c:v>
                  </c:pt>
                  <c:pt idx="8">
                    <c:v>Alkaline</c:v>
                  </c:pt>
                  <c:pt idx="9">
                    <c:v>Acidic</c:v>
                  </c:pt>
                  <c:pt idx="10">
                    <c:v>Near-neutral</c:v>
                  </c:pt>
                  <c:pt idx="11">
                    <c:v>Alkaline</c:v>
                  </c:pt>
                </c:lvl>
                <c:lvl>
                  <c:pt idx="0">
                    <c:v>Conventional PI</c:v>
                  </c:pt>
                  <c:pt idx="1">
                    <c:v>Conventional PI</c:v>
                  </c:pt>
                  <c:pt idx="2">
                    <c:v>Conventional PI</c:v>
                  </c:pt>
                  <c:pt idx="3">
                    <c:v>IMC PI</c:v>
                  </c:pt>
                  <c:pt idx="4">
                    <c:v>IMC PI</c:v>
                  </c:pt>
                  <c:pt idx="5">
                    <c:v>IMC PI</c:v>
                  </c:pt>
                  <c:pt idx="6">
                    <c:v>IMC-scheduled PID</c:v>
                  </c:pt>
                  <c:pt idx="7">
                    <c:v>IMC-scheduled PID</c:v>
                  </c:pt>
                  <c:pt idx="8">
                    <c:v>IMC-scheduled PID</c:v>
                  </c:pt>
                  <c:pt idx="9">
                    <c:v>Pure gain-scheduled PID</c:v>
                  </c:pt>
                  <c:pt idx="10">
                    <c:v>Pure gain-scheduled PID</c:v>
                  </c:pt>
                  <c:pt idx="11">
                    <c:v>Pure gain-scheduled PID</c:v>
                  </c:pt>
                </c:lvl>
              </c:multiLvlStrCache>
            </c:multiLvlStrRef>
          </c:cat>
          <c:val>
            <c:numRef>
              <c:f>09_Margins!$G$5:$G$16</c:f>
              <c:numCache>
                <c:formatCode>0.00</c:formatCode>
                <c:ptCount val="12"/>
                <c:pt idx="0">
                  <c:v>40.431</c:v>
                </c:pt>
                <c:pt idx="1">
                  <c:v>7.591</c:v>
                </c:pt>
                <c:pt idx="2">
                  <c:v>86.034</c:v>
                </c:pt>
                <c:pt idx="3">
                  <c:v>74.674</c:v>
                </c:pt>
                <c:pt idx="4">
                  <c:v>51.54</c:v>
                </c:pt>
                <c:pt idx="5">
                  <c:v>97.315</c:v>
                </c:pt>
                <c:pt idx="6">
                  <c:v>87.686</c:v>
                </c:pt>
                <c:pt idx="7">
                  <c:v>100.065</c:v>
                </c:pt>
                <c:pt idx="8">
                  <c:v>94.671</c:v>
                </c:pt>
                <c:pt idx="9">
                  <c:v>45.126</c:v>
                </c:pt>
                <c:pt idx="10">
                  <c:v>57.056</c:v>
                </c:pt>
                <c:pt idx="11">
                  <c:v>88.029</c:v>
                </c:pt>
              </c:numCache>
            </c:numRef>
          </c:val>
        </c:ser>
        <c:gapWidth val="150"/>
        <c:overlap val="0"/>
        <c:axId val="57693160"/>
        <c:axId val="50874114"/>
      </c:barChart>
      <c:catAx>
        <c:axId val="57693160"/>
        <c:scaling>
          <c:orientation val="minMax"/>
        </c:scaling>
        <c:delete val="0"/>
        <c:axPos val="b"/>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Controller / region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874114"/>
        <c:crosses val="autoZero"/>
        <c:auto val="1"/>
        <c:lblAlgn val="ctr"/>
        <c:lblOffset val="100"/>
        <c:noMultiLvlLbl val="0"/>
      </c:catAx>
      <c:valAx>
        <c:axId val="50874114"/>
        <c:scaling>
          <c:orientation val="minMax"/>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Phase margin (deg)</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6931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IAE change vs nominal, by mismatch case</a:t>
            </a:r>
          </a:p>
        </c:rich>
      </c:tx>
      <c:overlay val="0"/>
      <c:spPr>
        <a:noFill/>
        <a:ln w="0">
          <a:noFill/>
        </a:ln>
      </c:spPr>
    </c:title>
    <c:autoTitleDeleted val="0"/>
    <c:plotArea>
      <c:barChart>
        <c:barDir val="col"/>
        <c:grouping val="clustered"/>
        <c:varyColors val="0"/>
        <c:ser>
          <c:idx val="0"/>
          <c:order val="0"/>
          <c:tx>
            <c:strRef>
              <c:f>10_Robust_Summary!$B$32</c:f>
              <c:strCache>
                <c:ptCount val="1"/>
                <c:pt idx="0">
                  <c:v>Conventional PI</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10_Robust_Summary!$A$33:$A$38</c:f>
              <c:strCache>
                <c:ptCount val="6"/>
                <c:pt idx="0">
                  <c:v>Nominal (no mismatch)</c:v>
                </c:pt>
                <c:pt idx="1">
                  <c:v>Reactor volume +20%</c:v>
                </c:pt>
                <c:pt idx="2">
                  <c:v>Reactor volume -20%</c:v>
                </c:pt>
                <c:pt idx="3">
                  <c:v>Acid conc. +15%</c:v>
                </c:pt>
                <c:pt idx="4">
                  <c:v>Base conc. -15% (reagent weak)</c:v>
                </c:pt>
                <c:pt idx="5">
                  <c:v>Combined worst-case</c:v>
                </c:pt>
              </c:strCache>
            </c:strRef>
          </c:cat>
          <c:val>
            <c:numRef>
              <c:f>10_Robust_Summary!$B$33:$B$38</c:f>
              <c:numCache>
                <c:formatCode>\+0.0%;\-0.0%;0.0%</c:formatCode>
                <c:ptCount val="6"/>
                <c:pt idx="0">
                  <c:v>0</c:v>
                </c:pt>
                <c:pt idx="1">
                  <c:v>-0.0511935566926809</c:v>
                </c:pt>
                <c:pt idx="2">
                  <c:v>0.0687754221897329</c:v>
                </c:pt>
                <c:pt idx="3">
                  <c:v>0.153659454909922</c:v>
                </c:pt>
                <c:pt idx="4">
                  <c:v>0.0989928917116247</c:v>
                </c:pt>
                <c:pt idx="5">
                  <c:v>0.0513008324013195</c:v>
                </c:pt>
              </c:numCache>
            </c:numRef>
          </c:val>
        </c:ser>
        <c:ser>
          <c:idx val="1"/>
          <c:order val="1"/>
          <c:tx>
            <c:strRef>
              <c:f>10_Robust_Summary!$C$32</c:f>
              <c:strCache>
                <c:ptCount val="1"/>
                <c:pt idx="0">
                  <c:v>IMC PI</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10_Robust_Summary!$A$33:$A$38</c:f>
              <c:strCache>
                <c:ptCount val="6"/>
                <c:pt idx="0">
                  <c:v>Nominal (no mismatch)</c:v>
                </c:pt>
                <c:pt idx="1">
                  <c:v>Reactor volume +20%</c:v>
                </c:pt>
                <c:pt idx="2">
                  <c:v>Reactor volume -20%</c:v>
                </c:pt>
                <c:pt idx="3">
                  <c:v>Acid conc. +15%</c:v>
                </c:pt>
                <c:pt idx="4">
                  <c:v>Base conc. -15% (reagent weak)</c:v>
                </c:pt>
                <c:pt idx="5">
                  <c:v>Combined worst-case</c:v>
                </c:pt>
              </c:strCache>
            </c:strRef>
          </c:cat>
          <c:val>
            <c:numRef>
              <c:f>10_Robust_Summary!$C$33:$C$38</c:f>
              <c:numCache>
                <c:formatCode>\+0.0%;\-0.0%;0.0%</c:formatCode>
                <c:ptCount val="6"/>
                <c:pt idx="0">
                  <c:v>0</c:v>
                </c:pt>
                <c:pt idx="1">
                  <c:v>-0.0832667859189871</c:v>
                </c:pt>
                <c:pt idx="2">
                  <c:v>0.106979814247107</c:v>
                </c:pt>
                <c:pt idx="3">
                  <c:v>0.197369455011404</c:v>
                </c:pt>
                <c:pt idx="4">
                  <c:v>0.107304979935228</c:v>
                </c:pt>
                <c:pt idx="5">
                  <c:v>0.0453708399083229</c:v>
                </c:pt>
              </c:numCache>
            </c:numRef>
          </c:val>
        </c:ser>
        <c:ser>
          <c:idx val="2"/>
          <c:order val="2"/>
          <c:tx>
            <c:strRef>
              <c:f>10_Robust_Summary!$D$32</c:f>
              <c:strCache>
                <c:ptCount val="1"/>
                <c:pt idx="0">
                  <c:v>IMC-scheduled PID</c:v>
                </c:pt>
              </c:strCache>
            </c:strRef>
          </c:tx>
          <c:spPr>
            <a:solidFill>
              <a:srgbClr val="9bbb59"/>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10_Robust_Summary!$A$33:$A$38</c:f>
              <c:strCache>
                <c:ptCount val="6"/>
                <c:pt idx="0">
                  <c:v>Nominal (no mismatch)</c:v>
                </c:pt>
                <c:pt idx="1">
                  <c:v>Reactor volume +20%</c:v>
                </c:pt>
                <c:pt idx="2">
                  <c:v>Reactor volume -20%</c:v>
                </c:pt>
                <c:pt idx="3">
                  <c:v>Acid conc. +15%</c:v>
                </c:pt>
                <c:pt idx="4">
                  <c:v>Base conc. -15% (reagent weak)</c:v>
                </c:pt>
                <c:pt idx="5">
                  <c:v>Combined worst-case</c:v>
                </c:pt>
              </c:strCache>
            </c:strRef>
          </c:cat>
          <c:val>
            <c:numRef>
              <c:f>10_Robust_Summary!$D$33:$D$38</c:f>
              <c:numCache>
                <c:formatCode>\+0.0%;\-0.0%;0.0%</c:formatCode>
                <c:ptCount val="6"/>
                <c:pt idx="0">
                  <c:v>0</c:v>
                </c:pt>
                <c:pt idx="1">
                  <c:v>0.146560544684818</c:v>
                </c:pt>
                <c:pt idx="2">
                  <c:v>-0.122278590001229</c:v>
                </c:pt>
                <c:pt idx="3">
                  <c:v>0.483237473769506</c:v>
                </c:pt>
                <c:pt idx="4">
                  <c:v>0.518908209427372</c:v>
                </c:pt>
                <c:pt idx="5">
                  <c:v>0.921520792000159</c:v>
                </c:pt>
              </c:numCache>
            </c:numRef>
          </c:val>
        </c:ser>
        <c:ser>
          <c:idx val="3"/>
          <c:order val="3"/>
          <c:tx>
            <c:strRef>
              <c:f>10_Robust_Summary!$E$32</c:f>
              <c:strCache>
                <c:ptCount val="1"/>
                <c:pt idx="0">
                  <c:v>Pure gain-scheduled PID</c:v>
                </c:pt>
              </c:strCache>
            </c:strRef>
          </c:tx>
          <c:spPr>
            <a:solidFill>
              <a:srgbClr val="8064a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10_Robust_Summary!$A$33:$A$38</c:f>
              <c:strCache>
                <c:ptCount val="6"/>
                <c:pt idx="0">
                  <c:v>Nominal (no mismatch)</c:v>
                </c:pt>
                <c:pt idx="1">
                  <c:v>Reactor volume +20%</c:v>
                </c:pt>
                <c:pt idx="2">
                  <c:v>Reactor volume -20%</c:v>
                </c:pt>
                <c:pt idx="3">
                  <c:v>Acid conc. +15%</c:v>
                </c:pt>
                <c:pt idx="4">
                  <c:v>Base conc. -15% (reagent weak)</c:v>
                </c:pt>
                <c:pt idx="5">
                  <c:v>Combined worst-case</c:v>
                </c:pt>
              </c:strCache>
            </c:strRef>
          </c:cat>
          <c:val>
            <c:numRef>
              <c:f>10_Robust_Summary!$E$33:$E$38</c:f>
              <c:numCache>
                <c:formatCode>\+0.0%;\-0.0%;0.0%</c:formatCode>
                <c:ptCount val="6"/>
                <c:pt idx="0">
                  <c:v>0</c:v>
                </c:pt>
                <c:pt idx="1">
                  <c:v>-0.215469555723581</c:v>
                </c:pt>
                <c:pt idx="2">
                  <c:v>0.444198196215527</c:v>
                </c:pt>
                <c:pt idx="3">
                  <c:v>0.224577418637848</c:v>
                </c:pt>
                <c:pt idx="4">
                  <c:v>0.0381597428239652</c:v>
                </c:pt>
                <c:pt idx="5">
                  <c:v>0.0291182735759443</c:v>
                </c:pt>
              </c:numCache>
            </c:numRef>
          </c:val>
        </c:ser>
        <c:gapWidth val="150"/>
        <c:overlap val="0"/>
        <c:axId val="69548688"/>
        <c:axId val="9609121"/>
      </c:barChart>
      <c:catAx>
        <c:axId val="69548688"/>
        <c:scaling>
          <c:orientation val="minMax"/>
        </c:scaling>
        <c:delete val="0"/>
        <c:axPos val="b"/>
        <c:title>
          <c:tx>
            <c:rich>
              <a:bodyPr rot="0"/>
              <a:lstStyle/>
              <a:p>
                <a:pPr>
                  <a:defRPr b="1" lang="en-ZA" sz="1000" spc="-1" strike="noStrike">
                    <a:solidFill>
                      <a:srgbClr val="000000"/>
                    </a:solidFill>
                    <a:latin typeface="Calibri"/>
                  </a:defRPr>
                </a:pPr>
                <a:r>
                  <a:rPr b="1" lang="en-ZA" sz="1000" spc="-1" strike="noStrike">
                    <a:solidFill>
                      <a:srgbClr val="000000"/>
                    </a:solidFill>
                    <a:latin typeface="Calibri"/>
                  </a:rPr>
                  <a:t>Mismatch case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9121"/>
        <c:crosses val="autoZero"/>
        <c:auto val="1"/>
        <c:lblAlgn val="ctr"/>
        <c:lblOffset val="100"/>
        <c:noMultiLvlLbl val="0"/>
      </c:catAx>
      <c:valAx>
        <c:axId val="9609121"/>
        <c:scaling>
          <c:orientation val="minMax"/>
        </c:scaling>
        <c:delete val="0"/>
        <c:axPos val="l"/>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Change in mean IAE</a:t>
                </a:r>
              </a:p>
            </c:rich>
          </c:tx>
          <c:overlay val="0"/>
          <c:spPr>
            <a:noFill/>
            <a:ln w="0">
              <a:noFill/>
            </a:ln>
          </c:spPr>
        </c:title>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5486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ZA" sz="1800" spc="-1" strike="noStrike">
                <a:solidFill>
                  <a:srgbClr val="000000"/>
                </a:solidFill>
                <a:latin typeface="Calibri"/>
              </a:defRPr>
            </a:pPr>
            <a:r>
              <a:rPr b="1" lang="en-ZA" sz="1800" spc="-1" strike="noStrike">
                <a:solidFill>
                  <a:srgbClr val="000000"/>
                </a:solidFill>
                <a:latin typeface="Calibri"/>
              </a:rPr>
              <a:t>Mean overshoot by controller</a:t>
            </a:r>
          </a:p>
        </c:rich>
      </c:tx>
      <c:overlay val="0"/>
      <c:spPr>
        <a:noFill/>
        <a:ln w="0">
          <a:noFill/>
        </a:ln>
      </c:spPr>
    </c:title>
    <c:autoTitleDeleted val="0"/>
    <c:plotArea>
      <c:barChart>
        <c:barDir val="col"/>
        <c:grouping val="clustered"/>
        <c:varyColors val="0"/>
        <c:ser>
          <c:idx val="0"/>
          <c:order val="0"/>
          <c:tx>
            <c:strRef>
              <c:f>08_Metrics_Summary!$E$5</c:f>
              <c:strCache>
                <c:ptCount val="1"/>
                <c:pt idx="0">
                  <c:v>Mean overshoot (pH)</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08_Metrics_Summary!$A$6:$A$9</c:f>
              <c:strCache>
                <c:ptCount val="4"/>
                <c:pt idx="0">
                  <c:v>Conventional PI</c:v>
                </c:pt>
                <c:pt idx="1">
                  <c:v>IMC PI</c:v>
                </c:pt>
                <c:pt idx="2">
                  <c:v>IMC-scheduled PID</c:v>
                </c:pt>
                <c:pt idx="3">
                  <c:v>Pure gain-scheduled PID</c:v>
                </c:pt>
              </c:strCache>
            </c:strRef>
          </c:cat>
          <c:val>
            <c:numRef>
              <c:f>08_Metrics_Summary!$E$6:$E$9</c:f>
              <c:numCache>
                <c:formatCode>0.000</c:formatCode>
                <c:ptCount val="4"/>
                <c:pt idx="0">
                  <c:v>1.66625</c:v>
                </c:pt>
                <c:pt idx="1">
                  <c:v>1.6635</c:v>
                </c:pt>
                <c:pt idx="2">
                  <c:v>1.22025</c:v>
                </c:pt>
                <c:pt idx="3">
                  <c:v>1.5175</c:v>
                </c:pt>
              </c:numCache>
            </c:numRef>
          </c:val>
        </c:ser>
        <c:gapWidth val="150"/>
        <c:overlap val="0"/>
        <c:axId val="73871386"/>
        <c:axId val="15868414"/>
      </c:barChart>
      <c:catAx>
        <c:axId val="7387138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868414"/>
        <c:crosses val="autoZero"/>
        <c:auto val="1"/>
        <c:lblAlgn val="ctr"/>
        <c:lblOffset val="100"/>
        <c:noMultiLvlLbl val="0"/>
      </c:catAx>
      <c:valAx>
        <c:axId val="15868414"/>
        <c:scaling>
          <c:orientation val="minMax"/>
        </c:scaling>
        <c:delete val="0"/>
        <c:axPos val="l"/>
        <c:majorGridlines>
          <c:spPr>
            <a:ln w="9360">
              <a:solidFill>
                <a:srgbClr val="878787"/>
              </a:solidFill>
              <a:round/>
            </a:ln>
          </c:spPr>
        </c:majorGridlines>
        <c:title>
          <c:tx>
            <c:rich>
              <a:bodyPr rot="-5400000"/>
              <a:lstStyle/>
              <a:p>
                <a:pPr>
                  <a:defRPr b="1" lang="en-ZA" sz="1000" spc="-1" strike="noStrike">
                    <a:solidFill>
                      <a:srgbClr val="000000"/>
                    </a:solidFill>
                    <a:latin typeface="Calibri"/>
                  </a:defRPr>
                </a:pPr>
                <a:r>
                  <a:rPr b="1" lang="en-ZA" sz="1000" spc="-1" strike="noStrike">
                    <a:solidFill>
                      <a:srgbClr val="000000"/>
                    </a:solidFill>
                    <a:latin typeface="Calibri"/>
                  </a:rPr>
                  <a:t>Overshoot (pH units)</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8713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0</xdr:rowOff>
    </xdr:from>
    <xdr:to>
      <xdr:col>10</xdr:col>
      <xdr:colOff>4320</xdr:colOff>
      <xdr:row>20</xdr:row>
      <xdr:rowOff>720</xdr:rowOff>
    </xdr:to>
    <xdr:graphicFrame>
      <xdr:nvGraphicFramePr>
        <xdr:cNvPr id="0" name="Chart 1"/>
        <xdr:cNvGraphicFramePr/>
      </xdr:nvGraphicFramePr>
      <xdr:xfrm>
        <a:off x="0" y="714240"/>
        <a:ext cx="611316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xdr:row>
      <xdr:rowOff>0</xdr:rowOff>
    </xdr:from>
    <xdr:to>
      <xdr:col>21</xdr:col>
      <xdr:colOff>4320</xdr:colOff>
      <xdr:row>20</xdr:row>
      <xdr:rowOff>720</xdr:rowOff>
    </xdr:to>
    <xdr:graphicFrame>
      <xdr:nvGraphicFramePr>
        <xdr:cNvPr id="1" name="Chart 2"/>
        <xdr:cNvGraphicFramePr/>
      </xdr:nvGraphicFramePr>
      <xdr:xfrm>
        <a:off x="6719400" y="714240"/>
        <a:ext cx="611316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0</xdr:rowOff>
    </xdr:from>
    <xdr:to>
      <xdr:col>10</xdr:col>
      <xdr:colOff>4320</xdr:colOff>
      <xdr:row>39</xdr:row>
      <xdr:rowOff>1080</xdr:rowOff>
    </xdr:to>
    <xdr:graphicFrame>
      <xdr:nvGraphicFramePr>
        <xdr:cNvPr id="2" name="Chart 3"/>
        <xdr:cNvGraphicFramePr/>
      </xdr:nvGraphicFramePr>
      <xdr:xfrm>
        <a:off x="0" y="4334040"/>
        <a:ext cx="611316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22</xdr:row>
      <xdr:rowOff>0</xdr:rowOff>
    </xdr:from>
    <xdr:to>
      <xdr:col>21</xdr:col>
      <xdr:colOff>4320</xdr:colOff>
      <xdr:row>39</xdr:row>
      <xdr:rowOff>1080</xdr:rowOff>
    </xdr:to>
    <xdr:graphicFrame>
      <xdr:nvGraphicFramePr>
        <xdr:cNvPr id="3" name="Chart 4"/>
        <xdr:cNvGraphicFramePr/>
      </xdr:nvGraphicFramePr>
      <xdr:xfrm>
        <a:off x="6719400" y="4334040"/>
        <a:ext cx="6113160" cy="323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41</xdr:row>
      <xdr:rowOff>0</xdr:rowOff>
    </xdr:from>
    <xdr:to>
      <xdr:col>10</xdr:col>
      <xdr:colOff>4320</xdr:colOff>
      <xdr:row>58</xdr:row>
      <xdr:rowOff>720</xdr:rowOff>
    </xdr:to>
    <xdr:graphicFrame>
      <xdr:nvGraphicFramePr>
        <xdr:cNvPr id="4" name="Chart 5"/>
        <xdr:cNvGraphicFramePr/>
      </xdr:nvGraphicFramePr>
      <xdr:xfrm>
        <a:off x="0" y="7953480"/>
        <a:ext cx="6113160" cy="323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41</xdr:row>
      <xdr:rowOff>0</xdr:rowOff>
    </xdr:from>
    <xdr:to>
      <xdr:col>21</xdr:col>
      <xdr:colOff>4320</xdr:colOff>
      <xdr:row>58</xdr:row>
      <xdr:rowOff>720</xdr:rowOff>
    </xdr:to>
    <xdr:graphicFrame>
      <xdr:nvGraphicFramePr>
        <xdr:cNvPr id="5" name="Chart 6"/>
        <xdr:cNvGraphicFramePr/>
      </xdr:nvGraphicFramePr>
      <xdr:xfrm>
        <a:off x="6719400" y="7953480"/>
        <a:ext cx="6113160" cy="323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60</xdr:row>
      <xdr:rowOff>0</xdr:rowOff>
    </xdr:from>
    <xdr:to>
      <xdr:col>15</xdr:col>
      <xdr:colOff>186840</xdr:colOff>
      <xdr:row>80</xdr:row>
      <xdr:rowOff>149400</xdr:rowOff>
    </xdr:to>
    <xdr:graphicFrame>
      <xdr:nvGraphicFramePr>
        <xdr:cNvPr id="6" name="Chart 7"/>
        <xdr:cNvGraphicFramePr/>
      </xdr:nvGraphicFramePr>
      <xdr:xfrm>
        <a:off x="0" y="11572920"/>
        <a:ext cx="9349920" cy="39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86</xdr:row>
      <xdr:rowOff>0</xdr:rowOff>
    </xdr:from>
    <xdr:to>
      <xdr:col>15</xdr:col>
      <xdr:colOff>186840</xdr:colOff>
      <xdr:row>106</xdr:row>
      <xdr:rowOff>149040</xdr:rowOff>
    </xdr:to>
    <xdr:graphicFrame>
      <xdr:nvGraphicFramePr>
        <xdr:cNvPr id="7" name="Chart 8"/>
        <xdr:cNvGraphicFramePr/>
      </xdr:nvGraphicFramePr>
      <xdr:xfrm>
        <a:off x="0" y="16525800"/>
        <a:ext cx="9349920" cy="39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109</xdr:row>
      <xdr:rowOff>0</xdr:rowOff>
    </xdr:from>
    <xdr:to>
      <xdr:col>15</xdr:col>
      <xdr:colOff>186840</xdr:colOff>
      <xdr:row>129</xdr:row>
      <xdr:rowOff>149400</xdr:rowOff>
    </xdr:to>
    <xdr:graphicFrame>
      <xdr:nvGraphicFramePr>
        <xdr:cNvPr id="8" name="Chart 9"/>
        <xdr:cNvGraphicFramePr/>
      </xdr:nvGraphicFramePr>
      <xdr:xfrm>
        <a:off x="0" y="20907360"/>
        <a:ext cx="9349920" cy="39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132</xdr:row>
      <xdr:rowOff>0</xdr:rowOff>
    </xdr:from>
    <xdr:to>
      <xdr:col>10</xdr:col>
      <xdr:colOff>4320</xdr:colOff>
      <xdr:row>149</xdr:row>
      <xdr:rowOff>720</xdr:rowOff>
    </xdr:to>
    <xdr:graphicFrame>
      <xdr:nvGraphicFramePr>
        <xdr:cNvPr id="9" name="Chart 10"/>
        <xdr:cNvGraphicFramePr/>
      </xdr:nvGraphicFramePr>
      <xdr:xfrm>
        <a:off x="0" y="25288920"/>
        <a:ext cx="6113160" cy="323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450720</xdr:colOff>
      <xdr:row>131</xdr:row>
      <xdr:rowOff>177840</xdr:rowOff>
    </xdr:from>
    <xdr:to>
      <xdr:col>34</xdr:col>
      <xdr:colOff>13680</xdr:colOff>
      <xdr:row>148</xdr:row>
      <xdr:rowOff>77760</xdr:rowOff>
    </xdr:to>
    <xdr:graphicFrame>
      <xdr:nvGraphicFramePr>
        <xdr:cNvPr id="10" name="Chart 11"/>
        <xdr:cNvGraphicFramePr/>
      </xdr:nvGraphicFramePr>
      <xdr:xfrm>
        <a:off x="6559560" y="25276320"/>
        <a:ext cx="14223600" cy="31384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151</xdr:row>
      <xdr:rowOff>0</xdr:rowOff>
    </xdr:from>
    <xdr:to>
      <xdr:col>25</xdr:col>
      <xdr:colOff>546840</xdr:colOff>
      <xdr:row>170</xdr:row>
      <xdr:rowOff>117000</xdr:rowOff>
    </xdr:to>
    <xdr:graphicFrame>
      <xdr:nvGraphicFramePr>
        <xdr:cNvPr id="11" name="Chart 12"/>
        <xdr:cNvGraphicFramePr/>
      </xdr:nvGraphicFramePr>
      <xdr:xfrm>
        <a:off x="0" y="28908360"/>
        <a:ext cx="15818760" cy="37364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172</xdr:row>
      <xdr:rowOff>0</xdr:rowOff>
    </xdr:from>
    <xdr:to>
      <xdr:col>10</xdr:col>
      <xdr:colOff>4320</xdr:colOff>
      <xdr:row>189</xdr:row>
      <xdr:rowOff>1080</xdr:rowOff>
    </xdr:to>
    <xdr:graphicFrame>
      <xdr:nvGraphicFramePr>
        <xdr:cNvPr id="12" name="Chart 13"/>
        <xdr:cNvGraphicFramePr/>
      </xdr:nvGraphicFramePr>
      <xdr:xfrm>
        <a:off x="0" y="32909040"/>
        <a:ext cx="6113160" cy="323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1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74"/>
  </cols>
  <sheetData>
    <row r="1" customFormat="false" ht="25.5" hidden="false" customHeight="true" outlineLevel="0" collapsed="false">
      <c r="A1" s="1" t="s">
        <v>0</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4" customFormat="false" ht="18" hidden="false" customHeight="true" outlineLevel="0" collapsed="false">
      <c r="A4" s="3" t="s">
        <v>2</v>
      </c>
      <c r="B4" s="3"/>
      <c r="C4" s="3"/>
      <c r="D4" s="3"/>
      <c r="E4" s="3"/>
      <c r="F4" s="3"/>
      <c r="G4" s="3"/>
      <c r="H4" s="3"/>
      <c r="I4" s="3"/>
      <c r="J4" s="3"/>
    </row>
    <row r="5" customFormat="false" ht="30" hidden="false" customHeight="true" outlineLevel="0" collapsed="false">
      <c r="A5" s="4" t="s">
        <v>3</v>
      </c>
      <c r="B5" s="4" t="s">
        <v>4</v>
      </c>
      <c r="C5" s="4" t="s">
        <v>5</v>
      </c>
    </row>
    <row r="6" customFormat="false" ht="27.75" hidden="false" customHeight="true" outlineLevel="0" collapsed="false">
      <c r="A6" s="5" t="s">
        <v>6</v>
      </c>
      <c r="B6" s="6" t="s">
        <v>7</v>
      </c>
      <c r="C6" s="6" t="s">
        <v>8</v>
      </c>
    </row>
    <row r="7" customFormat="false" ht="27.75" hidden="false" customHeight="true" outlineLevel="0" collapsed="false">
      <c r="A7" s="5" t="s">
        <v>9</v>
      </c>
      <c r="B7" s="6" t="s">
        <v>10</v>
      </c>
      <c r="C7" s="6" t="s">
        <v>11</v>
      </c>
    </row>
    <row r="8" customFormat="false" ht="27.75" hidden="false" customHeight="true" outlineLevel="0" collapsed="false">
      <c r="A8" s="5" t="s">
        <v>12</v>
      </c>
      <c r="B8" s="6" t="s">
        <v>13</v>
      </c>
      <c r="C8" s="6" t="s">
        <v>14</v>
      </c>
    </row>
    <row r="9" customFormat="false" ht="27.75" hidden="false" customHeight="true" outlineLevel="0" collapsed="false">
      <c r="A9" s="5" t="s">
        <v>15</v>
      </c>
      <c r="B9" s="6" t="s">
        <v>16</v>
      </c>
      <c r="C9" s="6" t="s">
        <v>17</v>
      </c>
    </row>
    <row r="10" customFormat="false" ht="27.75" hidden="false" customHeight="true" outlineLevel="0" collapsed="false">
      <c r="A10" s="5" t="s">
        <v>18</v>
      </c>
      <c r="B10" s="6" t="s">
        <v>19</v>
      </c>
      <c r="C10" s="6" t="s">
        <v>20</v>
      </c>
    </row>
    <row r="11" customFormat="false" ht="27.75" hidden="false" customHeight="true" outlineLevel="0" collapsed="false">
      <c r="A11" s="5" t="s">
        <v>21</v>
      </c>
      <c r="B11" s="6" t="s">
        <v>22</v>
      </c>
      <c r="C11" s="6" t="s">
        <v>23</v>
      </c>
    </row>
    <row r="12" customFormat="false" ht="27.75" hidden="false" customHeight="true" outlineLevel="0" collapsed="false">
      <c r="A12" s="5" t="s">
        <v>24</v>
      </c>
      <c r="B12" s="6" t="s">
        <v>25</v>
      </c>
      <c r="C12" s="6" t="s">
        <v>26</v>
      </c>
    </row>
    <row r="13" customFormat="false" ht="27.75" hidden="false" customHeight="true" outlineLevel="0" collapsed="false">
      <c r="A13" s="5" t="s">
        <v>27</v>
      </c>
      <c r="B13" s="6" t="s">
        <v>28</v>
      </c>
      <c r="C13" s="6" t="s">
        <v>29</v>
      </c>
    </row>
    <row r="14" customFormat="false" ht="27.75" hidden="false" customHeight="true" outlineLevel="0" collapsed="false">
      <c r="A14" s="5" t="s">
        <v>30</v>
      </c>
      <c r="B14" s="6" t="s">
        <v>31</v>
      </c>
      <c r="C14" s="6" t="s">
        <v>32</v>
      </c>
    </row>
    <row r="15" customFormat="false" ht="27.75" hidden="false" customHeight="true" outlineLevel="0" collapsed="false">
      <c r="A15" s="5" t="s">
        <v>33</v>
      </c>
      <c r="B15" s="6" t="s">
        <v>34</v>
      </c>
      <c r="C15" s="6" t="s">
        <v>35</v>
      </c>
    </row>
    <row r="16" customFormat="false" ht="27.75" hidden="false" customHeight="true" outlineLevel="0" collapsed="false">
      <c r="A16" s="5" t="s">
        <v>36</v>
      </c>
      <c r="B16" s="6" t="s">
        <v>37</v>
      </c>
      <c r="C16" s="6" t="s">
        <v>38</v>
      </c>
    </row>
    <row r="17" customFormat="false" ht="27.75" hidden="false" customHeight="true" outlineLevel="0" collapsed="false">
      <c r="A17" s="5" t="s">
        <v>39</v>
      </c>
      <c r="B17" s="6" t="s">
        <v>40</v>
      </c>
      <c r="C17" s="6" t="s">
        <v>41</v>
      </c>
    </row>
    <row r="18" customFormat="false" ht="27.75" hidden="false" customHeight="true" outlineLevel="0" collapsed="false">
      <c r="A18" s="5" t="s">
        <v>42</v>
      </c>
      <c r="B18" s="6" t="s">
        <v>43</v>
      </c>
      <c r="C18" s="6" t="s">
        <v>44</v>
      </c>
    </row>
    <row r="19" customFormat="false" ht="27.75" hidden="false" customHeight="true" outlineLevel="0" collapsed="false">
      <c r="A19" s="5" t="s">
        <v>45</v>
      </c>
      <c r="B19" s="6" t="s">
        <v>46</v>
      </c>
      <c r="C19" s="6" t="s">
        <v>47</v>
      </c>
    </row>
    <row r="20" customFormat="false" ht="27.75" hidden="false" customHeight="true" outlineLevel="0" collapsed="false">
      <c r="A20" s="7" t="s">
        <v>48</v>
      </c>
      <c r="B20" s="8" t="s">
        <v>49</v>
      </c>
      <c r="C20" s="8" t="s">
        <v>50</v>
      </c>
    </row>
    <row r="21" customFormat="false" ht="18" hidden="false" customHeight="true" outlineLevel="0" collapsed="false">
      <c r="A21" s="9"/>
      <c r="B21" s="9"/>
      <c r="C21" s="9"/>
      <c r="D21" s="9"/>
      <c r="E21" s="9"/>
      <c r="F21" s="9"/>
      <c r="G21" s="9"/>
      <c r="H21" s="9"/>
      <c r="I21" s="9"/>
      <c r="J21" s="9"/>
    </row>
    <row r="22" customFormat="false" ht="15" hidden="false" customHeight="false" outlineLevel="0" collapsed="false">
      <c r="A22" s="10" t="s">
        <v>51</v>
      </c>
    </row>
    <row r="23" customFormat="false" ht="15" hidden="false" customHeight="false" outlineLevel="0" collapsed="false">
      <c r="A23" s="11" t="s">
        <v>52</v>
      </c>
      <c r="B23" s="12" t="s">
        <v>53</v>
      </c>
    </row>
    <row r="24" customFormat="false" ht="15" hidden="false" customHeight="false" outlineLevel="0" collapsed="false">
      <c r="A24" s="13" t="s">
        <v>54</v>
      </c>
      <c r="B24" s="12" t="s">
        <v>55</v>
      </c>
    </row>
    <row r="25" customFormat="false" ht="15" hidden="false" customHeight="false" outlineLevel="0" collapsed="false">
      <c r="A25" s="14" t="s">
        <v>56</v>
      </c>
      <c r="B25" s="12" t="s">
        <v>57</v>
      </c>
    </row>
    <row r="26" customFormat="false" ht="15" hidden="false" customHeight="false" outlineLevel="0" collapsed="false">
      <c r="A26" s="15" t="s">
        <v>58</v>
      </c>
      <c r="B26" s="12" t="s">
        <v>59</v>
      </c>
    </row>
    <row r="27" customFormat="false" ht="18" hidden="false" customHeight="true" outlineLevel="0" collapsed="false">
      <c r="A27" s="9"/>
      <c r="B27" s="9"/>
      <c r="C27" s="9"/>
      <c r="D27" s="9"/>
      <c r="E27" s="9"/>
      <c r="F27" s="9"/>
      <c r="G27" s="9"/>
      <c r="H27" s="9"/>
      <c r="I27" s="9"/>
      <c r="J27" s="9"/>
    </row>
    <row r="28" customFormat="false" ht="45.75" hidden="false" customHeight="true" outlineLevel="0" collapsed="false">
      <c r="A28" s="10" t="s">
        <v>60</v>
      </c>
      <c r="B28" s="9"/>
      <c r="C28" s="9"/>
    </row>
    <row r="29" customFormat="false" ht="45.75" hidden="false" customHeight="true" outlineLevel="0" collapsed="false">
      <c r="A29" s="5" t="s">
        <v>61</v>
      </c>
      <c r="B29" s="16" t="s">
        <v>62</v>
      </c>
      <c r="C29" s="16"/>
    </row>
    <row r="30" customFormat="false" ht="45.75" hidden="false" customHeight="true" outlineLevel="0" collapsed="false">
      <c r="A30" s="5" t="s">
        <v>63</v>
      </c>
      <c r="B30" s="16" t="s">
        <v>64</v>
      </c>
      <c r="C30" s="16"/>
    </row>
    <row r="31" customFormat="false" ht="45.75" hidden="false" customHeight="true" outlineLevel="0" collapsed="false">
      <c r="A31" s="5" t="s">
        <v>65</v>
      </c>
      <c r="B31" s="16" t="s">
        <v>66</v>
      </c>
      <c r="C31" s="16"/>
    </row>
    <row r="32" customFormat="false" ht="45.75" hidden="false" customHeight="true" outlineLevel="0" collapsed="false">
      <c r="A32" s="5" t="s">
        <v>67</v>
      </c>
      <c r="B32" s="16" t="s">
        <v>68</v>
      </c>
      <c r="C32" s="16"/>
    </row>
    <row r="33" customFormat="false" ht="45.75" hidden="false" customHeight="true" outlineLevel="0" collapsed="false">
      <c r="A33" s="5" t="s">
        <v>69</v>
      </c>
      <c r="B33" s="16" t="s">
        <v>70</v>
      </c>
      <c r="C33" s="16"/>
    </row>
    <row r="34" customFormat="false" ht="68.65" hidden="false" customHeight="false" outlineLevel="0" collapsed="false">
      <c r="A34" s="5" t="s">
        <v>71</v>
      </c>
      <c r="B34" s="16" t="s">
        <v>72</v>
      </c>
      <c r="C34" s="17"/>
    </row>
  </sheetData>
  <mergeCells count="11">
    <mergeCell ref="A1:J1"/>
    <mergeCell ref="A2:J2"/>
    <mergeCell ref="A4:J4"/>
    <mergeCell ref="A21:J21"/>
    <mergeCell ref="A27:J27"/>
    <mergeCell ref="B28:C28"/>
    <mergeCell ref="B29:C29"/>
    <mergeCell ref="B30:C30"/>
    <mergeCell ref="B31:C31"/>
    <mergeCell ref="B32:C32"/>
    <mergeCell ref="B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4"/>
    <col collapsed="false" customWidth="true" hidden="false" outlineLevel="0" max="4" min="4" style="0" width="62"/>
  </cols>
  <sheetData>
    <row r="1" customFormat="false" ht="25.5" hidden="false" customHeight="true" outlineLevel="0" collapsed="false">
      <c r="A1" s="1" t="s">
        <v>73</v>
      </c>
      <c r="B1" s="1"/>
      <c r="C1" s="1"/>
      <c r="D1" s="1"/>
      <c r="E1" s="1"/>
      <c r="F1" s="1"/>
    </row>
    <row r="2" customFormat="false" ht="15.75" hidden="false" customHeight="true" outlineLevel="0" collapsed="false">
      <c r="A2" s="2" t="s">
        <v>74</v>
      </c>
      <c r="B2" s="2"/>
      <c r="C2" s="2"/>
      <c r="D2" s="2"/>
      <c r="E2" s="2"/>
      <c r="F2" s="2"/>
    </row>
    <row r="4" customFormat="false" ht="18" hidden="false" customHeight="true" outlineLevel="0" collapsed="false">
      <c r="A4" s="3" t="s">
        <v>75</v>
      </c>
      <c r="B4" s="3"/>
      <c r="C4" s="3"/>
      <c r="D4" s="3"/>
      <c r="E4" s="3"/>
      <c r="F4" s="3"/>
    </row>
    <row r="5" customFormat="false" ht="30" hidden="false" customHeight="true" outlineLevel="0" collapsed="false">
      <c r="A5" s="4" t="s">
        <v>76</v>
      </c>
      <c r="B5" s="4" t="s">
        <v>77</v>
      </c>
      <c r="C5" s="4" t="s">
        <v>78</v>
      </c>
      <c r="D5" s="4" t="s">
        <v>79</v>
      </c>
    </row>
    <row r="6" customFormat="false" ht="15" hidden="false" customHeight="false" outlineLevel="0" collapsed="false">
      <c r="A6" s="5" t="s">
        <v>80</v>
      </c>
      <c r="B6" s="18" t="n">
        <v>5</v>
      </c>
      <c r="C6" s="19" t="s">
        <v>81</v>
      </c>
      <c r="D6" s="12" t="s">
        <v>82</v>
      </c>
    </row>
    <row r="7" customFormat="false" ht="15" hidden="false" customHeight="false" outlineLevel="0" collapsed="false">
      <c r="A7" s="5" t="s">
        <v>83</v>
      </c>
      <c r="B7" s="18" t="n">
        <v>0.01</v>
      </c>
      <c r="C7" s="19" t="s">
        <v>84</v>
      </c>
      <c r="D7" s="12" t="s">
        <v>85</v>
      </c>
    </row>
    <row r="8" customFormat="false" ht="15" hidden="false" customHeight="false" outlineLevel="0" collapsed="false">
      <c r="A8" s="5" t="s">
        <v>86</v>
      </c>
      <c r="B8" s="18" t="n">
        <v>0.01</v>
      </c>
      <c r="C8" s="19" t="s">
        <v>84</v>
      </c>
      <c r="D8" s="12" t="s">
        <v>87</v>
      </c>
    </row>
    <row r="9" customFormat="false" ht="15" hidden="false" customHeight="false" outlineLevel="0" collapsed="false">
      <c r="A9" s="5" t="s">
        <v>88</v>
      </c>
      <c r="B9" s="20" t="n">
        <v>1E-014</v>
      </c>
      <c r="C9" s="19" t="s">
        <v>89</v>
      </c>
      <c r="D9" s="12" t="s">
        <v>90</v>
      </c>
    </row>
    <row r="10" customFormat="false" ht="15" hidden="false" customHeight="false" outlineLevel="0" collapsed="false">
      <c r="A10" s="5" t="s">
        <v>91</v>
      </c>
      <c r="B10" s="18" t="n">
        <v>10000</v>
      </c>
      <c r="C10" s="19" t="s">
        <v>92</v>
      </c>
      <c r="D10" s="12" t="s">
        <v>93</v>
      </c>
    </row>
    <row r="12" customFormat="false" ht="18" hidden="false" customHeight="true" outlineLevel="0" collapsed="false">
      <c r="A12" s="3" t="s">
        <v>94</v>
      </c>
      <c r="B12" s="3"/>
      <c r="C12" s="3"/>
      <c r="D12" s="3"/>
      <c r="E12" s="3"/>
      <c r="F12" s="3"/>
    </row>
    <row r="13" customFormat="false" ht="30" hidden="false" customHeight="true" outlineLevel="0" collapsed="false">
      <c r="A13" s="4" t="s">
        <v>76</v>
      </c>
      <c r="B13" s="4" t="s">
        <v>77</v>
      </c>
      <c r="C13" s="4" t="s">
        <v>78</v>
      </c>
      <c r="D13" s="4" t="s">
        <v>79</v>
      </c>
    </row>
    <row r="14" customFormat="false" ht="15" hidden="false" customHeight="false" outlineLevel="0" collapsed="false">
      <c r="A14" s="5" t="s">
        <v>95</v>
      </c>
      <c r="B14" s="21" t="n">
        <f aca="false">$B$6*$B$7/$B$8</f>
        <v>5</v>
      </c>
      <c r="C14" s="19" t="s">
        <v>81</v>
      </c>
      <c r="D14" s="12" t="s">
        <v>96</v>
      </c>
    </row>
    <row r="15" customFormat="false" ht="15" hidden="false" customHeight="false" outlineLevel="0" collapsed="false">
      <c r="A15" s="5" t="s">
        <v>97</v>
      </c>
      <c r="B15" s="22" t="n">
        <f aca="false">$B$10/($B$6+B14)</f>
        <v>1000</v>
      </c>
      <c r="C15" s="19" t="s">
        <v>98</v>
      </c>
      <c r="D15" s="12" t="s">
        <v>99</v>
      </c>
    </row>
    <row r="16" customFormat="false" ht="15" hidden="false" customHeight="false" outlineLevel="0" collapsed="false">
      <c r="A16" s="5" t="s">
        <v>100</v>
      </c>
      <c r="B16" s="23" t="n">
        <v>1.99999999995657</v>
      </c>
      <c r="C16" s="19" t="s">
        <v>89</v>
      </c>
      <c r="D16" s="12" t="s">
        <v>101</v>
      </c>
    </row>
    <row r="17" customFormat="false" ht="15" hidden="false" customHeight="false" outlineLevel="0" collapsed="false">
      <c r="A17" s="24" t="s">
        <v>102</v>
      </c>
      <c r="B17" s="25" t="n">
        <v>10.0200180160142</v>
      </c>
      <c r="C17" s="26" t="s">
        <v>81</v>
      </c>
      <c r="D17" s="15" t="s">
        <v>103</v>
      </c>
    </row>
    <row r="18" customFormat="false" ht="15" hidden="false" customHeight="false" outlineLevel="0" collapsed="false">
      <c r="A18" s="24" t="s">
        <v>104</v>
      </c>
      <c r="B18" s="27" t="n">
        <v>60</v>
      </c>
      <c r="C18" s="26" t="s">
        <v>98</v>
      </c>
      <c r="D18" s="15" t="s">
        <v>105</v>
      </c>
    </row>
    <row r="20" customFormat="false" ht="18" hidden="false" customHeight="true" outlineLevel="0" collapsed="false">
      <c r="A20" s="3" t="s">
        <v>106</v>
      </c>
      <c r="B20" s="3"/>
      <c r="C20" s="3"/>
      <c r="D20" s="3"/>
      <c r="E20" s="3"/>
      <c r="F20" s="3"/>
    </row>
    <row r="21" customFormat="false" ht="30" hidden="false" customHeight="true" outlineLevel="0" collapsed="false">
      <c r="A21" s="4" t="s">
        <v>107</v>
      </c>
      <c r="B21" s="4" t="s">
        <v>108</v>
      </c>
      <c r="C21" s="4" t="s">
        <v>77</v>
      </c>
      <c r="D21" s="4" t="s">
        <v>79</v>
      </c>
    </row>
    <row r="22" customFormat="false" ht="15" hidden="false" customHeight="false" outlineLevel="0" collapsed="false">
      <c r="A22" s="5" t="s">
        <v>109</v>
      </c>
      <c r="B22" s="28" t="n">
        <v>0</v>
      </c>
      <c r="C22" s="29" t="n">
        <v>7</v>
      </c>
      <c r="D22" s="12" t="s">
        <v>110</v>
      </c>
    </row>
    <row r="23" customFormat="false" ht="15" hidden="false" customHeight="false" outlineLevel="0" collapsed="false">
      <c r="A23" s="5" t="s">
        <v>109</v>
      </c>
      <c r="B23" s="28" t="n">
        <v>60000</v>
      </c>
      <c r="C23" s="29" t="n">
        <v>8</v>
      </c>
      <c r="D23" s="12" t="s">
        <v>110</v>
      </c>
    </row>
    <row r="24" customFormat="false" ht="15" hidden="false" customHeight="false" outlineLevel="0" collapsed="false">
      <c r="A24" s="5" t="s">
        <v>109</v>
      </c>
      <c r="B24" s="28" t="n">
        <v>80000</v>
      </c>
      <c r="C24" s="29" t="n">
        <v>7</v>
      </c>
      <c r="D24" s="12" t="s">
        <v>110</v>
      </c>
    </row>
    <row r="25" customFormat="false" ht="15" hidden="false" customHeight="false" outlineLevel="0" collapsed="false">
      <c r="A25" s="5" t="s">
        <v>109</v>
      </c>
      <c r="B25" s="28" t="n">
        <v>100000</v>
      </c>
      <c r="C25" s="29" t="n">
        <v>6</v>
      </c>
      <c r="D25" s="12" t="s">
        <v>110</v>
      </c>
    </row>
    <row r="26" customFormat="false" ht="15" hidden="false" customHeight="false" outlineLevel="0" collapsed="false">
      <c r="A26" s="5" t="s">
        <v>111</v>
      </c>
      <c r="B26" s="28" t="n">
        <v>20000</v>
      </c>
      <c r="C26" s="29" t="n">
        <v>1.05</v>
      </c>
      <c r="D26" s="12" t="s">
        <v>112</v>
      </c>
    </row>
    <row r="27" customFormat="false" ht="15" hidden="false" customHeight="false" outlineLevel="0" collapsed="false">
      <c r="A27" s="5" t="s">
        <v>111</v>
      </c>
      <c r="B27" s="28" t="n">
        <v>65000</v>
      </c>
      <c r="C27" s="29" t="n">
        <v>0.95</v>
      </c>
      <c r="D27" s="12" t="s">
        <v>112</v>
      </c>
    </row>
    <row r="28" customFormat="false" ht="15" hidden="false" customHeight="false" outlineLevel="0" collapsed="false">
      <c r="A28" s="5" t="s">
        <v>111</v>
      </c>
      <c r="B28" s="28" t="n">
        <v>120000</v>
      </c>
      <c r="C28" s="29" t="n">
        <v>1.05</v>
      </c>
      <c r="D28" s="12" t="s">
        <v>112</v>
      </c>
    </row>
    <row r="29" customFormat="false" ht="15" hidden="false" customHeight="false" outlineLevel="0" collapsed="false">
      <c r="A29" s="5" t="s">
        <v>113</v>
      </c>
      <c r="B29" s="28" t="n">
        <v>170000</v>
      </c>
      <c r="C29" s="28" t="n">
        <v>8500</v>
      </c>
      <c r="D29" s="12" t="s">
        <v>114</v>
      </c>
    </row>
  </sheetData>
  <mergeCells count="5">
    <mergeCell ref="A1:F1"/>
    <mergeCell ref="A2:F2"/>
    <mergeCell ref="A4:F4"/>
    <mergeCell ref="A12:F1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0"/>
    <col collapsed="false" customWidth="true" hidden="false" outlineLevel="0" max="7" min="2" style="0" width="14"/>
    <col collapsed="false" customWidth="true" hidden="false" outlineLevel="0" max="9" min="8" style="0" width="16"/>
  </cols>
  <sheetData>
    <row r="1" customFormat="false" ht="25.5" hidden="false" customHeight="true" outlineLevel="0" collapsed="false">
      <c r="A1" s="1" t="s">
        <v>115</v>
      </c>
      <c r="B1" s="1"/>
      <c r="C1" s="1"/>
      <c r="D1" s="1"/>
      <c r="E1" s="1"/>
      <c r="F1" s="1"/>
      <c r="G1" s="1"/>
      <c r="H1" s="1"/>
      <c r="I1" s="1"/>
    </row>
    <row r="2" customFormat="false" ht="15.75" hidden="false" customHeight="true" outlineLevel="0" collapsed="false">
      <c r="A2" s="2" t="s">
        <v>116</v>
      </c>
      <c r="B2" s="2"/>
      <c r="C2" s="2"/>
      <c r="D2" s="2"/>
      <c r="E2" s="2"/>
      <c r="F2" s="2"/>
      <c r="G2" s="2"/>
      <c r="H2" s="2"/>
      <c r="I2" s="2"/>
    </row>
    <row r="4" customFormat="false" ht="18" hidden="false" customHeight="true" outlineLevel="0" collapsed="false">
      <c r="A4" s="3" t="s">
        <v>117</v>
      </c>
      <c r="B4" s="3"/>
      <c r="C4" s="3"/>
      <c r="D4" s="3"/>
      <c r="E4" s="3"/>
      <c r="F4" s="3"/>
      <c r="G4" s="3"/>
      <c r="H4" s="3"/>
      <c r="I4" s="3"/>
    </row>
    <row r="5" customFormat="false" ht="30" hidden="false" customHeight="true" outlineLevel="0" collapsed="false">
      <c r="A5" s="4" t="s">
        <v>118</v>
      </c>
      <c r="B5" s="4" t="s">
        <v>119</v>
      </c>
      <c r="C5" s="4" t="s">
        <v>120</v>
      </c>
      <c r="D5" s="4" t="s">
        <v>121</v>
      </c>
      <c r="E5" s="4" t="s">
        <v>122</v>
      </c>
      <c r="F5" s="4" t="s">
        <v>123</v>
      </c>
      <c r="G5" s="4" t="s">
        <v>124</v>
      </c>
      <c r="H5" s="4" t="s">
        <v>125</v>
      </c>
      <c r="I5" s="4" t="s">
        <v>126</v>
      </c>
    </row>
    <row r="6" customFormat="false" ht="15" hidden="false" customHeight="false" outlineLevel="0" collapsed="false">
      <c r="A6" s="5" t="s">
        <v>127</v>
      </c>
      <c r="B6" s="30" t="n">
        <v>4</v>
      </c>
      <c r="C6" s="31" t="n">
        <v>1.25</v>
      </c>
      <c r="D6" s="18" t="n">
        <v>6.86863034983695</v>
      </c>
      <c r="E6" s="29" t="n">
        <v>1276.96840908589</v>
      </c>
      <c r="F6" s="29" t="n">
        <v>228.235888543748</v>
      </c>
      <c r="G6" s="21" t="n">
        <f aca="false">F6/E6</f>
        <v>0.17873260365707</v>
      </c>
      <c r="H6" s="32" t="n">
        <f aca="false">D6/MIN($D$6:$D$8)</f>
        <v>1.22510636286297</v>
      </c>
      <c r="I6" s="33" t="str">
        <f aca="false">IF(G6&lt;0.2,"Lag-dominant",IF(G6&lt;1,"Balanced","Dead-time dominant"))</f>
        <v>Lag-dominant</v>
      </c>
    </row>
    <row r="7" customFormat="false" ht="15" hidden="false" customHeight="false" outlineLevel="0" collapsed="false">
      <c r="A7" s="5" t="s">
        <v>128</v>
      </c>
      <c r="B7" s="30" t="n">
        <v>6</v>
      </c>
      <c r="C7" s="31" t="n">
        <v>-0.1</v>
      </c>
      <c r="D7" s="18" t="n">
        <v>154.229365092446</v>
      </c>
      <c r="E7" s="29" t="n">
        <v>652.287852634476</v>
      </c>
      <c r="F7" s="29" t="n">
        <v>62.3487166253726</v>
      </c>
      <c r="G7" s="21" t="n">
        <f aca="false">F7/E7</f>
        <v>0.0955846661463296</v>
      </c>
      <c r="H7" s="32" t="n">
        <f aca="false">D7/MIN($D$6:$D$8)</f>
        <v>27.5087414654009</v>
      </c>
      <c r="I7" s="33" t="str">
        <f aca="false">IF(G7&lt;0.2,"Lag-dominant",IF(G7&lt;1,"Balanced","Dead-time dominant"))</f>
        <v>Lag-dominant</v>
      </c>
    </row>
    <row r="8" customFormat="false" ht="15" hidden="false" customHeight="false" outlineLevel="0" collapsed="false">
      <c r="A8" s="5" t="s">
        <v>129</v>
      </c>
      <c r="B8" s="30" t="n">
        <v>9</v>
      </c>
      <c r="C8" s="31" t="n">
        <v>5</v>
      </c>
      <c r="D8" s="18" t="n">
        <v>5.60655838386601</v>
      </c>
      <c r="E8" s="29" t="n">
        <v>367.357164076309</v>
      </c>
      <c r="F8" s="29" t="n">
        <v>38.2071069542635</v>
      </c>
      <c r="G8" s="21" t="n">
        <f aca="false">F8/E8</f>
        <v>0.10400534055279</v>
      </c>
      <c r="H8" s="32" t="n">
        <f aca="false">D8/MIN($D$6:$D$8)</f>
        <v>1</v>
      </c>
      <c r="I8" s="33" t="str">
        <f aca="false">IF(G8&lt;0.2,"Lag-dominant",IF(G8&lt;1,"Balanced","Dead-time dominant"))</f>
        <v>Lag-dominant</v>
      </c>
    </row>
    <row r="9" customFormat="false" ht="15" hidden="false" customHeight="false" outlineLevel="0" collapsed="false">
      <c r="A9" s="24" t="s">
        <v>130</v>
      </c>
      <c r="B9" s="15"/>
      <c r="C9" s="15"/>
      <c r="D9" s="34" t="n">
        <f aca="false">AVERAGE(D6:D8)</f>
        <v>55.5681846087163</v>
      </c>
      <c r="E9" s="35" t="n">
        <f aca="false">AVERAGE(E6:E8)</f>
        <v>765.537808598892</v>
      </c>
      <c r="F9" s="35" t="n">
        <f aca="false">AVERAGE(F6:F8)</f>
        <v>109.597237374461</v>
      </c>
      <c r="G9" s="36" t="n">
        <f aca="false">F9/E9</f>
        <v>0.143163715943761</v>
      </c>
      <c r="H9" s="15"/>
      <c r="I9" s="37" t="str">
        <f aca="false">IF(G9&lt;0.2,"Lag-dominant",IF(G9&lt;1,"Balanced","Dead-time dominant"))</f>
        <v>Lag-dominant</v>
      </c>
    </row>
    <row r="11" customFormat="false" ht="18" hidden="false" customHeight="true" outlineLevel="0" collapsed="false">
      <c r="A11" s="3" t="s">
        <v>131</v>
      </c>
      <c r="B11" s="3"/>
      <c r="C11" s="3"/>
      <c r="D11" s="3"/>
      <c r="E11" s="3"/>
      <c r="F11" s="3"/>
      <c r="G11" s="3"/>
      <c r="H11" s="3"/>
      <c r="I11" s="3"/>
    </row>
    <row r="12" customFormat="false" ht="30" hidden="false" customHeight="true" outlineLevel="0" collapsed="false">
      <c r="A12" s="4" t="s">
        <v>132</v>
      </c>
      <c r="B12" s="4" t="s">
        <v>77</v>
      </c>
      <c r="C12" s="4" t="s">
        <v>133</v>
      </c>
    </row>
    <row r="13" customFormat="false" ht="15" hidden="false" customHeight="false" outlineLevel="0" collapsed="false">
      <c r="A13" s="5" t="s">
        <v>134</v>
      </c>
      <c r="B13" s="38" t="n">
        <f aca="false">MAX(D6:D8)/MIN(D6:D8)</f>
        <v>27.5087414654009</v>
      </c>
      <c r="C13" s="12" t="s">
        <v>135</v>
      </c>
    </row>
    <row r="14" customFormat="false" ht="15" hidden="false" customHeight="false" outlineLevel="0" collapsed="false">
      <c r="A14" s="5" t="s">
        <v>136</v>
      </c>
      <c r="B14" s="38" t="n">
        <f aca="false">MAX(E6:E8)/MIN(E6:E8)</f>
        <v>3.47609502130366</v>
      </c>
      <c r="C14" s="12" t="s">
        <v>137</v>
      </c>
    </row>
    <row r="15" customFormat="false" ht="15" hidden="false" customHeight="false" outlineLevel="0" collapsed="false">
      <c r="A15" s="5" t="s">
        <v>138</v>
      </c>
      <c r="B15" s="38" t="n">
        <f aca="false">MAX(F6:F8)/MIN(F6:F8)</f>
        <v>5.97365010695423</v>
      </c>
      <c r="C15" s="12" t="s">
        <v>139</v>
      </c>
    </row>
    <row r="16" customFormat="false" ht="15" hidden="false" customHeight="false" outlineLevel="0" collapsed="false">
      <c r="A16" s="5" t="s">
        <v>140</v>
      </c>
      <c r="B16" s="39" t="n">
        <f aca="false">D9/D7</f>
        <v>0.360295748967185</v>
      </c>
      <c r="C16" s="12" t="s">
        <v>141</v>
      </c>
    </row>
    <row r="18" customFormat="false" ht="18" hidden="false" customHeight="true" outlineLevel="0" collapsed="false">
      <c r="A18" s="3" t="s">
        <v>142</v>
      </c>
      <c r="B18" s="3"/>
      <c r="C18" s="3"/>
      <c r="D18" s="3"/>
      <c r="E18" s="3"/>
      <c r="F18" s="3"/>
      <c r="G18" s="3"/>
      <c r="H18" s="3"/>
      <c r="I18" s="3"/>
    </row>
    <row r="19" customFormat="false" ht="30" hidden="false" customHeight="true" outlineLevel="0" collapsed="false">
      <c r="A19" s="4" t="s">
        <v>118</v>
      </c>
      <c r="B19" s="4" t="s">
        <v>143</v>
      </c>
      <c r="C19" s="4" t="s">
        <v>144</v>
      </c>
      <c r="D19" s="4" t="s">
        <v>145</v>
      </c>
    </row>
    <row r="20" customFormat="false" ht="15" hidden="false" customHeight="false" outlineLevel="0" collapsed="false">
      <c r="A20" s="5" t="s">
        <v>127</v>
      </c>
      <c r="B20" s="18" t="n">
        <v>1.77470904388114</v>
      </c>
      <c r="C20" s="29" t="n">
        <v>660.422870557007</v>
      </c>
      <c r="D20" s="13" t="str">
        <f aca="false">IF(B20=MIN($B$20:$B$22),"Least robust region — limits every fixed tuning","")</f>
        <v/>
      </c>
    </row>
    <row r="21" customFormat="false" ht="15" hidden="false" customHeight="false" outlineLevel="0" collapsed="false">
      <c r="A21" s="5" t="s">
        <v>128</v>
      </c>
      <c r="B21" s="18" t="n">
        <v>0.142145897515348</v>
      </c>
      <c r="C21" s="29" t="n">
        <v>187.126623920542</v>
      </c>
      <c r="D21" s="13" t="str">
        <f aca="false">IF(B21=MIN($B$20:$B$22),"Least robust region — limits every fixed tuning","")</f>
        <v>Least robust region — limits every fixed tuning</v>
      </c>
    </row>
    <row r="22" customFormat="false" ht="15" hidden="false" customHeight="false" outlineLevel="0" collapsed="false">
      <c r="A22" s="5" t="s">
        <v>129</v>
      </c>
      <c r="B22" s="18" t="n">
        <v>3.60818126607811</v>
      </c>
      <c r="C22" s="29" t="n">
        <v>114.235308813691</v>
      </c>
      <c r="D22" s="13" t="str">
        <f aca="false">IF(B22=MIN($B$20:$B$22),"Least robust region — limits every fixed tuning","")</f>
        <v/>
      </c>
    </row>
    <row r="23" customFormat="false" ht="15" hidden="false" customHeight="false" outlineLevel="0" collapsed="false">
      <c r="A23" s="5" t="s">
        <v>146</v>
      </c>
      <c r="B23" s="18" t="n">
        <v>0.26939770421326</v>
      </c>
      <c r="C23" s="29" t="n">
        <v>322.027033056731</v>
      </c>
      <c r="D23" s="13" t="str">
        <f aca="false">IF(B23&gt;MIN(B20:B22),"Averaged model OVERSTATES the allowable gain — a tuning that looks safe on it is not safe near neutrality","")</f>
        <v>Averaged model OVERSTATES the allowable gain — a tuning that looks safe on it is not safe near neutrality</v>
      </c>
    </row>
  </sheetData>
  <mergeCells count="5">
    <mergeCell ref="A1:I1"/>
    <mergeCell ref="A2:I2"/>
    <mergeCell ref="A4:I4"/>
    <mergeCell ref="A11:I11"/>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7"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0"/>
    <col collapsed="false" customWidth="true" hidden="false" outlineLevel="0" max="5" min="2" style="0" width="16"/>
    <col collapsed="false" customWidth="true" hidden="false" outlineLevel="0" max="6" min="6" style="0" width="58"/>
  </cols>
  <sheetData>
    <row r="1" customFormat="false" ht="25.5" hidden="false" customHeight="true" outlineLevel="0" collapsed="false">
      <c r="A1" s="1" t="s">
        <v>147</v>
      </c>
      <c r="B1" s="1"/>
      <c r="C1" s="1"/>
      <c r="D1" s="1"/>
      <c r="E1" s="1"/>
      <c r="F1" s="1"/>
      <c r="G1" s="1"/>
      <c r="H1" s="1"/>
    </row>
    <row r="2" customFormat="false" ht="15.75" hidden="false" customHeight="true" outlineLevel="0" collapsed="false">
      <c r="A2" s="2" t="s">
        <v>148</v>
      </c>
      <c r="B2" s="2"/>
      <c r="C2" s="2"/>
      <c r="D2" s="2"/>
      <c r="E2" s="2"/>
      <c r="F2" s="2"/>
      <c r="G2" s="2"/>
      <c r="H2" s="2"/>
    </row>
    <row r="4" customFormat="false" ht="18" hidden="false" customHeight="true" outlineLevel="0" collapsed="false">
      <c r="A4" s="3" t="s">
        <v>149</v>
      </c>
      <c r="B4" s="3"/>
      <c r="C4" s="3"/>
      <c r="D4" s="3"/>
      <c r="E4" s="3"/>
      <c r="F4" s="3"/>
      <c r="G4" s="3"/>
      <c r="H4" s="3"/>
    </row>
    <row r="5" customFormat="false" ht="30" hidden="false" customHeight="true" outlineLevel="0" collapsed="false">
      <c r="A5" s="4" t="s">
        <v>150</v>
      </c>
      <c r="B5" s="4" t="s">
        <v>151</v>
      </c>
      <c r="C5" s="4" t="s">
        <v>77</v>
      </c>
      <c r="D5" s="4" t="s">
        <v>78</v>
      </c>
      <c r="E5" s="4"/>
      <c r="F5" s="4" t="s">
        <v>152</v>
      </c>
    </row>
    <row r="6" customFormat="false" ht="15" hidden="false" customHeight="false" outlineLevel="0" collapsed="false">
      <c r="A6" s="5" t="s">
        <v>153</v>
      </c>
      <c r="B6" s="40" t="s">
        <v>154</v>
      </c>
      <c r="C6" s="41" t="n">
        <f aca="false">0.9*02_FOPDT!E9/(02_FOPDT!D9*02_FOPDT!F9)</f>
        <v>0.113131446039143</v>
      </c>
      <c r="D6" s="19" t="s">
        <v>155</v>
      </c>
      <c r="E6" s="12"/>
      <c r="F6" s="12" t="s">
        <v>156</v>
      </c>
    </row>
    <row r="7" customFormat="false" ht="15" hidden="false" customHeight="false" outlineLevel="0" collapsed="false">
      <c r="A7" s="5" t="s">
        <v>157</v>
      </c>
      <c r="B7" s="40" t="s">
        <v>158</v>
      </c>
      <c r="C7" s="42" t="n">
        <f aca="false">3.33*02_FOPDT!F9</f>
        <v>364.958800456956</v>
      </c>
      <c r="D7" s="19" t="s">
        <v>98</v>
      </c>
      <c r="E7" s="12"/>
      <c r="F7" s="12" t="s">
        <v>159</v>
      </c>
    </row>
    <row r="8" customFormat="false" ht="15" hidden="false" customHeight="false" outlineLevel="0" collapsed="false">
      <c r="A8" s="5" t="s">
        <v>160</v>
      </c>
      <c r="B8" s="40" t="s">
        <v>161</v>
      </c>
      <c r="C8" s="29" t="n">
        <v>0</v>
      </c>
      <c r="D8" s="19" t="s">
        <v>98</v>
      </c>
      <c r="E8" s="12"/>
      <c r="F8" s="12" t="s">
        <v>162</v>
      </c>
    </row>
    <row r="10" customFormat="false" ht="18" hidden="false" customHeight="true" outlineLevel="0" collapsed="false">
      <c r="A10" s="3" t="s">
        <v>163</v>
      </c>
      <c r="B10" s="3"/>
      <c r="C10" s="3"/>
      <c r="D10" s="3"/>
      <c r="E10" s="3"/>
      <c r="F10" s="3"/>
      <c r="G10" s="3"/>
      <c r="H10" s="3"/>
    </row>
    <row r="11" customFormat="false" ht="30" hidden="false" customHeight="true" outlineLevel="0" collapsed="false">
      <c r="A11" s="4" t="s">
        <v>150</v>
      </c>
      <c r="B11" s="4" t="s">
        <v>151</v>
      </c>
      <c r="C11" s="4" t="s">
        <v>77</v>
      </c>
      <c r="D11" s="4" t="s">
        <v>78</v>
      </c>
      <c r="E11" s="4"/>
      <c r="F11" s="4" t="s">
        <v>152</v>
      </c>
    </row>
    <row r="12" customFormat="false" ht="15" hidden="false" customHeight="false" outlineLevel="0" collapsed="false">
      <c r="A12" s="24" t="s">
        <v>164</v>
      </c>
      <c r="B12" s="43" t="s">
        <v>165</v>
      </c>
      <c r="C12" s="44" t="n">
        <f aca="false">3*0.75*02_FOPDT!F9</f>
        <v>246.593784092538</v>
      </c>
      <c r="D12" s="26" t="s">
        <v>98</v>
      </c>
      <c r="E12" s="15"/>
      <c r="F12" s="15" t="s">
        <v>166</v>
      </c>
    </row>
    <row r="13" customFormat="false" ht="15" hidden="false" customHeight="false" outlineLevel="0" collapsed="false">
      <c r="A13" s="5" t="s">
        <v>153</v>
      </c>
      <c r="B13" s="40" t="s">
        <v>167</v>
      </c>
      <c r="C13" s="41" t="n">
        <f aca="false">(2*02_FOPDT!E9+02_FOPDT!F9)/(02_FOPDT!D9*(2*C12+02_FOPDT!F9))</f>
        <v>0.0489816586430991</v>
      </c>
      <c r="D13" s="19" t="s">
        <v>155</v>
      </c>
      <c r="E13" s="12"/>
      <c r="F13" s="12" t="s">
        <v>168</v>
      </c>
    </row>
    <row r="14" customFormat="false" ht="15" hidden="false" customHeight="false" outlineLevel="0" collapsed="false">
      <c r="A14" s="5" t="s">
        <v>157</v>
      </c>
      <c r="B14" s="40" t="s">
        <v>169</v>
      </c>
      <c r="C14" s="42" t="n">
        <f aca="false">02_FOPDT!E9+02_FOPDT!F9/20</f>
        <v>771.017670467615</v>
      </c>
      <c r="D14" s="19" t="s">
        <v>98</v>
      </c>
      <c r="E14" s="12"/>
      <c r="F14" s="12" t="s">
        <v>170</v>
      </c>
    </row>
    <row r="15" customFormat="false" ht="15" hidden="false" customHeight="false" outlineLevel="0" collapsed="false">
      <c r="A15" s="5" t="s">
        <v>171</v>
      </c>
      <c r="B15" s="40" t="s">
        <v>172</v>
      </c>
      <c r="C15" s="39" t="n">
        <f aca="false">C13/C6</f>
        <v>0.432962366857326</v>
      </c>
      <c r="D15" s="19" t="s">
        <v>89</v>
      </c>
      <c r="E15" s="12"/>
      <c r="F15" s="12" t="s">
        <v>173</v>
      </c>
    </row>
    <row r="17" customFormat="false" ht="18" hidden="false" customHeight="true" outlineLevel="0" collapsed="false">
      <c r="A17" s="3" t="s">
        <v>174</v>
      </c>
      <c r="B17" s="3"/>
      <c r="C17" s="3"/>
      <c r="D17" s="3"/>
      <c r="E17" s="3"/>
      <c r="F17" s="3"/>
      <c r="G17" s="3"/>
      <c r="H17" s="3"/>
    </row>
    <row r="18" customFormat="false" ht="30" hidden="false" customHeight="true" outlineLevel="0" collapsed="false">
      <c r="A18" s="4" t="s">
        <v>118</v>
      </c>
      <c r="B18" s="4" t="s">
        <v>175</v>
      </c>
      <c r="C18" s="4" t="s">
        <v>176</v>
      </c>
      <c r="D18" s="4" t="s">
        <v>177</v>
      </c>
      <c r="E18" s="4" t="s">
        <v>178</v>
      </c>
      <c r="F18" s="4" t="s">
        <v>152</v>
      </c>
    </row>
    <row r="19" customFormat="false" ht="15" hidden="false" customHeight="false" outlineLevel="0" collapsed="false">
      <c r="A19" s="5" t="s">
        <v>127</v>
      </c>
      <c r="B19" s="42" t="n">
        <f aca="false">MAX(0.1,3*02_FOPDT!F6)</f>
        <v>684.707665631244</v>
      </c>
      <c r="C19" s="41" t="n">
        <f aca="false">(2*02_FOPDT!E6+02_FOPDT!F6)/(02_FOPDT!D6*(2*B19+02_FOPDT!F6))</f>
        <v>0.253531523413276</v>
      </c>
      <c r="D19" s="42" t="n">
        <f aca="false">02_FOPDT!E6+02_FOPDT!F6/2</f>
        <v>1391.08635335776</v>
      </c>
      <c r="E19" s="42" t="n">
        <f aca="false">02_FOPDT!F6*02_FOPDT!E6/(02_FOPDT!F6+2*02_FOPDT!E6)</f>
        <v>104.756264334892</v>
      </c>
      <c r="F19" s="12" t="s">
        <v>179</v>
      </c>
    </row>
    <row r="20" customFormat="false" ht="15" hidden="false" customHeight="false" outlineLevel="0" collapsed="false">
      <c r="A20" s="5" t="s">
        <v>128</v>
      </c>
      <c r="B20" s="42" t="n">
        <f aca="false">MAX(0.1,20*02_FOPDT!F7)</f>
        <v>1246.97433250745</v>
      </c>
      <c r="C20" s="41" t="n">
        <f aca="false">(2*02_FOPDT!E7+02_FOPDT!F7)/(02_FOPDT!D7*(2*B20+02_FOPDT!F7))</f>
        <v>0.00346709751623591</v>
      </c>
      <c r="D20" s="42" t="n">
        <f aca="false">02_FOPDT!E7+02_FOPDT!F7/2</f>
        <v>683.462210947162</v>
      </c>
      <c r="E20" s="42" t="n">
        <f aca="false">02_FOPDT!F7*02_FOPDT!E7/(02_FOPDT!F7+2*02_FOPDT!E7)</f>
        <v>29.7524207122725</v>
      </c>
      <c r="F20" s="12" t="s">
        <v>180</v>
      </c>
    </row>
    <row r="21" customFormat="false" ht="15" hidden="false" customHeight="false" outlineLevel="0" collapsed="false">
      <c r="A21" s="5" t="s">
        <v>129</v>
      </c>
      <c r="B21" s="42" t="n">
        <f aca="false">MAX(0.1,20*02_FOPDT!F8)</f>
        <v>764.14213908527</v>
      </c>
      <c r="C21" s="41" t="n">
        <f aca="false">(2.9*02_FOPDT!E8+02_FOPDT!F8)/(02_FOPDT!D8*(2*B21+02_FOPDT!F8))</f>
        <v>0.125650683189146</v>
      </c>
      <c r="D21" s="42" t="n">
        <f aca="false">02_FOPDT!E8+02_FOPDT!F8/2</f>
        <v>386.460717553441</v>
      </c>
      <c r="E21" s="42" t="n">
        <f aca="false">02_FOPDT!F8*02_FOPDT!E8/(02_FOPDT!F8+2*02_FOPDT!E8)</f>
        <v>18.1592252727958</v>
      </c>
      <c r="F21" s="12" t="s">
        <v>181</v>
      </c>
    </row>
    <row r="23" customFormat="false" ht="30" hidden="false" customHeight="true" outlineLevel="0" collapsed="false">
      <c r="A23" s="5" t="s">
        <v>182</v>
      </c>
      <c r="B23" s="45" t="s">
        <v>183</v>
      </c>
      <c r="C23" s="45"/>
      <c r="D23" s="45"/>
      <c r="E23" s="45"/>
      <c r="F23" s="45"/>
    </row>
    <row r="24" customFormat="false" ht="43.5" hidden="false" customHeight="true" outlineLevel="0" collapsed="false">
      <c r="A24" s="24" t="s">
        <v>184</v>
      </c>
      <c r="B24" s="46" t="s">
        <v>185</v>
      </c>
      <c r="C24" s="46"/>
      <c r="D24" s="46"/>
      <c r="E24" s="46"/>
      <c r="F24" s="46"/>
    </row>
    <row r="26" customFormat="false" ht="18" hidden="false" customHeight="true" outlineLevel="0" collapsed="false">
      <c r="A26" s="3" t="s">
        <v>186</v>
      </c>
      <c r="B26" s="3"/>
      <c r="C26" s="3"/>
      <c r="D26" s="3"/>
      <c r="E26" s="3"/>
      <c r="F26" s="3"/>
      <c r="G26" s="3"/>
      <c r="H26" s="3"/>
    </row>
    <row r="27" customFormat="false" ht="30" hidden="false" customHeight="true" outlineLevel="0" collapsed="false">
      <c r="A27" s="4" t="s">
        <v>150</v>
      </c>
      <c r="B27" s="4" t="s">
        <v>187</v>
      </c>
      <c r="C27" s="4" t="s">
        <v>77</v>
      </c>
      <c r="D27" s="4" t="s">
        <v>78</v>
      </c>
      <c r="E27" s="4"/>
      <c r="F27" s="4" t="s">
        <v>152</v>
      </c>
    </row>
    <row r="28" customFormat="false" ht="15" hidden="false" customHeight="false" outlineLevel="0" collapsed="false">
      <c r="A28" s="5" t="s">
        <v>188</v>
      </c>
      <c r="B28" s="40" t="s">
        <v>189</v>
      </c>
      <c r="C28" s="47" t="n">
        <v>7</v>
      </c>
      <c r="D28" s="19" t="s">
        <v>89</v>
      </c>
      <c r="E28" s="12"/>
      <c r="F28" s="12" t="s">
        <v>190</v>
      </c>
    </row>
    <row r="29" customFormat="false" ht="15" hidden="false" customHeight="false" outlineLevel="0" collapsed="false">
      <c r="A29" s="5" t="s">
        <v>191</v>
      </c>
      <c r="B29" s="40" t="s">
        <v>192</v>
      </c>
      <c r="C29" s="41" t="n">
        <f aca="false">0.2*02_FOPDT!B21</f>
        <v>0.0284291795030696</v>
      </c>
      <c r="D29" s="19" t="s">
        <v>155</v>
      </c>
      <c r="E29" s="12"/>
      <c r="F29" s="12" t="s">
        <v>193</v>
      </c>
    </row>
    <row r="30" customFormat="false" ht="15" hidden="false" customHeight="false" outlineLevel="0" collapsed="false">
      <c r="A30" s="5" t="s">
        <v>194</v>
      </c>
      <c r="B30" s="40" t="s">
        <v>195</v>
      </c>
      <c r="C30" s="42" t="n">
        <f aca="false">2*02_FOPDT!C21</f>
        <v>374.253247841084</v>
      </c>
      <c r="D30" s="19" t="s">
        <v>98</v>
      </c>
      <c r="E30" s="12"/>
      <c r="F30" s="12" t="s">
        <v>196</v>
      </c>
    </row>
    <row r="31" customFormat="false" ht="15" hidden="false" customHeight="false" outlineLevel="0" collapsed="false">
      <c r="A31" s="24" t="s">
        <v>197</v>
      </c>
      <c r="B31" s="43" t="s">
        <v>189</v>
      </c>
      <c r="C31" s="27" t="n">
        <v>3</v>
      </c>
      <c r="D31" s="26" t="s">
        <v>198</v>
      </c>
      <c r="E31" s="15"/>
      <c r="F31" s="15" t="s">
        <v>199</v>
      </c>
    </row>
    <row r="32" customFormat="false" ht="15" hidden="false" customHeight="false" outlineLevel="0" collapsed="false">
      <c r="A32" s="5" t="s">
        <v>200</v>
      </c>
      <c r="B32" s="40" t="s">
        <v>201</v>
      </c>
      <c r="C32" s="23" t="n">
        <v>12.3266297404902</v>
      </c>
      <c r="D32" s="19" t="s">
        <v>202</v>
      </c>
      <c r="E32" s="12"/>
      <c r="F32" s="12" t="s">
        <v>203</v>
      </c>
    </row>
    <row r="34" customFormat="false" ht="18" hidden="false" customHeight="true" outlineLevel="0" collapsed="false">
      <c r="A34" s="3" t="s">
        <v>204</v>
      </c>
      <c r="B34" s="3"/>
      <c r="C34" s="3"/>
      <c r="D34" s="3"/>
      <c r="E34" s="3"/>
      <c r="F34" s="3"/>
      <c r="G34" s="3"/>
      <c r="H34" s="3"/>
    </row>
    <row r="35" customFormat="false" ht="30" hidden="false" customHeight="true" outlineLevel="0" collapsed="false">
      <c r="A35" s="4" t="s">
        <v>205</v>
      </c>
      <c r="B35" s="4" t="s">
        <v>206</v>
      </c>
      <c r="C35" s="4" t="s">
        <v>207</v>
      </c>
      <c r="D35" s="4" t="s">
        <v>208</v>
      </c>
      <c r="E35" s="4" t="s">
        <v>209</v>
      </c>
      <c r="F35" s="4" t="s">
        <v>210</v>
      </c>
    </row>
    <row r="36" customFormat="false" ht="15" hidden="false" customHeight="false" outlineLevel="0" collapsed="false">
      <c r="A36" s="5" t="s">
        <v>211</v>
      </c>
      <c r="B36" s="48" t="n">
        <f aca="false">C6</f>
        <v>0.113131446039143</v>
      </c>
      <c r="C36" s="48" t="n">
        <f aca="false">C6</f>
        <v>0.113131446039143</v>
      </c>
      <c r="D36" s="48" t="n">
        <f aca="false">C6</f>
        <v>0.113131446039143</v>
      </c>
      <c r="E36" s="38" t="n">
        <f aca="false">MAX(B36:D36)/MIN(B36:D36)</f>
        <v>1</v>
      </c>
      <c r="F36" s="12" t="s">
        <v>212</v>
      </c>
    </row>
    <row r="37" customFormat="false" ht="15" hidden="false" customHeight="false" outlineLevel="0" collapsed="false">
      <c r="A37" s="5" t="s">
        <v>213</v>
      </c>
      <c r="B37" s="48" t="n">
        <f aca="false">C13</f>
        <v>0.0489816586430991</v>
      </c>
      <c r="C37" s="48" t="n">
        <f aca="false">C13</f>
        <v>0.0489816586430991</v>
      </c>
      <c r="D37" s="48" t="n">
        <f aca="false">C13</f>
        <v>0.0489816586430991</v>
      </c>
      <c r="E37" s="38" t="n">
        <f aca="false">MAX(B37:D37)/MIN(B37:D37)</f>
        <v>1</v>
      </c>
      <c r="F37" s="12" t="s">
        <v>214</v>
      </c>
    </row>
    <row r="38" customFormat="false" ht="15" hidden="false" customHeight="false" outlineLevel="0" collapsed="false">
      <c r="A38" s="5" t="s">
        <v>215</v>
      </c>
      <c r="B38" s="41" t="n">
        <f aca="false">05_Schedules!B85</f>
        <v>0.0716664863972471</v>
      </c>
      <c r="C38" s="41" t="n">
        <f aca="false">05_Schedules!B125</f>
        <v>0.00291236191363816</v>
      </c>
      <c r="D38" s="41" t="n">
        <f aca="false">05_Schedules!B185</f>
        <v>0.0645588903526909</v>
      </c>
      <c r="E38" s="38" t="n">
        <f aca="false">MAX(B38:D38)/MIN(B38:D38)</f>
        <v>24.6076856250741</v>
      </c>
      <c r="F38" s="12" t="s">
        <v>216</v>
      </c>
    </row>
    <row r="39" customFormat="false" ht="15" hidden="false" customHeight="false" outlineLevel="0" collapsed="false">
      <c r="A39" s="5" t="s">
        <v>217</v>
      </c>
      <c r="B39" s="41" t="n">
        <f aca="false">05_Schedules!E85</f>
        <v>0.085287538509209</v>
      </c>
      <c r="C39" s="41" t="n">
        <f aca="false">05_Schedules!E125</f>
        <v>0.027918979837836</v>
      </c>
      <c r="D39" s="41" t="n">
        <f aca="false">05_Schedules!E185</f>
        <v>0.0710536314359241</v>
      </c>
      <c r="E39" s="38" t="n">
        <f aca="false">MAX(B39:D39)/MIN(B39:D39)</f>
        <v>3.05482288409502</v>
      </c>
      <c r="F39" s="12" t="s">
        <v>218</v>
      </c>
    </row>
    <row r="40" customFormat="false" ht="15" hidden="false" customHeight="false" outlineLevel="0" collapsed="false">
      <c r="A40" s="49" t="s">
        <v>219</v>
      </c>
      <c r="B40" s="50" t="n">
        <f aca="false">02_FOPDT!D7/02_FOPDT!D6</f>
        <v>22.4541658579876</v>
      </c>
      <c r="C40" s="51" t="n">
        <v>1</v>
      </c>
      <c r="D40" s="50" t="n">
        <f aca="false">02_FOPDT!D7/02_FOPDT!D8</f>
        <v>27.5087414654009</v>
      </c>
      <c r="E40" s="52" t="n">
        <f aca="false">MAX(B40:D40)/MIN(B40:D40)</f>
        <v>27.5087414654009</v>
      </c>
      <c r="F40" s="53" t="s">
        <v>220</v>
      </c>
    </row>
  </sheetData>
  <mergeCells count="9">
    <mergeCell ref="A1:H1"/>
    <mergeCell ref="A2:H2"/>
    <mergeCell ref="A4:H4"/>
    <mergeCell ref="A10:H10"/>
    <mergeCell ref="A17:H17"/>
    <mergeCell ref="B23:F23"/>
    <mergeCell ref="B24:F24"/>
    <mergeCell ref="A26:H26"/>
    <mergeCell ref="A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CBF"/>
    <pageSetUpPr fitToPage="false"/>
  </sheetPr>
  <dimension ref="A1:K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0"/>
    <col collapsed="false" customWidth="true" hidden="false" outlineLevel="0" max="4" min="4" style="0" width="22"/>
    <col collapsed="false" customWidth="true" hidden="false" outlineLevel="0" max="5" min="5" style="0" width="14"/>
  </cols>
  <sheetData>
    <row r="1" customFormat="false" ht="25.5" hidden="false" customHeight="true" outlineLevel="0" collapsed="false">
      <c r="A1" s="1" t="s">
        <v>221</v>
      </c>
      <c r="B1" s="1"/>
      <c r="C1" s="1"/>
      <c r="D1" s="1"/>
      <c r="E1" s="1"/>
      <c r="F1" s="1"/>
    </row>
    <row r="2" customFormat="false" ht="15.75" hidden="false" customHeight="true" outlineLevel="0" collapsed="false">
      <c r="A2" s="2" t="s">
        <v>222</v>
      </c>
      <c r="B2" s="2"/>
      <c r="C2" s="2"/>
      <c r="D2" s="2"/>
      <c r="E2" s="2"/>
      <c r="F2" s="2"/>
    </row>
    <row r="4" customFormat="false" ht="30" hidden="false" customHeight="true" outlineLevel="0" collapsed="false">
      <c r="A4" s="4" t="s">
        <v>223</v>
      </c>
      <c r="B4" s="4" t="s">
        <v>224</v>
      </c>
      <c r="C4" s="4" t="s">
        <v>225</v>
      </c>
      <c r="D4" s="4" t="s">
        <v>226</v>
      </c>
      <c r="E4" s="4" t="s">
        <v>118</v>
      </c>
      <c r="H4" s="54" t="s">
        <v>227</v>
      </c>
      <c r="I4" s="55"/>
    </row>
    <row r="5" customFormat="false" ht="15" hidden="false" customHeight="false" outlineLevel="0" collapsed="false">
      <c r="A5" s="23" t="n">
        <v>0</v>
      </c>
      <c r="B5" s="18" t="n">
        <v>1.99999999995657</v>
      </c>
      <c r="C5" s="23" t="n">
        <v>0.173717923145354</v>
      </c>
      <c r="D5" s="23" t="n">
        <v>12.3266297404902</v>
      </c>
      <c r="E5" s="13" t="str">
        <f aca="false">IF(B5&lt;5,"Acidic",IF(B5&lt;9,"Near-neutral","Alkaline"))</f>
        <v>Acidic</v>
      </c>
      <c r="H5" s="56" t="s">
        <v>228</v>
      </c>
      <c r="I5" s="57" t="n">
        <f aca="false">MIN(01_Process!C22:C25)</f>
        <v>6</v>
      </c>
    </row>
    <row r="6" customFormat="false" ht="15" hidden="false" customHeight="false" outlineLevel="0" collapsed="false">
      <c r="A6" s="23" t="n">
        <v>0.0150075037518759</v>
      </c>
      <c r="B6" s="18" t="n">
        <v>2.00260707821176</v>
      </c>
      <c r="C6" s="23" t="n">
        <v>0.173719488190983</v>
      </c>
      <c r="D6" s="23" t="n">
        <v>12.3266297404902</v>
      </c>
      <c r="E6" s="13" t="str">
        <f aca="false">IF(B6&lt;5,"Acidic",IF(B6&lt;9,"Near-neutral","Alkaline"))</f>
        <v>Acidic</v>
      </c>
      <c r="H6" s="56" t="s">
        <v>229</v>
      </c>
      <c r="I6" s="57" t="n">
        <f aca="false">MAX(01_Process!C22:C25)</f>
        <v>8</v>
      </c>
    </row>
    <row r="7" customFormat="false" ht="15" hidden="false" customHeight="false" outlineLevel="0" collapsed="false">
      <c r="A7" s="23" t="n">
        <v>0.0300150075037519</v>
      </c>
      <c r="B7" s="18" t="n">
        <v>2.00521420344244</v>
      </c>
      <c r="C7" s="23" t="n">
        <v>0.173724183497484</v>
      </c>
      <c r="D7" s="23" t="n">
        <v>12.3266297404902</v>
      </c>
      <c r="E7" s="13" t="str">
        <f aca="false">IF(B7&lt;5,"Acidic",IF(B7&lt;9,"Near-neutral","Alkaline"))</f>
        <v>Acidic</v>
      </c>
      <c r="H7" s="56" t="s">
        <v>230</v>
      </c>
      <c r="I7" s="58" t="n">
        <f aca="false">MAX(D5:D1004)*1.05</f>
        <v>258.859224550293</v>
      </c>
    </row>
    <row r="8" customFormat="false" ht="15" hidden="false" customHeight="false" outlineLevel="0" collapsed="false">
      <c r="A8" s="23" t="n">
        <v>0.0450225112556278</v>
      </c>
      <c r="B8" s="18" t="n">
        <v>2.0078214226292</v>
      </c>
      <c r="C8" s="23" t="n">
        <v>0.173732009572689</v>
      </c>
      <c r="D8" s="23" t="n">
        <v>12.3266297404902</v>
      </c>
      <c r="E8" s="13" t="str">
        <f aca="false">IF(B8&lt;5,"Acidic",IF(B8&lt;9,"Near-neutral","Alkaline"))</f>
        <v>Acidic</v>
      </c>
    </row>
    <row r="9" customFormat="false" ht="15" hidden="false" customHeight="false" outlineLevel="0" collapsed="false">
      <c r="A9" s="23" t="n">
        <v>0.0600300150075038</v>
      </c>
      <c r="B9" s="18" t="n">
        <v>2.01042878276276</v>
      </c>
      <c r="C9" s="23" t="n">
        <v>0.173742967262825</v>
      </c>
      <c r="D9" s="23" t="n">
        <v>12.3266297404902</v>
      </c>
      <c r="E9" s="13" t="str">
        <f aca="false">IF(B9&lt;5,"Acidic",IF(B9&lt;9,"Near-neutral","Alkaline"))</f>
        <v>Acidic</v>
      </c>
      <c r="H9" s="59" t="s">
        <v>231</v>
      </c>
      <c r="I9" s="59" t="s">
        <v>232</v>
      </c>
      <c r="J9" s="59"/>
      <c r="K9" s="59"/>
    </row>
    <row r="10" customFormat="false" ht="15" hidden="false" customHeight="false" outlineLevel="0" collapsed="false">
      <c r="A10" s="23" t="n">
        <v>0.0750375187593797</v>
      </c>
      <c r="B10" s="18" t="n">
        <v>2.01303633084911</v>
      </c>
      <c r="C10" s="23" t="n">
        <v>0.173757057752908</v>
      </c>
      <c r="D10" s="23" t="n">
        <v>12.3266297404902</v>
      </c>
      <c r="E10" s="13" t="str">
        <f aca="false">IF(B10&lt;5,"Acidic",IF(B10&lt;9,"Near-neutral","Alkaline"))</f>
        <v>Acidic</v>
      </c>
      <c r="H10" s="60" t="n">
        <f aca="false">$I$5</f>
        <v>6</v>
      </c>
      <c r="I10" s="0" t="n">
        <v>0</v>
      </c>
    </row>
    <row r="11" customFormat="false" ht="15" hidden="false" customHeight="false" outlineLevel="0" collapsed="false">
      <c r="A11" s="23" t="n">
        <v>0.0900450225112556</v>
      </c>
      <c r="B11" s="18" t="n">
        <v>2.01564411391456</v>
      </c>
      <c r="C11" s="23" t="n">
        <v>0.173774282567166</v>
      </c>
      <c r="D11" s="23" t="n">
        <v>12.3266297404902</v>
      </c>
      <c r="E11" s="13" t="str">
        <f aca="false">IF(B11&lt;5,"Acidic",IF(B11&lt;9,"Near-neutral","Alkaline"))</f>
        <v>Acidic</v>
      </c>
      <c r="H11" s="60" t="n">
        <f aca="false">$I$5</f>
        <v>6</v>
      </c>
      <c r="I11" s="61" t="n">
        <f aca="false">$I$7</f>
        <v>258.859224550293</v>
      </c>
    </row>
    <row r="12" customFormat="false" ht="15" hidden="false" customHeight="false" outlineLevel="0" collapsed="false">
      <c r="A12" s="23" t="n">
        <v>0.105052526263132</v>
      </c>
      <c r="B12" s="18" t="n">
        <v>2.01825217901083</v>
      </c>
      <c r="C12" s="23" t="n">
        <v>0.173794643569323</v>
      </c>
      <c r="D12" s="23" t="n">
        <v>12.3266297404902</v>
      </c>
      <c r="E12" s="13" t="str">
        <f aca="false">IF(B12&lt;5,"Acidic",IF(B12&lt;9,"Near-neutral","Alkaline"))</f>
        <v>Acidic</v>
      </c>
      <c r="H12" s="60" t="n">
        <f aca="false">$I$6</f>
        <v>8</v>
      </c>
      <c r="I12" s="61" t="n">
        <f aca="false">$I$7</f>
        <v>258.859224550293</v>
      </c>
    </row>
    <row r="13" customFormat="false" ht="15" hidden="false" customHeight="false" outlineLevel="0" collapsed="false">
      <c r="A13" s="23" t="n">
        <v>0.120060030015008</v>
      </c>
      <c r="B13" s="18" t="n">
        <v>2.02086057322018</v>
      </c>
      <c r="C13" s="23" t="n">
        <v>0.173818142963057</v>
      </c>
      <c r="D13" s="23" t="n">
        <v>12.3266297404902</v>
      </c>
      <c r="E13" s="13" t="str">
        <f aca="false">IF(B13&lt;5,"Acidic",IF(B13&lt;9,"Near-neutral","Alkaline"))</f>
        <v>Acidic</v>
      </c>
      <c r="H13" s="60" t="n">
        <f aca="false">$I$6</f>
        <v>8</v>
      </c>
      <c r="I13" s="0" t="n">
        <v>0</v>
      </c>
    </row>
    <row r="14" customFormat="false" ht="15" hidden="false" customHeight="false" outlineLevel="0" collapsed="false">
      <c r="A14" s="23" t="n">
        <v>0.135067533766883</v>
      </c>
      <c r="B14" s="18" t="n">
        <v>2.02346934366048</v>
      </c>
      <c r="C14" s="23" t="n">
        <v>0.173844783292964</v>
      </c>
      <c r="D14" s="23" t="n">
        <v>12.3266297404902</v>
      </c>
      <c r="E14" s="13" t="str">
        <f aca="false">IF(B14&lt;5,"Acidic",IF(B14&lt;9,"Near-neutral","Alkaline"))</f>
        <v>Acidic</v>
      </c>
      <c r="H14" s="60" t="n">
        <f aca="false">$I$5</f>
        <v>6</v>
      </c>
      <c r="I14" s="0" t="n">
        <v>0</v>
      </c>
    </row>
    <row r="15" customFormat="false" ht="15" hidden="false" customHeight="false" outlineLevel="0" collapsed="false">
      <c r="A15" s="23" t="n">
        <v>0.150075037518759</v>
      </c>
      <c r="B15" s="18" t="n">
        <v>2.02607853749035</v>
      </c>
      <c r="C15" s="23" t="n">
        <v>0.173874567444699</v>
      </c>
      <c r="D15" s="23" t="n">
        <v>12.3266297404902</v>
      </c>
      <c r="E15" s="13" t="str">
        <f aca="false">IF(B15&lt;5,"Acidic",IF(B15&lt;9,"Near-neutral","Alkaline"))</f>
        <v>Acidic</v>
      </c>
    </row>
    <row r="16" customFormat="false" ht="15" hidden="false" customHeight="false" outlineLevel="0" collapsed="false">
      <c r="A16" s="23" t="n">
        <v>0.165082541270635</v>
      </c>
      <c r="B16" s="18" t="n">
        <v>2.0286882019143</v>
      </c>
      <c r="C16" s="23" t="n">
        <v>0.173907498646258</v>
      </c>
      <c r="D16" s="23" t="n">
        <v>12.3266297404902</v>
      </c>
      <c r="E16" s="13" t="str">
        <f aca="false">IF(B16&lt;5,"Acidic",IF(B16&lt;9,"Near-neutral","Alkaline"))</f>
        <v>Acidic</v>
      </c>
    </row>
    <row r="17" customFormat="false" ht="15" hidden="false" customHeight="false" outlineLevel="0" collapsed="false">
      <c r="A17" s="23" t="n">
        <v>0.180090045022511</v>
      </c>
      <c r="B17" s="18" t="n">
        <v>2.03129838418784</v>
      </c>
      <c r="C17" s="23" t="n">
        <v>0.173943580468318</v>
      </c>
      <c r="D17" s="23" t="n">
        <v>12.3266297404902</v>
      </c>
      <c r="E17" s="13" t="str">
        <f aca="false">IF(B17&lt;5,"Acidic",IF(B17&lt;9,"Near-neutral","Alkaline"))</f>
        <v>Acidic</v>
      </c>
    </row>
    <row r="18" customFormat="false" ht="15" hidden="false" customHeight="false" outlineLevel="0" collapsed="false">
      <c r="A18" s="23" t="n">
        <v>0.195097548774387</v>
      </c>
      <c r="B18" s="18" t="n">
        <v>2.03390913162264</v>
      </c>
      <c r="C18" s="23" t="n">
        <v>0.173982816826026</v>
      </c>
      <c r="D18" s="23" t="n">
        <v>12.3266297404902</v>
      </c>
      <c r="E18" s="13" t="str">
        <f aca="false">IF(B18&lt;5,"Acidic",IF(B18&lt;9,"Near-neutral","Alkaline"))</f>
        <v>Acidic</v>
      </c>
    </row>
    <row r="19" customFormat="false" ht="15" hidden="false" customHeight="false" outlineLevel="0" collapsed="false">
      <c r="A19" s="23" t="n">
        <v>0.210105052526263</v>
      </c>
      <c r="B19" s="18" t="n">
        <v>2.03652049159172</v>
      </c>
      <c r="C19" s="23" t="n">
        <v>0.174025211979</v>
      </c>
      <c r="D19" s="23" t="n">
        <v>12.3266297404902</v>
      </c>
      <c r="E19" s="13" t="str">
        <f aca="false">IF(B19&lt;5,"Acidic",IF(B19&lt;9,"Near-neutral","Alkaline"))</f>
        <v>Acidic</v>
      </c>
    </row>
    <row r="20" customFormat="false" ht="15" hidden="false" customHeight="false" outlineLevel="0" collapsed="false">
      <c r="A20" s="23" t="n">
        <v>0.225112556278139</v>
      </c>
      <c r="B20" s="18" t="n">
        <v>2.03913251153464</v>
      </c>
      <c r="C20" s="23" t="n">
        <v>0.174070770533461</v>
      </c>
      <c r="D20" s="23" t="n">
        <v>12.3266297404902</v>
      </c>
      <c r="E20" s="13" t="str">
        <f aca="false">IF(B20&lt;5,"Acidic",IF(B20&lt;9,"Near-neutral","Alkaline"))</f>
        <v>Acidic</v>
      </c>
    </row>
    <row r="21" customFormat="false" ht="15" hidden="false" customHeight="false" outlineLevel="0" collapsed="false">
      <c r="A21" s="23" t="n">
        <v>0.240120060030015</v>
      </c>
      <c r="B21" s="18" t="n">
        <v>2.04174523896266</v>
      </c>
      <c r="C21" s="23" t="n">
        <v>0.174119497442803</v>
      </c>
      <c r="D21" s="23" t="n">
        <v>12.3266297404902</v>
      </c>
      <c r="E21" s="13" t="str">
        <f aca="false">IF(B21&lt;5,"Acidic",IF(B21&lt;9,"Near-neutral","Alkaline"))</f>
        <v>Acidic</v>
      </c>
    </row>
    <row r="22" customFormat="false" ht="15" hidden="false" customHeight="false" outlineLevel="0" collapsed="false">
      <c r="A22" s="23" t="n">
        <v>0.255127563781891</v>
      </c>
      <c r="B22" s="18" t="n">
        <v>2.04435872146402</v>
      </c>
      <c r="C22" s="23" t="n">
        <v>0.174171398009406</v>
      </c>
      <c r="D22" s="23" t="n">
        <v>12.3266297404902</v>
      </c>
      <c r="E22" s="13" t="str">
        <f aca="false">IF(B22&lt;5,"Acidic",IF(B22&lt;9,"Near-neutral","Alkaline"))</f>
        <v>Acidic</v>
      </c>
    </row>
    <row r="23" customFormat="false" ht="15" hidden="false" customHeight="false" outlineLevel="0" collapsed="false">
      <c r="A23" s="23" t="n">
        <v>0.270135067533767</v>
      </c>
      <c r="B23" s="18" t="n">
        <v>2.04697300670914</v>
      </c>
      <c r="C23" s="23" t="n">
        <v>0.174226477885753</v>
      </c>
      <c r="D23" s="23" t="n">
        <v>12.3266297404902</v>
      </c>
      <c r="E23" s="13" t="str">
        <f aca="false">IF(B23&lt;5,"Acidic",IF(B23&lt;9,"Near-neutral","Alkaline"))</f>
        <v>Acidic</v>
      </c>
    </row>
    <row r="24" customFormat="false" ht="15" hidden="false" customHeight="false" outlineLevel="0" collapsed="false">
      <c r="A24" s="23" t="n">
        <v>0.285142571285643</v>
      </c>
      <c r="B24" s="18" t="n">
        <v>2.04958814245593</v>
      </c>
      <c r="C24" s="23" t="n">
        <v>0.174284743076157</v>
      </c>
      <c r="D24" s="23" t="n">
        <v>12.3266297404902</v>
      </c>
      <c r="E24" s="13" t="str">
        <f aca="false">IF(B24&lt;5,"Acidic",IF(B24&lt;9,"Near-neutral","Alkaline"))</f>
        <v>Acidic</v>
      </c>
    </row>
    <row r="25" customFormat="false" ht="15" hidden="false" customHeight="false" outlineLevel="0" collapsed="false">
      <c r="A25" s="23" t="n">
        <v>0.300150075037519</v>
      </c>
      <c r="B25" s="18" t="n">
        <v>2.05220417655504</v>
      </c>
      <c r="C25" s="23" t="n">
        <v>0.174346199938384</v>
      </c>
      <c r="D25" s="23" t="n">
        <v>12.3266297404902</v>
      </c>
      <c r="E25" s="13" t="str">
        <f aca="false">IF(B25&lt;5,"Acidic",IF(B25&lt;9,"Near-neutral","Alkaline"))</f>
        <v>Acidic</v>
      </c>
    </row>
    <row r="26" customFormat="false" ht="15" hidden="false" customHeight="false" outlineLevel="0" collapsed="false">
      <c r="A26" s="23" t="n">
        <v>0.315157578789395</v>
      </c>
      <c r="B26" s="18" t="n">
        <v>2.05482115695519</v>
      </c>
      <c r="C26" s="23" t="n">
        <v>0.174410855185357</v>
      </c>
      <c r="D26" s="23" t="n">
        <v>12.3266297404902</v>
      </c>
      <c r="E26" s="13" t="str">
        <f aca="false">IF(B26&lt;5,"Acidic",IF(B26&lt;9,"Near-neutral","Alkaline"))</f>
        <v>Acidic</v>
      </c>
    </row>
    <row r="27" customFormat="false" ht="15" hidden="false" customHeight="false" outlineLevel="0" collapsed="false">
      <c r="A27" s="23" t="n">
        <v>0.330165082541271</v>
      </c>
      <c r="B27" s="18" t="n">
        <v>2.05743913170854</v>
      </c>
      <c r="C27" s="23" t="n">
        <v>0.174478715886863</v>
      </c>
      <c r="D27" s="23" t="n">
        <v>12.3266297404902</v>
      </c>
      <c r="E27" s="13" t="str">
        <f aca="false">IF(B27&lt;5,"Acidic",IF(B27&lt;9,"Near-neutral","Alkaline"))</f>
        <v>Acidic</v>
      </c>
    </row>
    <row r="28" customFormat="false" ht="15" hidden="false" customHeight="false" outlineLevel="0" collapsed="false">
      <c r="A28" s="23" t="n">
        <v>0.345172586293147</v>
      </c>
      <c r="B28" s="18" t="n">
        <v>2.06005814897604</v>
      </c>
      <c r="C28" s="23" t="n">
        <v>0.174549789471882</v>
      </c>
      <c r="D28" s="23" t="n">
        <v>12.3266297404902</v>
      </c>
      <c r="E28" s="13" t="str">
        <f aca="false">IF(B28&lt;5,"Acidic",IF(B28&lt;9,"Near-neutral","Alkaline"))</f>
        <v>Acidic</v>
      </c>
    </row>
    <row r="29" customFormat="false" ht="15" hidden="false" customHeight="false" outlineLevel="0" collapsed="false">
      <c r="A29" s="23" t="n">
        <v>0.360180090045023</v>
      </c>
      <c r="B29" s="18" t="n">
        <v>2.0626782570328</v>
      </c>
      <c r="C29" s="23" t="n">
        <v>0.174624083730237</v>
      </c>
      <c r="D29" s="23" t="n">
        <v>12.3266297404902</v>
      </c>
      <c r="E29" s="13" t="str">
        <f aca="false">IF(B29&lt;5,"Acidic",IF(B29&lt;9,"Near-neutral","Alkaline"))</f>
        <v>Acidic</v>
      </c>
    </row>
    <row r="30" customFormat="false" ht="15" hidden="false" customHeight="false" outlineLevel="0" collapsed="false">
      <c r="A30" s="23" t="n">
        <v>0.375187593796899</v>
      </c>
      <c r="B30" s="18" t="n">
        <v>2.06529950427361</v>
      </c>
      <c r="C30" s="23" t="n">
        <v>0.174701606814892</v>
      </c>
      <c r="D30" s="23" t="n">
        <v>12.3266297404902</v>
      </c>
      <c r="E30" s="13" t="str">
        <f aca="false">IF(B30&lt;5,"Acidic",IF(B30&lt;9,"Near-neutral","Alkaline"))</f>
        <v>Acidic</v>
      </c>
    </row>
    <row r="31" customFormat="false" ht="15" hidden="false" customHeight="false" outlineLevel="0" collapsed="false">
      <c r="A31" s="23" t="n">
        <v>0.390195097548774</v>
      </c>
      <c r="B31" s="18" t="n">
        <v>2.0679219392183</v>
      </c>
      <c r="C31" s="23" t="n">
        <v>0.174782367244234</v>
      </c>
      <c r="D31" s="23" t="n">
        <v>12.3266297404902</v>
      </c>
      <c r="E31" s="13" t="str">
        <f aca="false">IF(B31&lt;5,"Acidic",IF(B31&lt;9,"Near-neutral","Alkaline"))</f>
        <v>Acidic</v>
      </c>
    </row>
    <row r="32" customFormat="false" ht="15" hidden="false" customHeight="false" outlineLevel="0" collapsed="false">
      <c r="A32" s="23" t="n">
        <v>0.40520260130065</v>
      </c>
      <c r="B32" s="18" t="n">
        <v>2.07054561051733</v>
      </c>
      <c r="C32" s="23" t="n">
        <v>0.17486637390445</v>
      </c>
      <c r="D32" s="23" t="n">
        <v>12.3266297404902</v>
      </c>
      <c r="E32" s="13" t="str">
        <f aca="false">IF(B32&lt;5,"Acidic",IF(B32&lt;9,"Near-neutral","Alkaline"))</f>
        <v>Acidic</v>
      </c>
    </row>
    <row r="33" customFormat="false" ht="15" hidden="false" customHeight="false" outlineLevel="0" collapsed="false">
      <c r="A33" s="23" t="n">
        <v>0.420210105052526</v>
      </c>
      <c r="B33" s="18" t="n">
        <v>2.07317056695729</v>
      </c>
      <c r="C33" s="23" t="n">
        <v>0.174953636051811</v>
      </c>
      <c r="D33" s="23" t="n">
        <v>12.3266297404902</v>
      </c>
      <c r="E33" s="13" t="str">
        <f aca="false">IF(B33&lt;5,"Acidic",IF(B33&lt;9,"Near-neutral","Alkaline"))</f>
        <v>Acidic</v>
      </c>
    </row>
    <row r="34" customFormat="false" ht="15" hidden="false" customHeight="false" outlineLevel="0" collapsed="false">
      <c r="A34" s="23" t="n">
        <v>0.435217608804402</v>
      </c>
      <c r="B34" s="18" t="n">
        <v>2.07579685746646</v>
      </c>
      <c r="C34" s="23" t="n">
        <v>0.175044163315477</v>
      </c>
      <c r="D34" s="23" t="n">
        <v>12.3266297404902</v>
      </c>
      <c r="E34" s="13" t="str">
        <f aca="false">IF(B34&lt;5,"Acidic",IF(B34&lt;9,"Near-neutral","Alkaline"))</f>
        <v>Acidic</v>
      </c>
    </row>
    <row r="35" customFormat="false" ht="15" hidden="false" customHeight="false" outlineLevel="0" collapsed="false">
      <c r="A35" s="23" t="n">
        <v>0.450225112556278</v>
      </c>
      <c r="B35" s="18" t="n">
        <v>2.07842453112045</v>
      </c>
      <c r="C35" s="23" t="n">
        <v>0.17513796570006</v>
      </c>
      <c r="D35" s="23" t="n">
        <v>12.3266297404902</v>
      </c>
      <c r="E35" s="13" t="str">
        <f aca="false">IF(B35&lt;5,"Acidic",IF(B35&lt;9,"Near-neutral","Alkaline"))</f>
        <v>Acidic</v>
      </c>
    </row>
    <row r="36" customFormat="false" ht="15" hidden="false" customHeight="false" outlineLevel="0" collapsed="false">
      <c r="A36" s="23" t="n">
        <v>0.465232616308154</v>
      </c>
      <c r="B36" s="18" t="n">
        <v>2.08105363714785</v>
      </c>
      <c r="C36" s="23" t="n">
        <v>0.175235053588381</v>
      </c>
      <c r="D36" s="23" t="n">
        <v>12.3266297404902</v>
      </c>
      <c r="E36" s="13" t="str">
        <f aca="false">IF(B36&lt;5,"Acidic",IF(B36&lt;9,"Near-neutral","Alkaline"))</f>
        <v>Acidic</v>
      </c>
    </row>
    <row r="37" customFormat="false" ht="15" hidden="false" customHeight="false" outlineLevel="0" collapsed="false">
      <c r="A37" s="23" t="n">
        <v>0.48024012006003</v>
      </c>
      <c r="B37" s="18" t="n">
        <v>2.08368422493593</v>
      </c>
      <c r="C37" s="23" t="n">
        <v>0.175335437744508</v>
      </c>
      <c r="D37" s="23" t="n">
        <v>12.3266297404902</v>
      </c>
      <c r="E37" s="13" t="str">
        <f aca="false">IF(B37&lt;5,"Acidic",IF(B37&lt;9,"Near-neutral","Alkaline"))</f>
        <v>Acidic</v>
      </c>
    </row>
    <row r="38" customFormat="false" ht="15" hidden="false" customHeight="false" outlineLevel="0" collapsed="false">
      <c r="A38" s="23" t="n">
        <v>0.495247623811906</v>
      </c>
      <c r="B38" s="18" t="n">
        <v>2.08631634403635</v>
      </c>
      <c r="C38" s="23" t="n">
        <v>0.175439129316487</v>
      </c>
      <c r="D38" s="23" t="n">
        <v>12.3266297404902</v>
      </c>
      <c r="E38" s="13" t="str">
        <f aca="false">IF(B38&lt;5,"Acidic",IF(B38&lt;9,"Near-neutral","Alkaline"))</f>
        <v>Acidic</v>
      </c>
    </row>
    <row r="39" customFormat="false" ht="15" hidden="false" customHeight="false" outlineLevel="0" collapsed="false">
      <c r="A39" s="23" t="n">
        <v>0.510255127563782</v>
      </c>
      <c r="B39" s="18" t="n">
        <v>2.08895004417101</v>
      </c>
      <c r="C39" s="23" t="n">
        <v>0.175546139839952</v>
      </c>
      <c r="D39" s="23" t="n">
        <v>12.3266297404902</v>
      </c>
      <c r="E39" s="13" t="str">
        <f aca="false">IF(B39&lt;5,"Acidic",IF(B39&lt;9,"Near-neutral","Alkaline"))</f>
        <v>Acidic</v>
      </c>
    </row>
    <row r="40" customFormat="false" ht="15" hidden="false" customHeight="false" outlineLevel="0" collapsed="false">
      <c r="A40" s="23" t="n">
        <v>0.525262631315658</v>
      </c>
      <c r="B40" s="18" t="n">
        <v>2.09158537523785</v>
      </c>
      <c r="C40" s="23" t="n">
        <v>0.175656481240878</v>
      </c>
      <c r="D40" s="23" t="n">
        <v>12.3266297404902</v>
      </c>
      <c r="E40" s="13" t="str">
        <f aca="false">IF(B40&lt;5,"Acidic",IF(B40&lt;9,"Near-neutral","Alkaline"))</f>
        <v>Acidic</v>
      </c>
    </row>
    <row r="41" customFormat="false" ht="15" hidden="false" customHeight="false" outlineLevel="0" collapsed="false">
      <c r="A41" s="23" t="n">
        <v>0.540270135067534</v>
      </c>
      <c r="B41" s="18" t="n">
        <v>2.09422238731671</v>
      </c>
      <c r="C41" s="23" t="n">
        <v>0.175770165839197</v>
      </c>
      <c r="D41" s="23" t="n">
        <v>12.3266297404902</v>
      </c>
      <c r="E41" s="13" t="str">
        <f aca="false">IF(B41&lt;5,"Acidic",IF(B41&lt;9,"Near-neutral","Alkaline"))</f>
        <v>Acidic</v>
      </c>
    </row>
    <row r="42" customFormat="false" ht="15" hidden="false" customHeight="false" outlineLevel="0" collapsed="false">
      <c r="A42" s="23" t="n">
        <v>0.55527763881941</v>
      </c>
      <c r="B42" s="18" t="n">
        <v>2.09686113067533</v>
      </c>
      <c r="C42" s="23" t="n">
        <v>0.1758872063524</v>
      </c>
      <c r="D42" s="23" t="n">
        <v>12.3266297404902</v>
      </c>
      <c r="E42" s="13" t="str">
        <f aca="false">IF(B42&lt;5,"Acidic",IF(B42&lt;9,"Near-neutral","Alkaline"))</f>
        <v>Acidic</v>
      </c>
    </row>
    <row r="43" customFormat="false" ht="15" hidden="false" customHeight="false" outlineLevel="0" collapsed="false">
      <c r="A43" s="23" t="n">
        <v>0.570285142571286</v>
      </c>
      <c r="B43" s="18" t="n">
        <v>2.09950165577529</v>
      </c>
      <c r="C43" s="23" t="n">
        <v>0.176007615898698</v>
      </c>
      <c r="D43" s="23" t="n">
        <v>12.3266297404902</v>
      </c>
      <c r="E43" s="13" t="str">
        <f aca="false">IF(B43&lt;5,"Acidic",IF(B43&lt;9,"Near-neutral","Alkaline"))</f>
        <v>Acidic</v>
      </c>
    </row>
    <row r="44" customFormat="false" ht="15" hidden="false" customHeight="false" outlineLevel="0" collapsed="false">
      <c r="A44" s="23" t="n">
        <v>0.585292646323162</v>
      </c>
      <c r="B44" s="18" t="n">
        <v>2.10214401327808</v>
      </c>
      <c r="C44" s="23" t="n">
        <v>0.176131408001368</v>
      </c>
      <c r="D44" s="23" t="n">
        <v>12.3266297404902</v>
      </c>
      <c r="E44" s="13" t="str">
        <f aca="false">IF(B44&lt;5,"Acidic",IF(B44&lt;9,"Near-neutral","Alkaline"))</f>
        <v>Acidic</v>
      </c>
    </row>
    <row r="45" customFormat="false" ht="15" hidden="false" customHeight="false" outlineLevel="0" collapsed="false">
      <c r="A45" s="23" t="n">
        <v>0.600300150075038</v>
      </c>
      <c r="B45" s="18" t="n">
        <v>2.1047882540512</v>
      </c>
      <c r="C45" s="23" t="n">
        <v>0.176258596592163</v>
      </c>
      <c r="D45" s="23" t="n">
        <v>12.3266297404902</v>
      </c>
      <c r="E45" s="13" t="str">
        <f aca="false">IF(B45&lt;5,"Acidic",IF(B45&lt;9,"Near-neutral","Alkaline"))</f>
        <v>Acidic</v>
      </c>
    </row>
    <row r="46" customFormat="false" ht="15" hidden="false" customHeight="false" outlineLevel="0" collapsed="false">
      <c r="A46" s="23" t="n">
        <v>0.615307653826913</v>
      </c>
      <c r="B46" s="18" t="n">
        <v>2.10743442917432</v>
      </c>
      <c r="C46" s="23" t="n">
        <v>0.176389196015265</v>
      </c>
      <c r="D46" s="23" t="n">
        <v>12.3266297404902</v>
      </c>
      <c r="E46" s="13" t="str">
        <f aca="false">IF(B46&lt;5,"Acidic",IF(B46&lt;9,"Near-neutral","Alkaline"))</f>
        <v>Acidic</v>
      </c>
    </row>
    <row r="47" customFormat="false" ht="15" hidden="false" customHeight="false" outlineLevel="0" collapsed="false">
      <c r="A47" s="23" t="n">
        <v>0.630315157578789</v>
      </c>
      <c r="B47" s="18" t="n">
        <v>2.11008258994549</v>
      </c>
      <c r="C47" s="23" t="n">
        <v>0.176523221031971</v>
      </c>
      <c r="D47" s="23" t="n">
        <v>12.3266297404902</v>
      </c>
      <c r="E47" s="13" t="str">
        <f aca="false">IF(B47&lt;5,"Acidic",IF(B47&lt;9,"Near-neutral","Alkaline"))</f>
        <v>Acidic</v>
      </c>
    </row>
    <row r="48" customFormat="false" ht="15" hidden="false" customHeight="false" outlineLevel="0" collapsed="false">
      <c r="A48" s="23" t="n">
        <v>0.645322661330665</v>
      </c>
      <c r="B48" s="18" t="n">
        <v>2.11273278788744</v>
      </c>
      <c r="C48" s="23" t="n">
        <v>0.176660686824192</v>
      </c>
      <c r="D48" s="23" t="n">
        <v>12.3266297404902</v>
      </c>
      <c r="E48" s="13" t="str">
        <f aca="false">IF(B48&lt;5,"Acidic",IF(B48&lt;9,"Near-neutral","Alkaline"))</f>
        <v>Acidic</v>
      </c>
    </row>
    <row r="49" customFormat="false" ht="15" hidden="false" customHeight="false" outlineLevel="0" collapsed="false">
      <c r="A49" s="23" t="n">
        <v>0.660330165082541</v>
      </c>
      <c r="B49" s="18" t="n">
        <v>2.11538507475395</v>
      </c>
      <c r="C49" s="23" t="n">
        <v>0.176801608999284</v>
      </c>
      <c r="D49" s="23" t="n">
        <v>12.3266297404902</v>
      </c>
      <c r="E49" s="13" t="str">
        <f aca="false">IF(B49&lt;5,"Acidic",IF(B49&lt;9,"Near-neutral","Alkaline"))</f>
        <v>Acidic</v>
      </c>
    </row>
    <row r="50" customFormat="false" ht="15" hidden="false" customHeight="false" outlineLevel="0" collapsed="false">
      <c r="A50" s="23" t="n">
        <v>0.675337668834417</v>
      </c>
      <c r="B50" s="18" t="n">
        <v>2.11803950253622</v>
      </c>
      <c r="C50" s="23" t="n">
        <v>0.176946003594566</v>
      </c>
      <c r="D50" s="23" t="n">
        <v>12.3266297404902</v>
      </c>
      <c r="E50" s="13" t="str">
        <f aca="false">IF(B50&lt;5,"Acidic",IF(B50&lt;9,"Near-neutral","Alkaline"))</f>
        <v>Acidic</v>
      </c>
    </row>
    <row r="51" customFormat="false" ht="15" hidden="false" customHeight="false" outlineLevel="0" collapsed="false">
      <c r="A51" s="23" t="n">
        <v>0.690345172586293</v>
      </c>
      <c r="B51" s="18" t="n">
        <v>2.12069612346939</v>
      </c>
      <c r="C51" s="23" t="n">
        <v>0.177093887081867</v>
      </c>
      <c r="D51" s="23" t="n">
        <v>12.3266297404902</v>
      </c>
      <c r="E51" s="13" t="str">
        <f aca="false">IF(B51&lt;5,"Acidic",IF(B51&lt;9,"Near-neutral","Alkaline"))</f>
        <v>Acidic</v>
      </c>
    </row>
    <row r="52" customFormat="false" ht="15" hidden="false" customHeight="false" outlineLevel="0" collapsed="false">
      <c r="A52" s="23" t="n">
        <v>0.705352676338169</v>
      </c>
      <c r="B52" s="18" t="n">
        <v>2.12335499003909</v>
      </c>
      <c r="C52" s="23" t="n">
        <v>0.177245276372304</v>
      </c>
      <c r="D52" s="23" t="n">
        <v>12.3266297404902</v>
      </c>
      <c r="E52" s="13" t="str">
        <f aca="false">IF(B52&lt;5,"Acidic",IF(B52&lt;9,"Near-neutral","Alkaline"))</f>
        <v>Acidic</v>
      </c>
    </row>
    <row r="53" customFormat="false" ht="15" hidden="false" customHeight="false" outlineLevel="0" collapsed="false">
      <c r="A53" s="23" t="n">
        <v>0.720360180090045</v>
      </c>
      <c r="B53" s="18" t="n">
        <v>2.12601615498806</v>
      </c>
      <c r="C53" s="23" t="n">
        <v>0.177400188821338</v>
      </c>
      <c r="D53" s="23" t="n">
        <v>12.3266297404902</v>
      </c>
      <c r="E53" s="13" t="str">
        <f aca="false">IF(B53&lt;5,"Acidic",IF(B53&lt;9,"Near-neutral","Alkaline"))</f>
        <v>Acidic</v>
      </c>
    </row>
    <row r="54" customFormat="false" ht="15" hidden="false" customHeight="false" outlineLevel="0" collapsed="false">
      <c r="A54" s="23" t="n">
        <v>0.735367683841921</v>
      </c>
      <c r="B54" s="18" t="n">
        <v>2.12867967132287</v>
      </c>
      <c r="C54" s="23" t="n">
        <v>0.177558642233748</v>
      </c>
      <c r="D54" s="23" t="n">
        <v>12.3266297404902</v>
      </c>
      <c r="E54" s="13" t="str">
        <f aca="false">IF(B54&lt;5,"Acidic",IF(B54&lt;9,"Near-neutral","Alkaline"))</f>
        <v>Acidic</v>
      </c>
    </row>
    <row r="55" customFormat="false" ht="15" hidden="false" customHeight="false" outlineLevel="0" collapsed="false">
      <c r="A55" s="23" t="n">
        <v>0.750375187593797</v>
      </c>
      <c r="B55" s="18" t="n">
        <v>2.13134559232071</v>
      </c>
      <c r="C55" s="23" t="n">
        <v>0.177720654869148</v>
      </c>
      <c r="D55" s="23" t="n">
        <v>12.3266297404902</v>
      </c>
      <c r="E55" s="13" t="str">
        <f aca="false">IF(B55&lt;5,"Acidic",IF(B55&lt;9,"Near-neutral","Alkaline"))</f>
        <v>Acidic</v>
      </c>
    </row>
    <row r="56" customFormat="false" ht="15" hidden="false" customHeight="false" outlineLevel="0" collapsed="false">
      <c r="A56" s="23" t="n">
        <v>0.765382691345673</v>
      </c>
      <c r="B56" s="18" t="n">
        <v>2.13401397153623</v>
      </c>
      <c r="C56" s="23" t="n">
        <v>0.177886245446985</v>
      </c>
      <c r="D56" s="23" t="n">
        <v>12.3266297404902</v>
      </c>
      <c r="E56" s="13" t="str">
        <f aca="false">IF(B56&lt;5,"Acidic",IF(B56&lt;9,"Near-neutral","Alkaline"))</f>
        <v>Acidic</v>
      </c>
    </row>
    <row r="57" customFormat="false" ht="15" hidden="false" customHeight="false" outlineLevel="0" collapsed="false">
      <c r="A57" s="23" t="n">
        <v>0.780390195097549</v>
      </c>
      <c r="B57" s="18" t="n">
        <v>2.13668486280849</v>
      </c>
      <c r="C57" s="23" t="n">
        <v>0.178055433152423</v>
      </c>
      <c r="D57" s="23" t="n">
        <v>12.3266297404902</v>
      </c>
      <c r="E57" s="13" t="str">
        <f aca="false">IF(B57&lt;5,"Acidic",IF(B57&lt;9,"Near-neutral","Alkaline"))</f>
        <v>Acidic</v>
      </c>
    </row>
    <row r="58" customFormat="false" ht="15" hidden="false" customHeight="false" outlineLevel="0" collapsed="false">
      <c r="A58" s="23" t="n">
        <v>0.795397698849425</v>
      </c>
      <c r="B58" s="18" t="n">
        <v>2.139358320268</v>
      </c>
      <c r="C58" s="23" t="n">
        <v>0.178228237641889</v>
      </c>
      <c r="D58" s="23" t="n">
        <v>12.3266297404902</v>
      </c>
      <c r="E58" s="13" t="str">
        <f aca="false">IF(B58&lt;5,"Acidic",IF(B58&lt;9,"Near-neutral","Alkaline"))</f>
        <v>Acidic</v>
      </c>
    </row>
    <row r="59" customFormat="false" ht="15" hidden="false" customHeight="false" outlineLevel="0" collapsed="false">
      <c r="A59" s="23" t="n">
        <v>0.810405202601301</v>
      </c>
      <c r="B59" s="18" t="n">
        <v>2.14203439834384</v>
      </c>
      <c r="C59" s="23" t="n">
        <v>0.178404679049265</v>
      </c>
      <c r="D59" s="23" t="n">
        <v>12.3266297404902</v>
      </c>
      <c r="E59" s="13" t="str">
        <f aca="false">IF(B59&lt;5,"Acidic",IF(B59&lt;9,"Near-neutral","Alkaline"))</f>
        <v>Acidic</v>
      </c>
    </row>
    <row r="60" customFormat="false" ht="15" hidden="false" customHeight="false" outlineLevel="0" collapsed="false">
      <c r="A60" s="23" t="n">
        <v>0.825412706353177</v>
      </c>
      <c r="B60" s="18" t="n">
        <v>2.14471315177087</v>
      </c>
      <c r="C60" s="23" t="n">
        <v>0.178584777991233</v>
      </c>
      <c r="D60" s="23" t="n">
        <v>12.3266297404902</v>
      </c>
      <c r="E60" s="13" t="str">
        <f aca="false">IF(B60&lt;5,"Acidic",IF(B60&lt;9,"Near-neutral","Alkaline"))</f>
        <v>Acidic</v>
      </c>
    </row>
    <row r="61" customFormat="false" ht="15" hidden="false" customHeight="false" outlineLevel="0" collapsed="false">
      <c r="A61" s="23" t="n">
        <v>0.840420210105053</v>
      </c>
      <c r="B61" s="18" t="n">
        <v>2.14739463559699</v>
      </c>
      <c r="C61" s="23" t="n">
        <v>0.178768555574465</v>
      </c>
      <c r="D61" s="23" t="n">
        <v>12.3266297404902</v>
      </c>
      <c r="E61" s="13" t="str">
        <f aca="false">IF(B61&lt;5,"Acidic",IF(B61&lt;9,"Near-neutral","Alkaline"))</f>
        <v>Acidic</v>
      </c>
    </row>
    <row r="62" customFormat="false" ht="15" hidden="false" customHeight="false" outlineLevel="0" collapsed="false">
      <c r="A62" s="23" t="n">
        <v>0.855427713856929</v>
      </c>
      <c r="B62" s="18" t="n">
        <v>2.1500789051906</v>
      </c>
      <c r="C62" s="23" t="n">
        <v>0.178956033401022</v>
      </c>
      <c r="D62" s="23" t="n">
        <v>12.3266297404902</v>
      </c>
      <c r="E62" s="13" t="str">
        <f aca="false">IF(B62&lt;5,"Acidic",IF(B62&lt;9,"Near-neutral","Alkaline"))</f>
        <v>Acidic</v>
      </c>
    </row>
    <row r="63" customFormat="false" ht="15" hidden="false" customHeight="false" outlineLevel="0" collapsed="false">
      <c r="A63" s="23" t="n">
        <v>0.870435217608804</v>
      </c>
      <c r="B63" s="18" t="n">
        <v>2.15276601624804</v>
      </c>
      <c r="C63" s="23" t="n">
        <v>0.179147233575833</v>
      </c>
      <c r="D63" s="23" t="n">
        <v>12.3266297404902</v>
      </c>
      <c r="E63" s="13" t="str">
        <f aca="false">IF(B63&lt;5,"Acidic",IF(B63&lt;9,"Near-neutral","Alkaline"))</f>
        <v>Acidic</v>
      </c>
    </row>
    <row r="64" customFormat="false" ht="15" hidden="false" customHeight="false" outlineLevel="0" collapsed="false">
      <c r="A64" s="23" t="n">
        <v>0.88544272136068</v>
      </c>
      <c r="B64" s="18" t="n">
        <v>2.15545602480117</v>
      </c>
      <c r="C64" s="23" t="n">
        <v>0.179342178712744</v>
      </c>
      <c r="D64" s="23" t="n">
        <v>12.3266297404902</v>
      </c>
      <c r="E64" s="13" t="str">
        <f aca="false">IF(B64&lt;5,"Acidic",IF(B64&lt;9,"Near-neutral","Alkaline"))</f>
        <v>Acidic</v>
      </c>
    </row>
    <row r="65" customFormat="false" ht="15" hidden="false" customHeight="false" outlineLevel="0" collapsed="false">
      <c r="A65" s="23" t="n">
        <v>0.900450225112556</v>
      </c>
      <c r="B65" s="18" t="n">
        <v>2.15814898722513</v>
      </c>
      <c r="C65" s="23" t="n">
        <v>0.17954089194194</v>
      </c>
      <c r="D65" s="23" t="n">
        <v>12.3266297404902</v>
      </c>
      <c r="E65" s="13" t="str">
        <f aca="false">IF(B65&lt;5,"Acidic",IF(B65&lt;9,"Near-neutral","Alkaline"))</f>
        <v>Acidic</v>
      </c>
    </row>
    <row r="66" customFormat="false" ht="15" hidden="false" customHeight="false" outlineLevel="0" collapsed="false">
      <c r="A66" s="23" t="n">
        <v>0.915457728864432</v>
      </c>
      <c r="B66" s="18" t="n">
        <v>2.16084496024607</v>
      </c>
      <c r="C66" s="23" t="n">
        <v>0.179743396916592</v>
      </c>
      <c r="D66" s="23" t="n">
        <v>12.3266297404902</v>
      </c>
      <c r="E66" s="13" t="str">
        <f aca="false">IF(B66&lt;5,"Acidic",IF(B66&lt;9,"Near-neutral","Alkaline"))</f>
        <v>Acidic</v>
      </c>
    </row>
    <row r="67" customFormat="false" ht="15" hidden="false" customHeight="false" outlineLevel="0" collapsed="false">
      <c r="A67" s="23" t="n">
        <v>0.930465232616308</v>
      </c>
      <c r="B67" s="18" t="n">
        <v>2.1635440009491</v>
      </c>
      <c r="C67" s="23" t="n">
        <v>0.17994971782079</v>
      </c>
      <c r="D67" s="23" t="n">
        <v>12.3266297404902</v>
      </c>
      <c r="E67" s="13" t="str">
        <f aca="false">IF(B67&lt;5,"Acidic",IF(B67&lt;9,"Near-neutral","Alkaline"))</f>
        <v>Acidic</v>
      </c>
    </row>
    <row r="68" customFormat="false" ht="15" hidden="false" customHeight="false" outlineLevel="0" collapsed="false">
      <c r="A68" s="23" t="n">
        <v>0.945472736368184</v>
      </c>
      <c r="B68" s="18" t="n">
        <v>2.16624616678628</v>
      </c>
      <c r="C68" s="23" t="n">
        <v>0.180159879376447</v>
      </c>
      <c r="D68" s="23" t="n">
        <v>12.3266297404902</v>
      </c>
      <c r="E68" s="13" t="str">
        <f aca="false">IF(B68&lt;5,"Acidic",IF(B68&lt;9,"Near-neutral","Alkaline"))</f>
        <v>Acidic</v>
      </c>
    </row>
    <row r="69" customFormat="false" ht="15" hidden="false" customHeight="false" outlineLevel="0" collapsed="false">
      <c r="A69" s="23" t="n">
        <v>0.96048024012006</v>
      </c>
      <c r="B69" s="18" t="n">
        <v>2.16895151558478</v>
      </c>
      <c r="C69" s="23" t="n">
        <v>0.180373906851486</v>
      </c>
      <c r="D69" s="23" t="n">
        <v>12.3266297404902</v>
      </c>
      <c r="E69" s="13" t="str">
        <f aca="false">IF(B69&lt;5,"Acidic",IF(B69&lt;9,"Near-neutral","Alkaline"))</f>
        <v>Acidic</v>
      </c>
    </row>
    <row r="70" customFormat="false" ht="15" hidden="false" customHeight="false" outlineLevel="0" collapsed="false">
      <c r="A70" s="23" t="n">
        <v>0.975487743871936</v>
      </c>
      <c r="B70" s="18" t="n">
        <v>2.17166010555511</v>
      </c>
      <c r="C70" s="23" t="n">
        <v>0.180591826067428</v>
      </c>
      <c r="D70" s="23" t="n">
        <v>12.3266297404902</v>
      </c>
      <c r="E70" s="13" t="str">
        <f aca="false">IF(B70&lt;5,"Acidic",IF(B70&lt;9,"Near-neutral","Alkaline"))</f>
        <v>Acidic</v>
      </c>
    </row>
    <row r="71" customFormat="false" ht="15" hidden="false" customHeight="false" outlineLevel="0" collapsed="false">
      <c r="A71" s="23" t="n">
        <v>0.990495247623812</v>
      </c>
      <c r="B71" s="18" t="n">
        <v>2.17437199529949</v>
      </c>
      <c r="C71" s="23" t="n">
        <v>0.180813663407747</v>
      </c>
      <c r="D71" s="23" t="n">
        <v>12.3266297404902</v>
      </c>
      <c r="E71" s="13" t="str">
        <f aca="false">IF(B71&lt;5,"Acidic",IF(B71&lt;9,"Near-neutral","Alkaline"))</f>
        <v>Acidic</v>
      </c>
    </row>
    <row r="72" customFormat="false" ht="15" hidden="false" customHeight="false" outlineLevel="0" collapsed="false">
      <c r="A72" s="23" t="n">
        <v>1.00550275137569</v>
      </c>
      <c r="B72" s="18" t="n">
        <v>2.17708724382038</v>
      </c>
      <c r="C72" s="23" t="n">
        <v>0.181039445826258</v>
      </c>
      <c r="D72" s="23" t="n">
        <v>12.3266297404902</v>
      </c>
      <c r="E72" s="13" t="str">
        <f aca="false">IF(B72&lt;5,"Acidic",IF(B72&lt;9,"Near-neutral","Alkaline"))</f>
        <v>Acidic</v>
      </c>
    </row>
    <row r="73" customFormat="false" ht="15" hidden="false" customHeight="false" outlineLevel="0" collapsed="false">
      <c r="A73" s="23" t="n">
        <v>1.02051025512756</v>
      </c>
      <c r="B73" s="18" t="n">
        <v>2.17980591052905</v>
      </c>
      <c r="C73" s="23" t="n">
        <v>0.181269200855411</v>
      </c>
      <c r="D73" s="23" t="n">
        <v>12.3266297404902</v>
      </c>
      <c r="E73" s="13" t="str">
        <f aca="false">IF(B73&lt;5,"Acidic",IF(B73&lt;9,"Near-neutral","Alkaline"))</f>
        <v>Acidic</v>
      </c>
    </row>
    <row r="74" customFormat="false" ht="15" hidden="false" customHeight="false" outlineLevel="0" collapsed="false">
      <c r="A74" s="23" t="n">
        <v>1.03551775887944</v>
      </c>
      <c r="B74" s="18" t="n">
        <v>2.18252805525436</v>
      </c>
      <c r="C74" s="23" t="n">
        <v>0.181502956615447</v>
      </c>
      <c r="D74" s="23" t="n">
        <v>12.3266297404902</v>
      </c>
      <c r="E74" s="13" t="str">
        <f aca="false">IF(B74&lt;5,"Acidic",IF(B74&lt;9,"Near-neutral","Alkaline"))</f>
        <v>Acidic</v>
      </c>
    </row>
    <row r="75" customFormat="false" ht="15" hidden="false" customHeight="false" outlineLevel="0" collapsed="false">
      <c r="A75" s="23" t="n">
        <v>1.05052526263132</v>
      </c>
      <c r="B75" s="18" t="n">
        <v>2.18525373825166</v>
      </c>
      <c r="C75" s="23" t="n">
        <v>0.181740741823177</v>
      </c>
      <c r="D75" s="23" t="n">
        <v>12.3266297404902</v>
      </c>
      <c r="E75" s="13" t="str">
        <f aca="false">IF(B75&lt;5,"Acidic",IF(B75&lt;9,"Near-neutral","Alkaline"))</f>
        <v>Acidic</v>
      </c>
    </row>
    <row r="76" customFormat="false" ht="15" hidden="false" customHeight="false" outlineLevel="0" collapsed="false">
      <c r="A76" s="23" t="n">
        <v>1.06553276638319</v>
      </c>
      <c r="B76" s="18" t="n">
        <v>2.18798302021178</v>
      </c>
      <c r="C76" s="23" t="n">
        <v>0.181982585801393</v>
      </c>
      <c r="D76" s="23" t="n">
        <v>12.3266297404902</v>
      </c>
      <c r="E76" s="13" t="str">
        <f aca="false">IF(B76&lt;5,"Acidic",IF(B76&lt;9,"Near-neutral","Alkaline"))</f>
        <v>Acidic</v>
      </c>
    </row>
    <row r="77" customFormat="false" ht="15" hidden="false" customHeight="false" outlineLevel="0" collapsed="false">
      <c r="A77" s="23" t="n">
        <v>1.08054027013507</v>
      </c>
      <c r="B77" s="18" t="n">
        <v>2.19071596227022</v>
      </c>
      <c r="C77" s="23" t="n">
        <v>0.182228518488472</v>
      </c>
      <c r="D77" s="23" t="n">
        <v>12.3266297404902</v>
      </c>
      <c r="E77" s="13" t="str">
        <f aca="false">IF(B77&lt;5,"Acidic",IF(B77&lt;9,"Near-neutral","Alkaline"))</f>
        <v>Acidic</v>
      </c>
    </row>
    <row r="78" customFormat="false" ht="15" hidden="false" customHeight="false" outlineLevel="0" collapsed="false">
      <c r="A78" s="23" t="n">
        <v>1.09554777388694</v>
      </c>
      <c r="B78" s="18" t="n">
        <v>2.19345262601646</v>
      </c>
      <c r="C78" s="23" t="n">
        <v>0.182478570447785</v>
      </c>
      <c r="D78" s="23" t="n">
        <v>12.3266297404902</v>
      </c>
      <c r="E78" s="13" t="str">
        <f aca="false">IF(B78&lt;5,"Acidic",IF(B78&lt;9,"Near-neutral","Alkaline"))</f>
        <v>Acidic</v>
      </c>
    </row>
    <row r="79" customFormat="false" ht="15" hidden="false" customHeight="false" outlineLevel="0" collapsed="false">
      <c r="A79" s="23" t="n">
        <v>1.11055527763882</v>
      </c>
      <c r="B79" s="18" t="n">
        <v>2.19619307350339</v>
      </c>
      <c r="C79" s="23" t="n">
        <v>0.182732772878126</v>
      </c>
      <c r="D79" s="23" t="n">
        <v>12.3266297404902</v>
      </c>
      <c r="E79" s="13" t="str">
        <f aca="false">IF(B79&lt;5,"Acidic",IF(B79&lt;9,"Near-neutral","Alkaline"))</f>
        <v>Acidic</v>
      </c>
    </row>
    <row r="80" customFormat="false" ht="15" hidden="false" customHeight="false" outlineLevel="0" collapsed="false">
      <c r="A80" s="23" t="n">
        <v>1.1255627813907</v>
      </c>
      <c r="B80" s="18" t="n">
        <v>2.19893736725695</v>
      </c>
      <c r="C80" s="23" t="n">
        <v>0.182991157623945</v>
      </c>
      <c r="D80" s="23" t="n">
        <v>12.3266297404902</v>
      </c>
      <c r="E80" s="13" t="str">
        <f aca="false">IF(B80&lt;5,"Acidic",IF(B80&lt;9,"Near-neutral","Alkaline"))</f>
        <v>Acidic</v>
      </c>
    </row>
    <row r="81" customFormat="false" ht="15" hidden="false" customHeight="false" outlineLevel="0" collapsed="false">
      <c r="A81" s="23" t="n">
        <v>1.14057028514257</v>
      </c>
      <c r="B81" s="18" t="n">
        <v>2.2016855702859</v>
      </c>
      <c r="C81" s="23" t="n">
        <v>0.183253757185611</v>
      </c>
      <c r="D81" s="23" t="n">
        <v>12.3266297404902</v>
      </c>
      <c r="E81" s="13" t="str">
        <f aca="false">IF(B81&lt;5,"Acidic",IF(B81&lt;9,"Near-neutral","Alkaline"))</f>
        <v>Acidic</v>
      </c>
    </row>
    <row r="82" customFormat="false" ht="15" hidden="false" customHeight="false" outlineLevel="0" collapsed="false">
      <c r="A82" s="23" t="n">
        <v>1.15557778889445</v>
      </c>
      <c r="B82" s="18" t="n">
        <v>2.20443774609172</v>
      </c>
      <c r="C82" s="23" t="n">
        <v>0.183520604730632</v>
      </c>
      <c r="D82" s="23" t="n">
        <v>12.3266297404902</v>
      </c>
      <c r="E82" s="13" t="str">
        <f aca="false">IF(B82&lt;5,"Acidic",IF(B82&lt;9,"Near-neutral","Alkaline"))</f>
        <v>Acidic</v>
      </c>
    </row>
    <row r="83" customFormat="false" ht="15" hidden="false" customHeight="false" outlineLevel="0" collapsed="false">
      <c r="A83" s="23" t="n">
        <v>1.17058529264632</v>
      </c>
      <c r="B83" s="18" t="n">
        <v>2.20719395867871</v>
      </c>
      <c r="C83" s="23" t="n">
        <v>0.18379173410446</v>
      </c>
      <c r="D83" s="23" t="n">
        <v>12.3266297404902</v>
      </c>
      <c r="E83" s="13" t="str">
        <f aca="false">IF(B83&lt;5,"Acidic",IF(B83&lt;9,"Near-neutral","Alkaline"))</f>
        <v>Acidic</v>
      </c>
    </row>
    <row r="84" customFormat="false" ht="15" hidden="false" customHeight="false" outlineLevel="0" collapsed="false">
      <c r="A84" s="23" t="n">
        <v>1.1855927963982</v>
      </c>
      <c r="B84" s="18" t="n">
        <v>2.20995427256429</v>
      </c>
      <c r="C84" s="23" t="n">
        <v>0.184067179842174</v>
      </c>
      <c r="D84" s="23" t="n">
        <v>12.3266297404902</v>
      </c>
      <c r="E84" s="13" t="str">
        <f aca="false">IF(B84&lt;5,"Acidic",IF(B84&lt;9,"Near-neutral","Alkaline"))</f>
        <v>Acidic</v>
      </c>
    </row>
    <row r="85" customFormat="false" ht="15" hidden="false" customHeight="false" outlineLevel="0" collapsed="false">
      <c r="A85" s="23" t="n">
        <v>1.20060030015008</v>
      </c>
      <c r="B85" s="18" t="n">
        <v>2.21271875278937</v>
      </c>
      <c r="C85" s="23" t="n">
        <v>0.18434697718007</v>
      </c>
      <c r="D85" s="23" t="n">
        <v>12.3266297404902</v>
      </c>
      <c r="E85" s="13" t="str">
        <f aca="false">IF(B85&lt;5,"Acidic",IF(B85&lt;9,"Near-neutral","Alkaline"))</f>
        <v>Acidic</v>
      </c>
    </row>
    <row r="86" customFormat="false" ht="15" hidden="false" customHeight="false" outlineLevel="0" collapsed="false">
      <c r="A86" s="23" t="n">
        <v>1.21560780390195</v>
      </c>
      <c r="B86" s="18" t="n">
        <v>2.21548746492901</v>
      </c>
      <c r="C86" s="23" t="n">
        <v>0.184631162067433</v>
      </c>
      <c r="D86" s="23" t="n">
        <v>12.3266297404902</v>
      </c>
      <c r="E86" s="13" t="str">
        <f aca="false">IF(B86&lt;5,"Acidic",IF(B86&lt;9,"Near-neutral","Alkaline"))</f>
        <v>Acidic</v>
      </c>
    </row>
    <row r="87" customFormat="false" ht="15" hidden="false" customHeight="false" outlineLevel="0" collapsed="false">
      <c r="A87" s="23" t="n">
        <v>1.23061530765383</v>
      </c>
      <c r="B87" s="18" t="n">
        <v>2.21826047510321</v>
      </c>
      <c r="C87" s="23" t="n">
        <v>0.184919771179523</v>
      </c>
      <c r="D87" s="23" t="n">
        <v>12.3266297404902</v>
      </c>
      <c r="E87" s="13" t="str">
        <f aca="false">IF(B87&lt;5,"Acidic",IF(B87&lt;9,"Near-neutral","Alkaline"))</f>
        <v>Acidic</v>
      </c>
    </row>
    <row r="88" customFormat="false" ht="15" hidden="false" customHeight="false" outlineLevel="0" collapsed="false">
      <c r="A88" s="23" t="n">
        <v>1.2456228114057</v>
      </c>
      <c r="B88" s="18" t="n">
        <v>2.22103784998789</v>
      </c>
      <c r="C88" s="23" t="n">
        <v>0.185212841929399</v>
      </c>
      <c r="D88" s="23" t="n">
        <v>12.3266297404902</v>
      </c>
      <c r="E88" s="13" t="str">
        <f aca="false">IF(B88&lt;5,"Acidic",IF(B88&lt;9,"Near-neutral","Alkaline"))</f>
        <v>Acidic</v>
      </c>
    </row>
    <row r="89" customFormat="false" ht="15" hidden="false" customHeight="false" outlineLevel="0" collapsed="false">
      <c r="A89" s="23" t="n">
        <v>1.26063031515758</v>
      </c>
      <c r="B89" s="18" t="n">
        <v>2.22381965682604</v>
      </c>
      <c r="C89" s="23" t="n">
        <v>0.185510412481619</v>
      </c>
      <c r="D89" s="23" t="n">
        <v>12.3266297404902</v>
      </c>
      <c r="E89" s="13" t="str">
        <f aca="false">IF(B89&lt;5,"Acidic",IF(B89&lt;9,"Near-neutral","Alkaline"))</f>
        <v>Acidic</v>
      </c>
    </row>
    <row r="90" customFormat="false" ht="15" hidden="false" customHeight="false" outlineLevel="0" collapsed="false">
      <c r="A90" s="23" t="n">
        <v>1.27563781890946</v>
      </c>
      <c r="B90" s="18" t="n">
        <v>2.22660596343913</v>
      </c>
      <c r="C90" s="23" t="n">
        <v>0.185812521765257</v>
      </c>
      <c r="D90" s="23" t="n">
        <v>12.3266297404902</v>
      </c>
      <c r="E90" s="13" t="str">
        <f aca="false">IF(B90&lt;5,"Acidic",IF(B90&lt;9,"Near-neutral","Alkaline"))</f>
        <v>Acidic</v>
      </c>
    </row>
    <row r="91" customFormat="false" ht="15" hidden="false" customHeight="false" outlineLevel="0" collapsed="false">
      <c r="A91" s="23" t="n">
        <v>1.29064532266133</v>
      </c>
      <c r="B91" s="18" t="n">
        <v>2.22939683823866</v>
      </c>
      <c r="C91" s="23" t="n">
        <v>0.186119209487345</v>
      </c>
      <c r="D91" s="23" t="n">
        <v>12.3266297404902</v>
      </c>
      <c r="E91" s="13" t="str">
        <f aca="false">IF(B91&lt;5,"Acidic",IF(B91&lt;9,"Near-neutral","Alkaline"))</f>
        <v>Acidic</v>
      </c>
    </row>
    <row r="92" customFormat="false" ht="15" hidden="false" customHeight="false" outlineLevel="0" collapsed="false">
      <c r="A92" s="23" t="n">
        <v>1.30565282641321</v>
      </c>
      <c r="B92" s="18" t="n">
        <v>2.23219235023797</v>
      </c>
      <c r="C92" s="23" t="n">
        <v>0.186430516147482</v>
      </c>
      <c r="D92" s="23" t="n">
        <v>12.3266297404902</v>
      </c>
      <c r="E92" s="13" t="str">
        <f aca="false">IF(B92&lt;5,"Acidic",IF(B92&lt;9,"Near-neutral","Alkaline"))</f>
        <v>Acidic</v>
      </c>
    </row>
    <row r="93" customFormat="false" ht="15" hidden="false" customHeight="false" outlineLevel="0" collapsed="false">
      <c r="A93" s="23" t="n">
        <v>1.32066033016508</v>
      </c>
      <c r="B93" s="18" t="n">
        <v>2.23499256906422</v>
      </c>
      <c r="C93" s="23" t="n">
        <v>0.186746483051707</v>
      </c>
      <c r="D93" s="23" t="n">
        <v>12.3266297404902</v>
      </c>
      <c r="E93" s="13" t="str">
        <f aca="false">IF(B93&lt;5,"Acidic",IF(B93&lt;9,"Near-neutral","Alkaline"))</f>
        <v>Acidic</v>
      </c>
    </row>
    <row r="94" customFormat="false" ht="15" hidden="false" customHeight="false" outlineLevel="0" collapsed="false">
      <c r="A94" s="23" t="n">
        <v>1.33566783391696</v>
      </c>
      <c r="B94" s="18" t="n">
        <v>2.23779756497059</v>
      </c>
      <c r="C94" s="23" t="n">
        <v>0.187067152327558</v>
      </c>
      <c r="D94" s="23" t="n">
        <v>12.3266297404902</v>
      </c>
      <c r="E94" s="13" t="str">
        <f aca="false">IF(B94&lt;5,"Acidic",IF(B94&lt;9,"Near-neutral","Alkaline"))</f>
        <v>Acidic</v>
      </c>
    </row>
    <row r="95" customFormat="false" ht="15" hidden="false" customHeight="false" outlineLevel="0" collapsed="false">
      <c r="A95" s="23" t="n">
        <v>1.35067533766884</v>
      </c>
      <c r="B95" s="18" t="n">
        <v>2.24060740884875</v>
      </c>
      <c r="C95" s="23" t="n">
        <v>0.187392566939252</v>
      </c>
      <c r="D95" s="23" t="n">
        <v>12.3266297404902</v>
      </c>
      <c r="E95" s="13" t="str">
        <f aca="false">IF(B95&lt;5,"Acidic",IF(B95&lt;9,"Near-neutral","Alkaline"))</f>
        <v>Acidic</v>
      </c>
    </row>
    <row r="96" customFormat="false" ht="15" hidden="false" customHeight="false" outlineLevel="0" collapsed="false">
      <c r="A96" s="23" t="n">
        <v>1.36568284142071</v>
      </c>
      <c r="B96" s="18" t="n">
        <v>2.24342217224152</v>
      </c>
      <c r="C96" s="23" t="n">
        <v>0.187722770703033</v>
      </c>
      <c r="D96" s="23" t="n">
        <v>12.3266297404902</v>
      </c>
      <c r="E96" s="13" t="str">
        <f aca="false">IF(B96&lt;5,"Acidic",IF(B96&lt;9,"Near-neutral","Alkaline"))</f>
        <v>Acidic</v>
      </c>
    </row>
    <row r="97" customFormat="false" ht="15" hidden="false" customHeight="false" outlineLevel="0" collapsed="false">
      <c r="A97" s="23" t="n">
        <v>1.38069034517259</v>
      </c>
      <c r="B97" s="18" t="n">
        <v>2.24624192735577</v>
      </c>
      <c r="C97" s="23" t="n">
        <v>0.188057808303455</v>
      </c>
      <c r="D97" s="23" t="n">
        <v>12.3266297404902</v>
      </c>
      <c r="E97" s="13" t="str">
        <f aca="false">IF(B97&lt;5,"Acidic",IF(B97&lt;9,"Near-neutral","Alkaline"))</f>
        <v>Acidic</v>
      </c>
    </row>
    <row r="98" customFormat="false" ht="15" hidden="false" customHeight="false" outlineLevel="0" collapsed="false">
      <c r="A98" s="23" t="n">
        <v>1.39569784892446</v>
      </c>
      <c r="B98" s="18" t="n">
        <v>2.2490667470756</v>
      </c>
      <c r="C98" s="23" t="n">
        <v>0.188397725309613</v>
      </c>
      <c r="D98" s="23" t="n">
        <v>12.3266297404902</v>
      </c>
      <c r="E98" s="13" t="str">
        <f aca="false">IF(B98&lt;5,"Acidic",IF(B98&lt;9,"Near-neutral","Alkaline"))</f>
        <v>Acidic</v>
      </c>
    </row>
    <row r="99" customFormat="false" ht="15" hidden="false" customHeight="false" outlineLevel="0" collapsed="false">
      <c r="A99" s="23" t="n">
        <v>1.41070535267634</v>
      </c>
      <c r="B99" s="18" t="n">
        <v>2.25189670497569</v>
      </c>
      <c r="C99" s="23" t="n">
        <v>0.188742568191969</v>
      </c>
      <c r="D99" s="23" t="n">
        <v>12.3266297404902</v>
      </c>
      <c r="E99" s="13" t="str">
        <f aca="false">IF(B99&lt;5,"Acidic",IF(B99&lt;9,"Near-neutral","Alkaline"))</f>
        <v>Acidic</v>
      </c>
    </row>
    <row r="100" customFormat="false" ht="15" hidden="false" customHeight="false" outlineLevel="0" collapsed="false">
      <c r="A100" s="23" t="n">
        <v>1.42571285642821</v>
      </c>
      <c r="B100" s="18" t="n">
        <v>2.25473187533501</v>
      </c>
      <c r="C100" s="23" t="n">
        <v>0.189092384339801</v>
      </c>
      <c r="D100" s="23" t="n">
        <v>12.3266297404902</v>
      </c>
      <c r="E100" s="13" t="str">
        <f aca="false">IF(B100&lt;5,"Acidic",IF(B100&lt;9,"Near-neutral","Alkaline"))</f>
        <v>Acidic</v>
      </c>
    </row>
    <row r="101" customFormat="false" ht="15" hidden="false" customHeight="false" outlineLevel="0" collapsed="false">
      <c r="A101" s="23" t="n">
        <v>1.44072036018009</v>
      </c>
      <c r="B101" s="18" t="n">
        <v>2.25757233315072</v>
      </c>
      <c r="C101" s="23" t="n">
        <v>0.189447222078684</v>
      </c>
      <c r="D101" s="23" t="n">
        <v>12.3266297404902</v>
      </c>
      <c r="E101" s="13" t="str">
        <f aca="false">IF(B101&lt;5,"Acidic",IF(B101&lt;9,"Near-neutral","Alkaline"))</f>
        <v>Acidic</v>
      </c>
    </row>
    <row r="102" customFormat="false" ht="15" hidden="false" customHeight="false" outlineLevel="0" collapsed="false">
      <c r="A102" s="23" t="n">
        <v>1.45572786393197</v>
      </c>
      <c r="B102" s="18" t="n">
        <v>2.26041815415232</v>
      </c>
      <c r="C102" s="23" t="n">
        <v>0.189807130689019</v>
      </c>
      <c r="D102" s="23" t="n">
        <v>12.3266297404902</v>
      </c>
      <c r="E102" s="13" t="str">
        <f aca="false">IF(B102&lt;5,"Acidic",IF(B102&lt;9,"Near-neutral","Alkaline"))</f>
        <v>Acidic</v>
      </c>
    </row>
    <row r="103" customFormat="false" ht="15" hidden="false" customHeight="false" outlineLevel="0" collapsed="false">
      <c r="A103" s="23" t="n">
        <v>1.47073536768384</v>
      </c>
      <c r="B103" s="18" t="n">
        <v>2.26326941481621</v>
      </c>
      <c r="C103" s="23" t="n">
        <v>0.190172160424538</v>
      </c>
      <c r="D103" s="23" t="n">
        <v>12.3266297404902</v>
      </c>
      <c r="E103" s="13" t="str">
        <f aca="false">IF(B103&lt;5,"Acidic",IF(B103&lt;9,"Near-neutral","Alkaline"))</f>
        <v>Acidic</v>
      </c>
    </row>
    <row r="104" customFormat="false" ht="15" hidden="false" customHeight="false" outlineLevel="0" collapsed="false">
      <c r="A104" s="23" t="n">
        <v>1.48574287143572</v>
      </c>
      <c r="B104" s="18" t="n">
        <v>2.26612619238033</v>
      </c>
      <c r="C104" s="23" t="n">
        <v>0.190542362531687</v>
      </c>
      <c r="D104" s="23" t="n">
        <v>12.3266297404902</v>
      </c>
      <c r="E104" s="13" t="str">
        <f aca="false">IF(B104&lt;5,"Acidic",IF(B104&lt;9,"Near-neutral","Alkaline"))</f>
        <v>Acidic</v>
      </c>
    </row>
    <row r="105" customFormat="false" ht="15" hidden="false" customHeight="false" outlineLevel="0" collapsed="false">
      <c r="A105" s="23" t="n">
        <v>1.50075037518759</v>
      </c>
      <c r="B105" s="18" t="n">
        <v>2.2689885648593</v>
      </c>
      <c r="C105" s="23" t="n">
        <v>0.190917789269093</v>
      </c>
      <c r="D105" s="23" t="n">
        <v>12.3266297404902</v>
      </c>
      <c r="E105" s="13" t="str">
        <f aca="false">IF(B105&lt;5,"Acidic",IF(B105&lt;9,"Near-neutral","Alkaline"))</f>
        <v>Acidic</v>
      </c>
    </row>
    <row r="106" customFormat="false" ht="15" hidden="false" customHeight="false" outlineLevel="0" collapsed="false">
      <c r="A106" s="23" t="n">
        <v>1.51575787893947</v>
      </c>
      <c r="B106" s="18" t="n">
        <v>2.2718566110597</v>
      </c>
      <c r="C106" s="23" t="n">
        <v>0.191298493928088</v>
      </c>
      <c r="D106" s="23" t="n">
        <v>12.3266297404902</v>
      </c>
      <c r="E106" s="13" t="str">
        <f aca="false">IF(B106&lt;5,"Acidic",IF(B106&lt;9,"Near-neutral","Alkaline"))</f>
        <v>Acidic</v>
      </c>
    </row>
    <row r="107" customFormat="false" ht="15" hidden="false" customHeight="false" outlineLevel="0" collapsed="false">
      <c r="A107" s="23" t="n">
        <v>1.53076538269135</v>
      </c>
      <c r="B107" s="18" t="n">
        <v>2.27473041059576</v>
      </c>
      <c r="C107" s="23" t="n">
        <v>0.191684530853479</v>
      </c>
      <c r="D107" s="23" t="n">
        <v>12.3266297404902</v>
      </c>
      <c r="E107" s="13" t="str">
        <f aca="false">IF(B107&lt;5,"Acidic",IF(B107&lt;9,"Near-neutral","Alkaline"))</f>
        <v>Acidic</v>
      </c>
    </row>
    <row r="108" customFormat="false" ht="15" hidden="false" customHeight="false" outlineLevel="0" collapsed="false">
      <c r="A108" s="23" t="n">
        <v>1.54577288644322</v>
      </c>
      <c r="B108" s="18" t="n">
        <v>2.27761004390529</v>
      </c>
      <c r="C108" s="23" t="n">
        <v>0.192075955464702</v>
      </c>
      <c r="D108" s="23" t="n">
        <v>12.3266297404902</v>
      </c>
      <c r="E108" s="13" t="str">
        <f aca="false">IF(B108&lt;5,"Acidic",IF(B108&lt;9,"Near-neutral","Alkaline"))</f>
        <v>Acidic</v>
      </c>
    </row>
    <row r="109" customFormat="false" ht="15" hidden="false" customHeight="false" outlineLevel="0" collapsed="false">
      <c r="A109" s="23" t="n">
        <v>1.5607803901951</v>
      </c>
      <c r="B109" s="18" t="n">
        <v>2.28049559226603</v>
      </c>
      <c r="C109" s="23" t="n">
        <v>0.192472824278042</v>
      </c>
      <c r="D109" s="23" t="n">
        <v>12.3266297404902</v>
      </c>
      <c r="E109" s="13" t="str">
        <f aca="false">IF(B109&lt;5,"Acidic",IF(B109&lt;9,"Near-neutral","Alkaline"))</f>
        <v>Acidic</v>
      </c>
    </row>
    <row r="110" customFormat="false" ht="15" hidden="false" customHeight="false" outlineLevel="0" collapsed="false">
      <c r="A110" s="23" t="n">
        <v>1.57578789394697</v>
      </c>
      <c r="B110" s="18" t="n">
        <v>2.28338713781221</v>
      </c>
      <c r="C110" s="23" t="n">
        <v>0.192875194929059</v>
      </c>
      <c r="D110" s="23" t="n">
        <v>12.3266297404902</v>
      </c>
      <c r="E110" s="13" t="str">
        <f aca="false">IF(B110&lt;5,"Acidic",IF(B110&lt;9,"Near-neutral","Alkaline"))</f>
        <v>Acidic</v>
      </c>
    </row>
    <row r="111" customFormat="false" ht="15" hidden="false" customHeight="false" outlineLevel="0" collapsed="false">
      <c r="A111" s="23" t="n">
        <v>1.59079539769885</v>
      </c>
      <c r="B111" s="18" t="n">
        <v>2.28628476355158</v>
      </c>
      <c r="C111" s="23" t="n">
        <v>0.193283126195723</v>
      </c>
      <c r="D111" s="23" t="n">
        <v>12.3266297404902</v>
      </c>
      <c r="E111" s="13" t="str">
        <f aca="false">IF(B111&lt;5,"Acidic",IF(B111&lt;9,"Near-neutral","Alkaline"))</f>
        <v>Acidic</v>
      </c>
    </row>
    <row r="112" customFormat="false" ht="15" hidden="false" customHeight="false" outlineLevel="0" collapsed="false">
      <c r="A112" s="23" t="n">
        <v>1.60580290145073</v>
      </c>
      <c r="B112" s="18" t="n">
        <v>2.28918855338269</v>
      </c>
      <c r="C112" s="23" t="n">
        <v>0.193696678022349</v>
      </c>
      <c r="D112" s="23" t="n">
        <v>12.3266297404902</v>
      </c>
      <c r="E112" s="13" t="str">
        <f aca="false">IF(B112&lt;5,"Acidic",IF(B112&lt;9,"Near-neutral","Alkaline"))</f>
        <v>Acidic</v>
      </c>
    </row>
    <row r="113" customFormat="false" ht="15" hidden="false" customHeight="false" outlineLevel="0" collapsed="false">
      <c r="A113" s="23" t="n">
        <v>1.6208104052026</v>
      </c>
      <c r="B113" s="18" t="n">
        <v>2.2920985921126</v>
      </c>
      <c r="C113" s="23" t="n">
        <v>0.194115911543833</v>
      </c>
      <c r="D113" s="23" t="n">
        <v>12.3266297404902</v>
      </c>
      <c r="E113" s="13" t="str">
        <f aca="false">IF(B113&lt;5,"Acidic",IF(B113&lt;9,"Near-neutral","Alkaline"))</f>
        <v>Acidic</v>
      </c>
    </row>
    <row r="114" customFormat="false" ht="15" hidden="false" customHeight="false" outlineLevel="0" collapsed="false">
      <c r="A114" s="23" t="n">
        <v>1.63581790895448</v>
      </c>
      <c r="B114" s="18" t="n">
        <v>2.29501496547493</v>
      </c>
      <c r="C114" s="23" t="n">
        <v>0.194540889111067</v>
      </c>
      <c r="D114" s="23" t="n">
        <v>12.3266297404902</v>
      </c>
      <c r="E114" s="13" t="str">
        <f aca="false">IF(B114&lt;5,"Acidic",IF(B114&lt;9,"Near-neutral","Alkaline"))</f>
        <v>Acidic</v>
      </c>
    </row>
    <row r="115" customFormat="false" ht="15" hidden="false" customHeight="false" outlineLevel="0" collapsed="false">
      <c r="A115" s="23" t="n">
        <v>1.65082541270635</v>
      </c>
      <c r="B115" s="18" t="n">
        <v>2.2979377601483</v>
      </c>
      <c r="C115" s="23" t="n">
        <v>0.194971674316548</v>
      </c>
      <c r="D115" s="23" t="n">
        <v>12.3266297404902</v>
      </c>
      <c r="E115" s="13" t="str">
        <f aca="false">IF(B115&lt;5,"Acidic",IF(B115&lt;9,"Near-neutral","Alkaline"))</f>
        <v>Acidic</v>
      </c>
    </row>
    <row r="116" customFormat="false" ht="15" hidden="false" customHeight="false" outlineLevel="0" collapsed="false">
      <c r="A116" s="23" t="n">
        <v>1.66583291645823</v>
      </c>
      <c r="B116" s="18" t="n">
        <v>2.30086706377514</v>
      </c>
      <c r="C116" s="23" t="n">
        <v>0.195408332020918</v>
      </c>
      <c r="D116" s="23" t="n">
        <v>12.3266297404902</v>
      </c>
      <c r="E116" s="13" t="str">
        <f aca="false">IF(B116&lt;5,"Acidic",IF(B116&lt;9,"Near-neutral","Alkaline"))</f>
        <v>Acidic</v>
      </c>
    </row>
    <row r="117" customFormat="false" ht="15" hidden="false" customHeight="false" outlineLevel="0" collapsed="false">
      <c r="A117" s="23" t="n">
        <v>1.68084042021011</v>
      </c>
      <c r="B117" s="18" t="n">
        <v>2.30380296498099</v>
      </c>
      <c r="C117" s="23" t="n">
        <v>0.195850928380423</v>
      </c>
      <c r="D117" s="23" t="n">
        <v>12.3266297404902</v>
      </c>
      <c r="E117" s="13" t="str">
        <f aca="false">IF(B117&lt;5,"Acidic",IF(B117&lt;9,"Near-neutral","Alkaline"))</f>
        <v>Acidic</v>
      </c>
    </row>
    <row r="118" customFormat="false" ht="15" hidden="false" customHeight="false" outlineLevel="0" collapsed="false">
      <c r="A118" s="23" t="n">
        <v>1.69584792396198</v>
      </c>
      <c r="B118" s="18" t="n">
        <v>2.30674555339405</v>
      </c>
      <c r="C118" s="23" t="n">
        <v>0.196299530874711</v>
      </c>
      <c r="D118" s="23" t="n">
        <v>12.3266297404902</v>
      </c>
      <c r="E118" s="13" t="str">
        <f aca="false">IF(B118&lt;5,"Acidic",IF(B118&lt;9,"Near-neutral","Alkaline"))</f>
        <v>Acidic</v>
      </c>
    </row>
    <row r="119" customFormat="false" ht="15" hidden="false" customHeight="false" outlineLevel="0" collapsed="false">
      <c r="A119" s="23" t="n">
        <v>1.71085542771386</v>
      </c>
      <c r="B119" s="18" t="n">
        <v>2.30969491966537</v>
      </c>
      <c r="C119" s="23" t="n">
        <v>0.196754208335904</v>
      </c>
      <c r="D119" s="23" t="n">
        <v>12.3266297404902</v>
      </c>
      <c r="E119" s="13" t="str">
        <f aca="false">IF(B119&lt;5,"Acidic",IF(B119&lt;9,"Near-neutral","Alkaline"))</f>
        <v>Acidic</v>
      </c>
    </row>
    <row r="120" customFormat="false" ht="15" hidden="false" customHeight="false" outlineLevel="0" collapsed="false">
      <c r="A120" s="23" t="n">
        <v>1.72586293146573</v>
      </c>
      <c r="B120" s="18" t="n">
        <v>2.31265115548928</v>
      </c>
      <c r="C120" s="23" t="n">
        <v>0.197215030978185</v>
      </c>
      <c r="D120" s="23" t="n">
        <v>12.3266297404902</v>
      </c>
      <c r="E120" s="13" t="str">
        <f aca="false">IF(B120&lt;5,"Acidic",IF(B120&lt;9,"Near-neutral","Alkaline"))</f>
        <v>Acidic</v>
      </c>
    </row>
    <row r="121" customFormat="false" ht="15" hidden="false" customHeight="false" outlineLevel="0" collapsed="false">
      <c r="A121" s="23" t="n">
        <v>1.74087043521761</v>
      </c>
      <c r="B121" s="18" t="n">
        <v>2.31561435362439</v>
      </c>
      <c r="C121" s="23" t="n">
        <v>0.197682070427987</v>
      </c>
      <c r="D121" s="23" t="n">
        <v>12.3266297404902</v>
      </c>
      <c r="E121" s="13" t="str">
        <f aca="false">IF(B121&lt;5,"Acidic",IF(B121&lt;9,"Near-neutral","Alkaline"))</f>
        <v>Acidic</v>
      </c>
    </row>
    <row r="122" customFormat="false" ht="15" hidden="false" customHeight="false" outlineLevel="0" collapsed="false">
      <c r="A122" s="23" t="n">
        <v>1.75587793896949</v>
      </c>
      <c r="B122" s="18" t="n">
        <v>2.31858460791503</v>
      </c>
      <c r="C122" s="23" t="n">
        <v>0.198155399755734</v>
      </c>
      <c r="D122" s="23" t="n">
        <v>12.3266297404902</v>
      </c>
      <c r="E122" s="13" t="str">
        <f aca="false">IF(B122&lt;5,"Acidic",IF(B122&lt;9,"Near-neutral","Alkaline"))</f>
        <v>Acidic</v>
      </c>
    </row>
    <row r="123" customFormat="false" ht="15" hidden="false" customHeight="false" outlineLevel="0" collapsed="false">
      <c r="A123" s="23" t="n">
        <v>1.77088544272136</v>
      </c>
      <c r="B123" s="18" t="n">
        <v>2.32156201331314</v>
      </c>
      <c r="C123" s="23" t="n">
        <v>0.198635093507932</v>
      </c>
      <c r="D123" s="23" t="n">
        <v>12.3266297404902</v>
      </c>
      <c r="E123" s="13" t="str">
        <f aca="false">IF(B123&lt;5,"Acidic",IF(B123&lt;9,"Near-neutral","Alkaline"))</f>
        <v>Acidic</v>
      </c>
    </row>
    <row r="124" customFormat="false" ht="15" hidden="false" customHeight="false" outlineLevel="0" collapsed="false">
      <c r="A124" s="23" t="n">
        <v>1.78589294647324</v>
      </c>
      <c r="B124" s="18" t="n">
        <v>2.3245466659007</v>
      </c>
      <c r="C124" s="23" t="n">
        <v>0.199121227740164</v>
      </c>
      <c r="D124" s="23" t="n">
        <v>12.3266297404902</v>
      </c>
      <c r="E124" s="13" t="str">
        <f aca="false">IF(B124&lt;5,"Acidic",IF(B124&lt;9,"Near-neutral","Alkaline"))</f>
        <v>Acidic</v>
      </c>
    </row>
    <row r="125" customFormat="false" ht="15" hidden="false" customHeight="false" outlineLevel="0" collapsed="false">
      <c r="A125" s="23" t="n">
        <v>1.80090045022511</v>
      </c>
      <c r="B125" s="18" t="n">
        <v>2.32753866291257</v>
      </c>
      <c r="C125" s="23" t="n">
        <v>0.199613880051487</v>
      </c>
      <c r="D125" s="23" t="n">
        <v>12.3266297404902</v>
      </c>
      <c r="E125" s="13" t="str">
        <f aca="false">IF(B125&lt;5,"Acidic",IF(B125&lt;9,"Near-neutral","Alkaline"))</f>
        <v>Acidic</v>
      </c>
    </row>
    <row r="126" customFormat="false" ht="15" hidden="false" customHeight="false" outlineLevel="0" collapsed="false">
      <c r="A126" s="23" t="n">
        <v>1.81590795397699</v>
      </c>
      <c r="B126" s="18" t="n">
        <v>2.33053810276</v>
      </c>
      <c r="C126" s="23" t="n">
        <v>0.200113129619183</v>
      </c>
      <c r="D126" s="23" t="n">
        <v>12.3266297404902</v>
      </c>
      <c r="E126" s="13" t="str">
        <f aca="false">IF(B126&lt;5,"Acidic",IF(B126&lt;9,"Near-neutral","Alkaline"))</f>
        <v>Acidic</v>
      </c>
    </row>
    <row r="127" customFormat="false" ht="15" hidden="false" customHeight="false" outlineLevel="0" collapsed="false">
      <c r="A127" s="23" t="n">
        <v>1.83091545772886</v>
      </c>
      <c r="B127" s="18" t="n">
        <v>2.33354508505451</v>
      </c>
      <c r="C127" s="23" t="n">
        <v>0.200619057235201</v>
      </c>
      <c r="D127" s="23" t="n">
        <v>12.3266297404902</v>
      </c>
      <c r="E127" s="13" t="str">
        <f aca="false">IF(B127&lt;5,"Acidic",IF(B127&lt;9,"Near-neutral","Alkaline"))</f>
        <v>Acidic</v>
      </c>
    </row>
    <row r="128" customFormat="false" ht="15" hidden="false" customHeight="false" outlineLevel="0" collapsed="false">
      <c r="A128" s="23" t="n">
        <v>1.84592296148074</v>
      </c>
      <c r="B128" s="18" t="n">
        <v>2.33655971063244</v>
      </c>
      <c r="C128" s="23" t="n">
        <v>0.20113174534302</v>
      </c>
      <c r="D128" s="23" t="n">
        <v>12.3266297404902</v>
      </c>
      <c r="E128" s="13" t="str">
        <f aca="false">IF(B128&lt;5,"Acidic",IF(B128&lt;9,"Near-neutral","Alkaline"))</f>
        <v>Acidic</v>
      </c>
    </row>
    <row r="129" customFormat="false" ht="15" hidden="false" customHeight="false" outlineLevel="0" collapsed="false">
      <c r="A129" s="23" t="n">
        <v>1.86093046523262</v>
      </c>
      <c r="B129" s="18" t="n">
        <v>2.33958208158001</v>
      </c>
      <c r="C129" s="23" t="n">
        <v>0.201651278075985</v>
      </c>
      <c r="D129" s="23" t="n">
        <v>12.3266297404902</v>
      </c>
      <c r="E129" s="13" t="str">
        <f aca="false">IF(B129&lt;5,"Acidic",IF(B129&lt;9,"Near-neutral","Alkaline"))</f>
        <v>Acidic</v>
      </c>
    </row>
    <row r="130" customFormat="false" ht="15" hidden="false" customHeight="false" outlineLevel="0" collapsed="false">
      <c r="A130" s="23" t="n">
        <v>1.87593796898449</v>
      </c>
      <c r="B130" s="18" t="n">
        <v>2.34261230125895</v>
      </c>
      <c r="C130" s="23" t="n">
        <v>0.202177741296822</v>
      </c>
      <c r="D130" s="23" t="n">
        <v>12.3266297404902</v>
      </c>
      <c r="E130" s="13" t="str">
        <f aca="false">IF(B130&lt;5,"Acidic",IF(B130&lt;9,"Near-neutral","Alkaline"))</f>
        <v>Acidic</v>
      </c>
    </row>
    <row r="131" customFormat="false" ht="15" hidden="false" customHeight="false" outlineLevel="0" collapsed="false">
      <c r="A131" s="23" t="n">
        <v>1.89094547273637</v>
      </c>
      <c r="B131" s="18" t="n">
        <v>2.34565047433281</v>
      </c>
      <c r="C131" s="23" t="n">
        <v>0.202711222637788</v>
      </c>
      <c r="D131" s="23" t="n">
        <v>12.3266297404902</v>
      </c>
      <c r="E131" s="13" t="str">
        <f aca="false">IF(B131&lt;5,"Acidic",IF(B131&lt;9,"Near-neutral","Alkaline"))</f>
        <v>Acidic</v>
      </c>
    </row>
    <row r="132" customFormat="false" ht="15" hidden="false" customHeight="false" outlineLevel="0" collapsed="false">
      <c r="A132" s="23" t="n">
        <v>1.90595297648824</v>
      </c>
      <c r="B132" s="18" t="n">
        <v>2.34869670679378</v>
      </c>
      <c r="C132" s="23" t="n">
        <v>0.203251811542714</v>
      </c>
      <c r="D132" s="23" t="n">
        <v>12.3266297404902</v>
      </c>
      <c r="E132" s="13" t="str">
        <f aca="false">IF(B132&lt;5,"Acidic",IF(B132&lt;9,"Near-neutral","Alkaline"))</f>
        <v>Acidic</v>
      </c>
    </row>
    <row r="133" customFormat="false" ht="15" hidden="false" customHeight="false" outlineLevel="0" collapsed="false">
      <c r="A133" s="23" t="n">
        <v>1.92096048024012</v>
      </c>
      <c r="B133" s="18" t="n">
        <v>2.35175110599021</v>
      </c>
      <c r="C133" s="23" t="n">
        <v>0.20379959930969</v>
      </c>
      <c r="D133" s="23" t="n">
        <v>12.3266297404902</v>
      </c>
      <c r="E133" s="13" t="str">
        <f aca="false">IF(B133&lt;5,"Acidic",IF(B133&lt;9,"Near-neutral","Alkaline"))</f>
        <v>Acidic</v>
      </c>
    </row>
    <row r="134" customFormat="false" ht="15" hidden="false" customHeight="false" outlineLevel="0" collapsed="false">
      <c r="A134" s="23" t="n">
        <v>1.935967983992</v>
      </c>
      <c r="B134" s="18" t="n">
        <v>2.35481378065477</v>
      </c>
      <c r="C134" s="23" t="n">
        <v>0.204354679135491</v>
      </c>
      <c r="D134" s="23" t="n">
        <v>12.3266297404902</v>
      </c>
      <c r="E134" s="13" t="str">
        <f aca="false">IF(B134&lt;5,"Acidic",IF(B134&lt;9,"Near-neutral","Alkaline"))</f>
        <v>Acidic</v>
      </c>
    </row>
    <row r="135" customFormat="false" ht="15" hidden="false" customHeight="false" outlineLevel="0" collapsed="false">
      <c r="A135" s="23" t="n">
        <v>1.95097548774387</v>
      </c>
      <c r="B135" s="18" t="n">
        <v>2.35788484093328</v>
      </c>
      <c r="C135" s="23" t="n">
        <v>0.204917146160881</v>
      </c>
      <c r="D135" s="23" t="n">
        <v>12.3266297404902</v>
      </c>
      <c r="E135" s="13" t="str">
        <f aca="false">IF(B135&lt;5,"Acidic",IF(B135&lt;9,"Near-neutral","Alkaline"))</f>
        <v>Acidic</v>
      </c>
    </row>
    <row r="136" customFormat="false" ht="15" hidden="false" customHeight="false" outlineLevel="0" collapsed="false">
      <c r="A136" s="23" t="n">
        <v>1.96598299149575</v>
      </c>
      <c r="B136" s="18" t="n">
        <v>2.36096439841424</v>
      </c>
      <c r="C136" s="23" t="n">
        <v>0.205487097517676</v>
      </c>
      <c r="D136" s="23" t="n">
        <v>12.3266297404902</v>
      </c>
      <c r="E136" s="13" t="str">
        <f aca="false">IF(B136&lt;5,"Acidic",IF(B136&lt;9,"Near-neutral","Alkaline"))</f>
        <v>Acidic</v>
      </c>
    </row>
    <row r="137" customFormat="false" ht="15" hidden="false" customHeight="false" outlineLevel="0" collapsed="false">
      <c r="A137" s="23" t="n">
        <v>1.98099049524762</v>
      </c>
      <c r="B137" s="18" t="n">
        <v>2.36405256615907</v>
      </c>
      <c r="C137" s="23" t="n">
        <v>0.206064632377149</v>
      </c>
      <c r="D137" s="23" t="n">
        <v>12.3266297404902</v>
      </c>
      <c r="E137" s="13" t="str">
        <f aca="false">IF(B137&lt;5,"Acidic",IF(B137&lt;9,"Near-neutral","Alkaline"))</f>
        <v>Acidic</v>
      </c>
    </row>
    <row r="138" customFormat="false" ht="15" hidden="false" customHeight="false" outlineLevel="0" collapsed="false">
      <c r="A138" s="23" t="n">
        <v>1.9959979989995</v>
      </c>
      <c r="B138" s="18" t="n">
        <v>2.36714945873307</v>
      </c>
      <c r="C138" s="23" t="n">
        <v>0.206649851999345</v>
      </c>
      <c r="D138" s="23" t="n">
        <v>12.3266297404902</v>
      </c>
      <c r="E138" s="13" t="str">
        <f aca="false">IF(B138&lt;5,"Acidic",IF(B138&lt;9,"Near-neutral","Alkaline"))</f>
        <v>Acidic</v>
      </c>
    </row>
    <row r="139" customFormat="false" ht="15" hidden="false" customHeight="false" outlineLevel="0" collapsed="false">
      <c r="A139" s="23" t="n">
        <v>2.01100550275138</v>
      </c>
      <c r="B139" s="18" t="n">
        <v>2.37025519223719</v>
      </c>
      <c r="C139" s="23" t="n">
        <v>0.207242859785112</v>
      </c>
      <c r="D139" s="23" t="n">
        <v>12.3266297404902</v>
      </c>
      <c r="E139" s="13" t="str">
        <f aca="false">IF(B139&lt;5,"Acidic",IF(B139&lt;9,"Near-neutral","Alkaline"))</f>
        <v>Acidic</v>
      </c>
    </row>
    <row r="140" customFormat="false" ht="15" hidden="false" customHeight="false" outlineLevel="0" collapsed="false">
      <c r="A140" s="23" t="n">
        <v>2.02601300650325</v>
      </c>
      <c r="B140" s="18" t="n">
        <v>2.37336988434049</v>
      </c>
      <c r="C140" s="23" t="n">
        <v>0.207843761328178</v>
      </c>
      <c r="D140" s="23" t="n">
        <v>12.3266297404902</v>
      </c>
      <c r="E140" s="13" t="str">
        <f aca="false">IF(B140&lt;5,"Acidic",IF(B140&lt;9,"Near-neutral","Alkaline"))</f>
        <v>Acidic</v>
      </c>
    </row>
    <row r="141" customFormat="false" ht="15" hidden="false" customHeight="false" outlineLevel="0" collapsed="false">
      <c r="A141" s="23" t="n">
        <v>2.04102051025513</v>
      </c>
      <c r="B141" s="18" t="n">
        <v>2.37649365431353</v>
      </c>
      <c r="C141" s="23" t="n">
        <v>0.208452664470343</v>
      </c>
      <c r="D141" s="23" t="n">
        <v>12.3266297404902</v>
      </c>
      <c r="E141" s="13" t="str">
        <f aca="false">IF(B141&lt;5,"Acidic",IF(B141&lt;9,"Near-neutral","Alkaline"))</f>
        <v>Acidic</v>
      </c>
    </row>
    <row r="142" customFormat="false" ht="15" hidden="false" customHeight="false" outlineLevel="0" collapsed="false">
      <c r="A142" s="23" t="n">
        <v>2.056028014007</v>
      </c>
      <c r="B142" s="18" t="n">
        <v>2.37962662306245</v>
      </c>
      <c r="C142" s="23" t="n">
        <v>0.209069679356958</v>
      </c>
      <c r="D142" s="23" t="n">
        <v>12.3266297404902</v>
      </c>
      <c r="E142" s="13" t="str">
        <f aca="false">IF(B142&lt;5,"Acidic",IF(B142&lt;9,"Near-neutral","Alkaline"))</f>
        <v>Acidic</v>
      </c>
    </row>
    <row r="143" customFormat="false" ht="15" hidden="false" customHeight="false" outlineLevel="0" collapsed="false">
      <c r="A143" s="23" t="n">
        <v>2.07103551775888</v>
      </c>
      <c r="B143" s="18" t="n">
        <v>2.38276891316404</v>
      </c>
      <c r="C143" s="23" t="n">
        <v>0.209694918495472</v>
      </c>
      <c r="D143" s="23" t="n">
        <v>12.3266297404902</v>
      </c>
      <c r="E143" s="13" t="str">
        <f aca="false">IF(B143&lt;5,"Acidic",IF(B143&lt;9,"Near-neutral","Alkaline"))</f>
        <v>Acidic</v>
      </c>
    </row>
    <row r="144" customFormat="false" ht="15" hidden="false" customHeight="false" outlineLevel="0" collapsed="false">
      <c r="A144" s="23" t="n">
        <v>2.08604302151076</v>
      </c>
      <c r="B144" s="18" t="n">
        <v>2.38592064890158</v>
      </c>
      <c r="C144" s="23" t="n">
        <v>0.21032849681481</v>
      </c>
      <c r="D144" s="23" t="n">
        <v>12.3266297404902</v>
      </c>
      <c r="E144" s="13" t="str">
        <f aca="false">IF(B144&lt;5,"Acidic",IF(B144&lt;9,"Near-neutral","Alkaline"))</f>
        <v>Acidic</v>
      </c>
    </row>
    <row r="145" customFormat="false" ht="15" hidden="false" customHeight="false" outlineLevel="0" collapsed="false">
      <c r="A145" s="23" t="n">
        <v>2.10105052526263</v>
      </c>
      <c r="B145" s="18" t="n">
        <v>2.38908195630168</v>
      </c>
      <c r="C145" s="23" t="n">
        <v>0.21097053172673</v>
      </c>
      <c r="D145" s="23" t="n">
        <v>12.3266297404902</v>
      </c>
      <c r="E145" s="13" t="str">
        <f aca="false">IF(B145&lt;5,"Acidic",IF(B145&lt;9,"Near-neutral","Alkaline"))</f>
        <v>Acidic</v>
      </c>
    </row>
    <row r="146" customFormat="false" ht="15" hidden="false" customHeight="false" outlineLevel="0" collapsed="false">
      <c r="A146" s="23" t="n">
        <v>2.11605802901451</v>
      </c>
      <c r="B146" s="18" t="n">
        <v>2.39225296317197</v>
      </c>
      <c r="C146" s="23" t="n">
        <v>0.211621143189916</v>
      </c>
      <c r="D146" s="23" t="n">
        <v>12.3266297404902</v>
      </c>
      <c r="E146" s="13" t="str">
        <f aca="false">IF(B146&lt;5,"Acidic",IF(B146&lt;9,"Near-neutral","Alkaline"))</f>
        <v>Acidic</v>
      </c>
    </row>
    <row r="147" customFormat="false" ht="15" hidden="false" customHeight="false" outlineLevel="0" collapsed="false">
      <c r="A147" s="23" t="n">
        <v>2.13106553276638</v>
      </c>
      <c r="B147" s="18" t="n">
        <v>2.39543379913987</v>
      </c>
      <c r="C147" s="23" t="n">
        <v>0.212280453775037</v>
      </c>
      <c r="D147" s="23" t="n">
        <v>12.3266297404902</v>
      </c>
      <c r="E147" s="13" t="str">
        <f aca="false">IF(B147&lt;5,"Acidic",IF(B147&lt;9,"Near-neutral","Alkaline"))</f>
        <v>Acidic</v>
      </c>
    </row>
    <row r="148" customFormat="false" ht="15" hidden="false" customHeight="false" outlineLevel="0" collapsed="false">
      <c r="A148" s="23" t="n">
        <v>2.14607303651826</v>
      </c>
      <c r="B148" s="18" t="n">
        <v>2.39862459569224</v>
      </c>
      <c r="C148" s="23" t="n">
        <v>0.212948588732559</v>
      </c>
      <c r="D148" s="23" t="n">
        <v>12.3266297404902</v>
      </c>
      <c r="E148" s="13" t="str">
        <f aca="false">IF(B148&lt;5,"Acidic",IF(B148&lt;9,"Near-neutral","Alkaline"))</f>
        <v>Acidic</v>
      </c>
    </row>
    <row r="149" customFormat="false" ht="15" hidden="false" customHeight="false" outlineLevel="0" collapsed="false">
      <c r="A149" s="23" t="n">
        <v>2.16108054027014</v>
      </c>
      <c r="B149" s="18" t="n">
        <v>2.40182548621612</v>
      </c>
      <c r="C149" s="23" t="n">
        <v>0.21362567606235</v>
      </c>
      <c r="D149" s="23" t="n">
        <v>12.3266297404902</v>
      </c>
      <c r="E149" s="13" t="str">
        <f aca="false">IF(B149&lt;5,"Acidic",IF(B149&lt;9,"Near-neutral","Alkaline"))</f>
        <v>Acidic</v>
      </c>
    </row>
    <row r="150" customFormat="false" ht="15" hidden="false" customHeight="false" outlineLevel="0" collapsed="false">
      <c r="A150" s="23" t="n">
        <v>2.17608804402201</v>
      </c>
      <c r="B150" s="18" t="n">
        <v>2.40503660604058</v>
      </c>
      <c r="C150" s="23" t="n">
        <v>0.214311846585815</v>
      </c>
      <c r="D150" s="23" t="n">
        <v>12.3266297404902</v>
      </c>
      <c r="E150" s="13" t="str">
        <f aca="false">IF(B150&lt;5,"Acidic",IF(B150&lt;9,"Near-neutral","Alkaline"))</f>
        <v>Acidic</v>
      </c>
    </row>
    <row r="151" customFormat="false" ht="15" hidden="false" customHeight="false" outlineLevel="0" collapsed="false">
      <c r="A151" s="23" t="n">
        <v>2.19109554777389</v>
      </c>
      <c r="B151" s="18" t="n">
        <v>2.40825809247955</v>
      </c>
      <c r="C151" s="23" t="n">
        <v>0.215007234020277</v>
      </c>
      <c r="D151" s="23" t="n">
        <v>12.3266297404902</v>
      </c>
      <c r="E151" s="13" t="str">
        <f aca="false">IF(B151&lt;5,"Acidic",IF(B151&lt;9,"Near-neutral","Alkaline"))</f>
        <v>Acidic</v>
      </c>
    </row>
    <row r="152" customFormat="false" ht="15" hidden="false" customHeight="false" outlineLevel="0" collapsed="false">
      <c r="A152" s="23" t="n">
        <v>2.20610305152576</v>
      </c>
      <c r="B152" s="18" t="n">
        <v>2.41149008487589</v>
      </c>
      <c r="C152" s="23" t="n">
        <v>0.215711975055456</v>
      </c>
      <c r="D152" s="23" t="n">
        <v>12.3266297404902</v>
      </c>
      <c r="E152" s="13" t="str">
        <f aca="false">IF(B152&lt;5,"Acidic",IF(B152&lt;9,"Near-neutral","Alkaline"))</f>
        <v>Acidic</v>
      </c>
    </row>
    <row r="153" customFormat="false" ht="15" hidden="false" customHeight="false" outlineLevel="0" collapsed="false">
      <c r="A153" s="23" t="n">
        <v>2.22111055527764</v>
      </c>
      <c r="B153" s="18" t="n">
        <v>2.4147327246466</v>
      </c>
      <c r="C153" s="23" t="n">
        <v>0.216426209432939</v>
      </c>
      <c r="D153" s="23" t="n">
        <v>12.3266297404902</v>
      </c>
      <c r="E153" s="13" t="str">
        <f aca="false">IF(B153&lt;5,"Acidic",IF(B153&lt;9,"Near-neutral","Alkaline"))</f>
        <v>Acidic</v>
      </c>
    </row>
    <row r="154" customFormat="false" ht="15" hidden="false" customHeight="false" outlineLevel="0" collapsed="false">
      <c r="A154" s="23" t="n">
        <v>2.23611805902952</v>
      </c>
      <c r="B154" s="18" t="n">
        <v>2.41798615532917</v>
      </c>
      <c r="C154" s="23" t="n">
        <v>0.217150080027864</v>
      </c>
      <c r="D154" s="23" t="n">
        <v>12.3266297404902</v>
      </c>
      <c r="E154" s="13" t="str">
        <f aca="false">IF(B154&lt;5,"Acidic",IF(B154&lt;9,"Near-neutral","Alkaline"))</f>
        <v>Acidic</v>
      </c>
    </row>
    <row r="155" customFormat="false" ht="15" hidden="false" customHeight="false" outlineLevel="0" collapsed="false">
      <c r="A155" s="23" t="n">
        <v>2.25112556278139</v>
      </c>
      <c r="B155" s="18" t="n">
        <v>2.42125052262931</v>
      </c>
      <c r="C155" s="23" t="n">
        <v>0.217883732933558</v>
      </c>
      <c r="D155" s="23" t="n">
        <v>12.3266297404902</v>
      </c>
      <c r="E155" s="13" t="str">
        <f aca="false">IF(B155&lt;5,"Acidic",IF(B155&lt;9,"Near-neutral","Alkaline"))</f>
        <v>Acidic</v>
      </c>
    </row>
    <row r="156" customFormat="false" ht="15" hidden="false" customHeight="false" outlineLevel="0" collapsed="false">
      <c r="A156" s="23" t="n">
        <v>2.26613306653327</v>
      </c>
      <c r="B156" s="18" t="n">
        <v>2.42452597446986</v>
      </c>
      <c r="C156" s="23" t="n">
        <v>0.21862731754868</v>
      </c>
      <c r="D156" s="23" t="n">
        <v>12.3266297404902</v>
      </c>
      <c r="E156" s="13" t="str">
        <f aca="false">IF(B156&lt;5,"Acidic",IF(B156&lt;9,"Near-neutral","Alkaline"))</f>
        <v>Acidic</v>
      </c>
    </row>
    <row r="157" customFormat="false" ht="15" hidden="false" customHeight="false" outlineLevel="0" collapsed="false">
      <c r="A157" s="23" t="n">
        <v>2.28114057028514</v>
      </c>
      <c r="B157" s="18" t="n">
        <v>2.42781266104105</v>
      </c>
      <c r="C157" s="23" t="n">
        <v>0.219380986667574</v>
      </c>
      <c r="D157" s="23" t="n">
        <v>12.3266297404902</v>
      </c>
      <c r="E157" s="13" t="str">
        <f aca="false">IF(B157&lt;5,"Acidic",IF(B157&lt;9,"Near-neutral","Alkaline"))</f>
        <v>Acidic</v>
      </c>
    </row>
    <row r="158" customFormat="false" ht="15" hidden="false" customHeight="false" outlineLevel="0" collapsed="false">
      <c r="A158" s="23" t="n">
        <v>2.29614807403702</v>
      </c>
      <c r="B158" s="18" t="n">
        <v>2.43111073485219</v>
      </c>
      <c r="C158" s="23" t="n">
        <v>0.220144896573544</v>
      </c>
      <c r="D158" s="23" t="n">
        <v>12.3266297404902</v>
      </c>
      <c r="E158" s="13" t="str">
        <f aca="false">IF(B158&lt;5,"Acidic",IF(B158&lt;9,"Near-neutral","Alkaline"))</f>
        <v>Acidic</v>
      </c>
    </row>
    <row r="159" customFormat="false" ht="15" hidden="false" customHeight="false" outlineLevel="0" collapsed="false">
      <c r="A159" s="23" t="n">
        <v>2.31115557778889</v>
      </c>
      <c r="B159" s="18" t="n">
        <v>2.43442035078472</v>
      </c>
      <c r="C159" s="23" t="n">
        <v>0.22091920713504</v>
      </c>
      <c r="D159" s="23" t="n">
        <v>12.3266297404902</v>
      </c>
      <c r="E159" s="13" t="str">
        <f aca="false">IF(B159&lt;5,"Acidic",IF(B159&lt;9,"Near-neutral","Alkaline"))</f>
        <v>Acidic</v>
      </c>
    </row>
    <row r="160" customFormat="false" ht="15" hidden="false" customHeight="false" outlineLevel="0" collapsed="false">
      <c r="A160" s="23" t="n">
        <v>2.32616308154077</v>
      </c>
      <c r="B160" s="18" t="n">
        <v>2.43774166614678</v>
      </c>
      <c r="C160" s="23" t="n">
        <v>0.221704081905301</v>
      </c>
      <c r="D160" s="23" t="n">
        <v>12.3266297404902</v>
      </c>
      <c r="E160" s="13" t="str">
        <f aca="false">IF(B160&lt;5,"Acidic",IF(B160&lt;9,"Near-neutral","Alkaline"))</f>
        <v>Acidic</v>
      </c>
    </row>
    <row r="161" customFormat="false" ht="15" hidden="false" customHeight="false" outlineLevel="0" collapsed="false">
      <c r="A161" s="23" t="n">
        <v>2.34117058529265</v>
      </c>
      <c r="B161" s="18" t="n">
        <v>2.44107484072926</v>
      </c>
      <c r="C161" s="23" t="n">
        <v>0.222499688225753</v>
      </c>
      <c r="D161" s="23" t="n">
        <v>12.3266297404902</v>
      </c>
      <c r="E161" s="13" t="str">
        <f aca="false">IF(B161&lt;5,"Acidic",IF(B161&lt;9,"Near-neutral","Alkaline"))</f>
        <v>Acidic</v>
      </c>
    </row>
    <row r="162" customFormat="false" ht="15" hidden="false" customHeight="false" outlineLevel="0" collapsed="false">
      <c r="A162" s="23" t="n">
        <v>2.35617808904452</v>
      </c>
      <c r="B162" s="18" t="n">
        <v>2.44442003686342</v>
      </c>
      <c r="C162" s="23" t="n">
        <v>0.223306197331965</v>
      </c>
      <c r="D162" s="23" t="n">
        <v>12.3266297404902</v>
      </c>
      <c r="E162" s="13" t="str">
        <f aca="false">IF(B162&lt;5,"Acidic",IF(B162&lt;9,"Near-neutral","Alkaline"))</f>
        <v>Acidic</v>
      </c>
    </row>
    <row r="163" customFormat="false" ht="15" hidden="false" customHeight="false" outlineLevel="0" collapsed="false">
      <c r="A163" s="23" t="n">
        <v>2.3711855927964</v>
      </c>
      <c r="B163" s="18" t="n">
        <v>2.44777741948022</v>
      </c>
      <c r="C163" s="23" t="n">
        <v>0.224123784464325</v>
      </c>
      <c r="D163" s="23" t="n">
        <v>12.3266297404902</v>
      </c>
      <c r="E163" s="13" t="str">
        <f aca="false">IF(B163&lt;5,"Acidic",IF(B163&lt;9,"Near-neutral","Alkaline"))</f>
        <v>Acidic</v>
      </c>
    </row>
    <row r="164" customFormat="false" ht="15" hidden="false" customHeight="false" outlineLevel="0" collapsed="false">
      <c r="A164" s="23" t="n">
        <v>2.38619309654827</v>
      </c>
      <c r="B164" s="18" t="n">
        <v>2.45114715617121</v>
      </c>
      <c r="C164" s="23" t="n">
        <v>0.224952628981612</v>
      </c>
      <c r="D164" s="23" t="n">
        <v>12.3266297404902</v>
      </c>
      <c r="E164" s="13" t="str">
        <f aca="false">IF(B164&lt;5,"Acidic",IF(B164&lt;9,"Near-neutral","Alkaline"))</f>
        <v>Acidic</v>
      </c>
    </row>
    <row r="165" customFormat="false" ht="15" hidden="false" customHeight="false" outlineLevel="0" collapsed="false">
      <c r="A165" s="23" t="n">
        <v>2.40120060030015</v>
      </c>
      <c r="B165" s="18" t="n">
        <v>2.45452941725121</v>
      </c>
      <c r="C165" s="23" t="n">
        <v>0.225792914479371</v>
      </c>
      <c r="D165" s="23" t="n">
        <v>12.3266297404902</v>
      </c>
      <c r="E165" s="13" t="str">
        <f aca="false">IF(B165&lt;5,"Acidic",IF(B165&lt;9,"Near-neutral","Alkaline"))</f>
        <v>Acidic</v>
      </c>
    </row>
    <row r="166" customFormat="false" ht="15" hidden="false" customHeight="false" outlineLevel="0" collapsed="false">
      <c r="A166" s="23" t="n">
        <v>2.41620810405203</v>
      </c>
      <c r="B166" s="18" t="n">
        <v>2.45792437582287</v>
      </c>
      <c r="C166" s="23" t="n">
        <v>0.226644828911816</v>
      </c>
      <c r="D166" s="23" t="n">
        <v>12.3266297404902</v>
      </c>
      <c r="E166" s="13" t="str">
        <f aca="false">IF(B166&lt;5,"Acidic",IF(B166&lt;9,"Near-neutral","Alkaline"))</f>
        <v>Acidic</v>
      </c>
    </row>
    <row r="167" customFormat="false" ht="15" hidden="false" customHeight="false" outlineLevel="0" collapsed="false">
      <c r="A167" s="23" t="n">
        <v>2.4312156078039</v>
      </c>
      <c r="B167" s="18" t="n">
        <v>2.46133220784293</v>
      </c>
      <c r="C167" s="23" t="n">
        <v>0.227508564718136</v>
      </c>
      <c r="D167" s="23" t="n">
        <v>12.3266297404902</v>
      </c>
      <c r="E167" s="13" t="str">
        <f aca="false">IF(B167&lt;5,"Acidic",IF(B167&lt;9,"Near-neutral","Alkaline"))</f>
        <v>Acidic</v>
      </c>
    </row>
    <row r="168" customFormat="false" ht="15" hidden="false" customHeight="false" outlineLevel="0" collapsed="false">
      <c r="A168" s="23" t="n">
        <v>2.44622311155578</v>
      </c>
      <c r="B168" s="18" t="n">
        <v>2.46475309219059</v>
      </c>
      <c r="C168" s="23" t="n">
        <v>0.228384318953459</v>
      </c>
      <c r="D168" s="23" t="n">
        <v>12.3266297404902</v>
      </c>
      <c r="E168" s="13" t="str">
        <f aca="false">IF(B168&lt;5,"Acidic",IF(B168&lt;9,"Near-neutral","Alkaline"))</f>
        <v>Acidic</v>
      </c>
    </row>
    <row r="169" customFormat="false" ht="15" hidden="false" customHeight="false" outlineLevel="0" collapsed="false">
      <c r="A169" s="23" t="n">
        <v>2.46123061530765</v>
      </c>
      <c r="B169" s="18" t="n">
        <v>2.46818721073772</v>
      </c>
      <c r="C169" s="23" t="n">
        <v>0.229272293424344</v>
      </c>
      <c r="D169" s="23" t="n">
        <v>12.3266297404902</v>
      </c>
      <c r="E169" s="13" t="str">
        <f aca="false">IF(B169&lt;5,"Acidic",IF(B169&lt;9,"Near-neutral","Alkaline"))</f>
        <v>Acidic</v>
      </c>
    </row>
    <row r="170" customFormat="false" ht="15" hidden="false" customHeight="false" outlineLevel="0" collapsed="false">
      <c r="A170" s="23" t="n">
        <v>2.47623811905953</v>
      </c>
      <c r="B170" s="18" t="n">
        <v>2.47163474842126</v>
      </c>
      <c r="C170" s="23" t="n">
        <v>0.230172694829065</v>
      </c>
      <c r="D170" s="23" t="n">
        <v>12.3266297404902</v>
      </c>
      <c r="E170" s="13" t="str">
        <f aca="false">IF(B170&lt;5,"Acidic",IF(B170&lt;9,"Near-neutral","Alkaline"))</f>
        <v>Acidic</v>
      </c>
    </row>
    <row r="171" customFormat="false" ht="15" hidden="false" customHeight="false" outlineLevel="0" collapsed="false">
      <c r="A171" s="23" t="n">
        <v>2.49124562281141</v>
      </c>
      <c r="B171" s="18" t="n">
        <v>2.47509589331768</v>
      </c>
      <c r="C171" s="23" t="n">
        <v>0.231085734902933</v>
      </c>
      <c r="D171" s="23" t="n">
        <v>12.3266297404902</v>
      </c>
      <c r="E171" s="13" t="str">
        <f aca="false">IF(B171&lt;5,"Acidic",IF(B171&lt;9,"Near-neutral","Alkaline"))</f>
        <v>Acidic</v>
      </c>
    </row>
    <row r="172" customFormat="false" ht="15" hidden="false" customHeight="false" outlineLevel="0" collapsed="false">
      <c r="A172" s="23" t="n">
        <v>2.50625312656328</v>
      </c>
      <c r="B172" s="18" t="n">
        <v>2.47857083671971</v>
      </c>
      <c r="C172" s="23" t="n">
        <v>0.232011630569303</v>
      </c>
      <c r="D172" s="23" t="n">
        <v>12.3266297404902</v>
      </c>
      <c r="E172" s="13" t="str">
        <f aca="false">IF(B172&lt;5,"Acidic",IF(B172&lt;9,"Near-neutral","Alkaline"))</f>
        <v>Acidic</v>
      </c>
    </row>
    <row r="173" customFormat="false" ht="15" hidden="false" customHeight="false" outlineLevel="0" collapsed="false">
      <c r="A173" s="23" t="n">
        <v>2.52126063031516</v>
      </c>
      <c r="B173" s="18" t="n">
        <v>2.48205977321539</v>
      </c>
      <c r="C173" s="23" t="n">
        <v>0.232950604095151</v>
      </c>
      <c r="D173" s="23" t="n">
        <v>12.3266297404902</v>
      </c>
      <c r="E173" s="13" t="str">
        <f aca="false">IF(B173&lt;5,"Acidic",IF(B173&lt;9,"Near-neutral","Alkaline"))</f>
        <v>Acidic</v>
      </c>
    </row>
    <row r="174" customFormat="false" ht="15" hidden="false" customHeight="false" outlineLevel="0" collapsed="false">
      <c r="A174" s="23" t="n">
        <v>2.53626813406703</v>
      </c>
      <c r="B174" s="18" t="n">
        <v>2.48556290076939</v>
      </c>
      <c r="C174" s="23" t="n">
        <v>0.233902883253563</v>
      </c>
      <c r="D174" s="23" t="n">
        <v>12.3266297404902</v>
      </c>
      <c r="E174" s="13" t="str">
        <f aca="false">IF(B174&lt;5,"Acidic",IF(B174&lt;9,"Near-neutral","Alkaline"))</f>
        <v>Acidic</v>
      </c>
    </row>
    <row r="175" customFormat="false" ht="15" hidden="false" customHeight="false" outlineLevel="0" collapsed="false">
      <c r="A175" s="23" t="n">
        <v>2.55127563781891</v>
      </c>
      <c r="B175" s="18" t="n">
        <v>2.48908042080696</v>
      </c>
      <c r="C175" s="23" t="n">
        <v>0.234868701490939</v>
      </c>
      <c r="D175" s="23" t="n">
        <v>12.3266297404902</v>
      </c>
      <c r="E175" s="13" t="str">
        <f aca="false">IF(B175&lt;5,"Acidic",IF(B175&lt;9,"Near-neutral","Alkaline"))</f>
        <v>Acidic</v>
      </c>
    </row>
    <row r="176" customFormat="false" ht="15" hidden="false" customHeight="false" outlineLevel="0" collapsed="false">
      <c r="A176" s="23" t="n">
        <v>2.56628314157079</v>
      </c>
      <c r="B176" s="18" t="n">
        <v>2.49261253830037</v>
      </c>
      <c r="C176" s="23" t="n">
        <v>0.235848298101558</v>
      </c>
      <c r="D176" s="23" t="n">
        <v>12.3266297404902</v>
      </c>
      <c r="E176" s="13" t="str">
        <f aca="false">IF(B176&lt;5,"Acidic",IF(B176&lt;9,"Near-neutral","Alkaline"))</f>
        <v>Acidic</v>
      </c>
    </row>
    <row r="177" customFormat="false" ht="15" hidden="false" customHeight="false" outlineLevel="0" collapsed="false">
      <c r="A177" s="23" t="n">
        <v>2.58129064532266</v>
      </c>
      <c r="B177" s="18" t="n">
        <v>2.49615946185794</v>
      </c>
      <c r="C177" s="23" t="n">
        <v>0.236841918407805</v>
      </c>
      <c r="D177" s="23" t="n">
        <v>12.3266297404902</v>
      </c>
      <c r="E177" s="13" t="str">
        <f aca="false">IF(B177&lt;5,"Acidic",IF(B177&lt;9,"Near-neutral","Alkaline"))</f>
        <v>Acidic</v>
      </c>
    </row>
    <row r="178" customFormat="false" ht="15" hidden="false" customHeight="false" outlineLevel="0" collapsed="false">
      <c r="A178" s="23" t="n">
        <v>2.59629814907454</v>
      </c>
      <c r="B178" s="18" t="n">
        <v>2.49972140381598</v>
      </c>
      <c r="C178" s="23" t="n">
        <v>0.237849813947378</v>
      </c>
      <c r="D178" s="23" t="n">
        <v>12.3266297404902</v>
      </c>
      <c r="E178" s="13" t="str">
        <f aca="false">IF(B178&lt;5,"Acidic",IF(B178&lt;9,"Near-neutral","Alkaline"))</f>
        <v>Acidic</v>
      </c>
    </row>
    <row r="179" customFormat="false" ht="15" hidden="false" customHeight="false" outlineLevel="0" collapsed="false">
      <c r="A179" s="23" t="n">
        <v>2.61130565282641</v>
      </c>
      <c r="B179" s="18" t="n">
        <v>2.50329858033348</v>
      </c>
      <c r="C179" s="23" t="n">
        <v>0.238872242668123</v>
      </c>
      <c r="D179" s="23" t="n">
        <v>12.3266297404902</v>
      </c>
      <c r="E179" s="13" t="str">
        <f aca="false">IF(B179&lt;5,"Acidic",IF(B179&lt;9,"Near-neutral","Alkaline"))</f>
        <v>Acidic</v>
      </c>
    </row>
    <row r="180" customFormat="false" ht="15" hidden="false" customHeight="false" outlineLevel="0" collapsed="false">
      <c r="A180" s="23" t="n">
        <v>2.62631315657829</v>
      </c>
      <c r="B180" s="18" t="n">
        <v>2.50689121148979</v>
      </c>
      <c r="C180" s="23" t="n">
        <v>0.239909469129202</v>
      </c>
      <c r="D180" s="23" t="n">
        <v>12.3266297404902</v>
      </c>
      <c r="E180" s="13" t="str">
        <f aca="false">IF(B180&lt;5,"Acidic",IF(B180&lt;9,"Near-neutral","Alkaline"))</f>
        <v>Acidic</v>
      </c>
    </row>
    <row r="181" customFormat="false" ht="15" hidden="false" customHeight="false" outlineLevel="0" collapsed="false">
      <c r="A181" s="23" t="n">
        <v>2.64132066033017</v>
      </c>
      <c r="B181" s="18" t="n">
        <v>2.51049952138544</v>
      </c>
      <c r="C181" s="23" t="n">
        <v>0.240961764711187</v>
      </c>
      <c r="D181" s="23" t="n">
        <v>12.3266297404902</v>
      </c>
      <c r="E181" s="13" t="str">
        <f aca="false">IF(B181&lt;5,"Acidic",IF(B181&lt;9,"Near-neutral","Alkaline"))</f>
        <v>Acidic</v>
      </c>
    </row>
    <row r="182" customFormat="false" ht="15" hidden="false" customHeight="false" outlineLevel="0" collapsed="false">
      <c r="A182" s="23" t="n">
        <v>2.65632816408204</v>
      </c>
      <c r="B182" s="18" t="n">
        <v>2.51412373824608</v>
      </c>
      <c r="C182" s="23" t="n">
        <v>0.242029407832945</v>
      </c>
      <c r="D182" s="23" t="n">
        <v>12.3266297404902</v>
      </c>
      <c r="E182" s="13" t="str">
        <f aca="false">IF(B182&lt;5,"Acidic",IF(B182&lt;9,"Near-neutral","Alkaline"))</f>
        <v>Acidic</v>
      </c>
    </row>
    <row r="183" customFormat="false" ht="15" hidden="false" customHeight="false" outlineLevel="0" collapsed="false">
      <c r="A183" s="23" t="n">
        <v>2.67133566783392</v>
      </c>
      <c r="B183" s="18" t="n">
        <v>2.51776409452983</v>
      </c>
      <c r="C183" s="23" t="n">
        <v>0.243112684178158</v>
      </c>
      <c r="D183" s="23" t="n">
        <v>12.3266297404902</v>
      </c>
      <c r="E183" s="13" t="str">
        <f aca="false">IF(B183&lt;5,"Acidic",IF(B183&lt;9,"Near-neutral","Alkaline"))</f>
        <v>Acidic</v>
      </c>
    </row>
    <row r="184" customFormat="false" ht="15" hidden="false" customHeight="false" outlineLevel="0" collapsed="false">
      <c r="A184" s="23" t="n">
        <v>2.68634317158579</v>
      </c>
      <c r="B184" s="18" t="n">
        <v>2.52142082703803</v>
      </c>
      <c r="C184" s="23" t="n">
        <v>0.244211886929634</v>
      </c>
      <c r="D184" s="23" t="n">
        <v>12.3266297404902</v>
      </c>
      <c r="E184" s="13" t="str">
        <f aca="false">IF(B184&lt;5,"Acidic",IF(B184&lt;9,"Near-neutral","Alkaline"))</f>
        <v>Acidic</v>
      </c>
    </row>
    <row r="185" customFormat="false" ht="15" hidden="false" customHeight="false" outlineLevel="0" collapsed="false">
      <c r="A185" s="23" t="n">
        <v>2.70135067533767</v>
      </c>
      <c r="B185" s="18" t="n">
        <v>2.52509417702959</v>
      </c>
      <c r="C185" s="23" t="n">
        <v>0.245327317013704</v>
      </c>
      <c r="D185" s="23" t="n">
        <v>12.3266297404902</v>
      </c>
      <c r="E185" s="13" t="str">
        <f aca="false">IF(B185&lt;5,"Acidic",IF(B185&lt;9,"Near-neutral","Alkaline"))</f>
        <v>Acidic</v>
      </c>
    </row>
    <row r="186" customFormat="false" ht="15" hidden="false" customHeight="false" outlineLevel="0" collapsed="false">
      <c r="A186" s="23" t="n">
        <v>2.71635817908955</v>
      </c>
      <c r="B186" s="18" t="n">
        <v>2.52878439033911</v>
      </c>
      <c r="C186" s="23" t="n">
        <v>0.246459283353261</v>
      </c>
      <c r="D186" s="23" t="n">
        <v>12.3266297404902</v>
      </c>
      <c r="E186" s="13" t="str">
        <f aca="false">IF(B186&lt;5,"Acidic",IF(B186&lt;9,"Near-neutral","Alkaline"))</f>
        <v>Acidic</v>
      </c>
    </row>
    <row r="187" customFormat="false" ht="15" hidden="false" customHeight="false" outlineLevel="0" collapsed="false">
      <c r="A187" s="23" t="n">
        <v>2.73136568284142</v>
      </c>
      <c r="B187" s="18" t="n">
        <v>2.53249171749882</v>
      </c>
      <c r="C187" s="23" t="n">
        <v>0.247608103131967</v>
      </c>
      <c r="D187" s="23" t="n">
        <v>12.3266297404902</v>
      </c>
      <c r="E187" s="13" t="str">
        <f aca="false">IF(B187&lt;5,"Acidic",IF(B187&lt;9,"Near-neutral","Alkaline"))</f>
        <v>Acidic</v>
      </c>
    </row>
    <row r="188" customFormat="false" ht="15" hidden="false" customHeight="false" outlineLevel="0" collapsed="false">
      <c r="A188" s="23" t="n">
        <v>2.7463731865933</v>
      </c>
      <c r="B188" s="18" t="n">
        <v>2.53621641386461</v>
      </c>
      <c r="C188" s="23" t="n">
        <v>0.248774102068381</v>
      </c>
      <c r="D188" s="23" t="n">
        <v>12.3266297404902</v>
      </c>
      <c r="E188" s="13" t="str">
        <f aca="false">IF(B188&lt;5,"Acidic",IF(B188&lt;9,"Near-neutral","Alkaline"))</f>
        <v>Acidic</v>
      </c>
    </row>
    <row r="189" customFormat="false" ht="15" hidden="false" customHeight="false" outlineLevel="0" collapsed="false">
      <c r="A189" s="23" t="n">
        <v>2.76138069034517</v>
      </c>
      <c r="B189" s="18" t="n">
        <v>2.53995873974622</v>
      </c>
      <c r="C189" s="23" t="n">
        <v>0.249957614700662</v>
      </c>
      <c r="D189" s="23" t="n">
        <v>12.3266297404902</v>
      </c>
      <c r="E189" s="13" t="str">
        <f aca="false">IF(B189&lt;5,"Acidic",IF(B189&lt;9,"Near-neutral","Alkaline"))</f>
        <v>Acidic</v>
      </c>
    </row>
    <row r="190" customFormat="false" ht="15" hidden="false" customHeight="false" outlineLevel="0" collapsed="false">
      <c r="A190" s="23" t="n">
        <v>2.77638819409705</v>
      </c>
      <c r="B190" s="18" t="n">
        <v>2.54371896054182</v>
      </c>
      <c r="C190" s="23" t="n">
        <v>0.251158984684082</v>
      </c>
      <c r="D190" s="23" t="n">
        <v>12.3266297404902</v>
      </c>
      <c r="E190" s="13" t="str">
        <f aca="false">IF(B190&lt;5,"Acidic",IF(B190&lt;9,"Near-neutral","Alkaline"))</f>
        <v>Acidic</v>
      </c>
    </row>
    <row r="191" customFormat="false" ht="15" hidden="false" customHeight="false" outlineLevel="0" collapsed="false">
      <c r="A191" s="23" t="n">
        <v>2.79139569784892</v>
      </c>
      <c r="B191" s="18" t="n">
        <v>2.54749734687714</v>
      </c>
      <c r="C191" s="23" t="n">
        <v>0.252378565099662</v>
      </c>
      <c r="D191" s="23" t="n">
        <v>12.3266297404902</v>
      </c>
      <c r="E191" s="13" t="str">
        <f aca="false">IF(B191&lt;5,"Acidic",IF(B191&lt;9,"Near-neutral","Alkaline"))</f>
        <v>Acidic</v>
      </c>
    </row>
    <row r="192" customFormat="false" ht="15" hidden="false" customHeight="false" outlineLevel="0" collapsed="false">
      <c r="A192" s="23" t="n">
        <v>2.8064032016008</v>
      </c>
      <c r="B192" s="18" t="n">
        <v>2.55129417474928</v>
      </c>
      <c r="C192" s="23" t="n">
        <v>0.253616718775675</v>
      </c>
      <c r="D192" s="23" t="n">
        <v>12.3266297404902</v>
      </c>
      <c r="E192" s="13" t="str">
        <f aca="false">IF(B192&lt;5,"Acidic",IF(B192&lt;9,"Near-neutral","Alkaline"))</f>
        <v>Acidic</v>
      </c>
    </row>
    <row r="193" customFormat="false" ht="15" hidden="false" customHeight="false" outlineLevel="0" collapsed="false">
      <c r="A193" s="23" t="n">
        <v>2.82141070535268</v>
      </c>
      <c r="B193" s="18" t="n">
        <v>2.55510972567551</v>
      </c>
      <c r="C193" s="23" t="n">
        <v>0.254873818622798</v>
      </c>
      <c r="D193" s="23" t="n">
        <v>12.3266297404902</v>
      </c>
      <c r="E193" s="13" t="str">
        <f aca="false">IF(B193&lt;5,"Acidic",IF(B193&lt;9,"Near-neutral","Alkaline"))</f>
        <v>Acidic</v>
      </c>
    </row>
    <row r="194" customFormat="false" ht="15" hidden="false" customHeight="false" outlineLevel="0" collapsed="false">
      <c r="A194" s="23" t="n">
        <v>2.83641820910455</v>
      </c>
      <c r="B194" s="18" t="n">
        <v>2.55894428684716</v>
      </c>
      <c r="C194" s="23" t="n">
        <v>0.256150247982788</v>
      </c>
      <c r="D194" s="23" t="n">
        <v>12.3266297404902</v>
      </c>
      <c r="E194" s="13" t="str">
        <f aca="false">IF(B194&lt;5,"Acidic",IF(B194&lt;9,"Near-neutral","Alkaline"))</f>
        <v>Acidic</v>
      </c>
    </row>
    <row r="195" customFormat="false" ht="15" hidden="false" customHeight="false" outlineLevel="0" collapsed="false">
      <c r="A195" s="23" t="n">
        <v>2.85142571285643</v>
      </c>
      <c r="B195" s="18" t="n">
        <v>2.56279815128886</v>
      </c>
      <c r="C195" s="23" t="n">
        <v>0.257446400991995</v>
      </c>
      <c r="D195" s="23" t="n">
        <v>12.3266297404902</v>
      </c>
      <c r="E195" s="13" t="str">
        <f aca="false">IF(B195&lt;5,"Acidic",IF(B195&lt;9,"Near-neutral","Alkaline"))</f>
        <v>Acidic</v>
      </c>
    </row>
    <row r="196" customFormat="false" ht="15" hidden="false" customHeight="false" outlineLevel="0" collapsed="false">
      <c r="A196" s="23" t="n">
        <v>2.8664332166083</v>
      </c>
      <c r="B196" s="18" t="n">
        <v>2.56667161802339</v>
      </c>
      <c r="C196" s="23" t="n">
        <v>0.25876268296048</v>
      </c>
      <c r="D196" s="23" t="n">
        <v>12.3266297404902</v>
      </c>
      <c r="E196" s="13" t="str">
        <f aca="false">IF(B196&lt;5,"Acidic",IF(B196&lt;9,"Near-neutral","Alkaline"))</f>
        <v>Acidic</v>
      </c>
    </row>
    <row r="197" customFormat="false" ht="15" hidden="false" customHeight="false" outlineLevel="0" collapsed="false">
      <c r="A197" s="23" t="n">
        <v>2.88144072036018</v>
      </c>
      <c r="B197" s="18" t="n">
        <v>2.57056499224224</v>
      </c>
      <c r="C197" s="23" t="n">
        <v>0.260099510766537</v>
      </c>
      <c r="D197" s="23" t="n">
        <v>12.3266297404902</v>
      </c>
      <c r="E197" s="13" t="str">
        <f aca="false">IF(B197&lt;5,"Acidic",IF(B197&lt;9,"Near-neutral","Alkaline"))</f>
        <v>Acidic</v>
      </c>
    </row>
    <row r="198" customFormat="false" ht="15" hidden="false" customHeight="false" outlineLevel="0" collapsed="false">
      <c r="A198" s="23" t="n">
        <v>2.89644822411206</v>
      </c>
      <c r="B198" s="18" t="n">
        <v>2.57447858548232</v>
      </c>
      <c r="C198" s="23" t="n">
        <v>0.261457313268977</v>
      </c>
      <c r="D198" s="23" t="n">
        <v>12.3266297404902</v>
      </c>
      <c r="E198" s="13" t="str">
        <f aca="false">IF(B198&lt;5,"Acidic",IF(B198&lt;9,"Near-neutral","Alkaline"))</f>
        <v>Acidic</v>
      </c>
    </row>
    <row r="199" customFormat="false" ht="15" hidden="false" customHeight="false" outlineLevel="0" collapsed="false">
      <c r="A199" s="23" t="n">
        <v>2.91145572786393</v>
      </c>
      <c r="B199" s="18" t="n">
        <v>2.57841271580895</v>
      </c>
      <c r="C199" s="23" t="n">
        <v>0.262836531736497</v>
      </c>
      <c r="D199" s="23" t="n">
        <v>12.3266297404902</v>
      </c>
      <c r="E199" s="13" t="str">
        <f aca="false">IF(B199&lt;5,"Acidic",IF(B199&lt;9,"Near-neutral","Alkaline"))</f>
        <v>Acidic</v>
      </c>
    </row>
    <row r="200" customFormat="false" ht="15" hidden="false" customHeight="false" outlineLevel="0" collapsed="false">
      <c r="A200" s="23" t="n">
        <v>2.92646323161581</v>
      </c>
      <c r="B200" s="18" t="n">
        <v>2.5823677080054</v>
      </c>
      <c r="C200" s="23" t="n">
        <v>0.264237620296171</v>
      </c>
      <c r="D200" s="23" t="n">
        <v>12.3266297404902</v>
      </c>
      <c r="E200" s="13" t="str">
        <f aca="false">IF(B200&lt;5,"Acidic",IF(B200&lt;9,"Near-neutral","Alkaline"))</f>
        <v>Acidic</v>
      </c>
    </row>
    <row r="201" customFormat="false" ht="15" hidden="false" customHeight="false" outlineLevel="0" collapsed="false">
      <c r="A201" s="23" t="n">
        <v>2.94147073536768</v>
      </c>
      <c r="B201" s="18" t="n">
        <v>2.58634389376937</v>
      </c>
      <c r="C201" s="23" t="n">
        <v>0.265661046401135</v>
      </c>
      <c r="D201" s="23" t="n">
        <v>12.3266297404902</v>
      </c>
      <c r="E201" s="13" t="str">
        <f aca="false">IF(B201&lt;5,"Acidic",IF(B201&lt;9,"Near-neutral","Alkaline"))</f>
        <v>Acidic</v>
      </c>
    </row>
    <row r="202" customFormat="false" ht="15" hidden="false" customHeight="false" outlineLevel="0" collapsed="false">
      <c r="A202" s="23" t="n">
        <v>2.95647823911956</v>
      </c>
      <c r="B202" s="18" t="n">
        <v>2.59034161191658</v>
      </c>
      <c r="C202" s="23" t="n">
        <v>0.267107291319576</v>
      </c>
      <c r="D202" s="23" t="n">
        <v>12.3266297404902</v>
      </c>
      <c r="E202" s="13" t="str">
        <f aca="false">IF(B202&lt;5,"Acidic",IF(B202&lt;9,"Near-neutral","Alkaline"))</f>
        <v>Acidic</v>
      </c>
    </row>
    <row r="203" customFormat="false" ht="15" hidden="false" customHeight="false" outlineLevel="0" collapsed="false">
      <c r="A203" s="23" t="n">
        <v>2.97148574287144</v>
      </c>
      <c r="B203" s="18" t="n">
        <v>2.59436120859191</v>
      </c>
      <c r="C203" s="23" t="n">
        <v>0.268576850644593</v>
      </c>
      <c r="D203" s="23" t="n">
        <v>12.3266297404902</v>
      </c>
      <c r="E203" s="13" t="str">
        <f aca="false">IF(B203&lt;5,"Acidic",IF(B203&lt;9,"Near-neutral","Alkaline"))</f>
        <v>Acidic</v>
      </c>
    </row>
    <row r="204" customFormat="false" ht="15" hidden="false" customHeight="false" outlineLevel="0" collapsed="false">
      <c r="A204" s="23" t="n">
        <v>2.98649324662331</v>
      </c>
      <c r="B204" s="18" t="n">
        <v>2.59840303748831</v>
      </c>
      <c r="C204" s="23" t="n">
        <v>0.270070234827358</v>
      </c>
      <c r="D204" s="23" t="n">
        <v>12.3266297404902</v>
      </c>
      <c r="E204" s="13" t="str">
        <f aca="false">IF(B204&lt;5,"Acidic",IF(B204&lt;9,"Near-neutral","Alkaline"))</f>
        <v>Acidic</v>
      </c>
    </row>
    <row r="205" customFormat="false" ht="15" hidden="false" customHeight="false" outlineLevel="0" collapsed="false">
      <c r="A205" s="23" t="n">
        <v>3.00150075037519</v>
      </c>
      <c r="B205" s="18" t="n">
        <v>2.60246746007394</v>
      </c>
      <c r="C205" s="23" t="n">
        <v>0.271587969734469</v>
      </c>
      <c r="D205" s="23" t="n">
        <v>12.3266297404902</v>
      </c>
      <c r="E205" s="13" t="str">
        <f aca="false">IF(B205&lt;5,"Acidic",IF(B205&lt;9,"Near-neutral","Alkaline"))</f>
        <v>Acidic</v>
      </c>
    </row>
    <row r="206" customFormat="false" ht="15" hidden="false" customHeight="false" outlineLevel="0" collapsed="false">
      <c r="A206" s="23" t="n">
        <v>3.01650825412706</v>
      </c>
      <c r="B206" s="18" t="n">
        <v>2.60655484582783</v>
      </c>
      <c r="C206" s="23" t="n">
        <v>0.273130597229994</v>
      </c>
      <c r="D206" s="23" t="n">
        <v>12.3266297404902</v>
      </c>
      <c r="E206" s="13" t="str">
        <f aca="false">IF(B206&lt;5,"Acidic",IF(B206&lt;9,"Near-neutral","Alkaline"))</f>
        <v>Acidic</v>
      </c>
    </row>
    <row r="207" customFormat="false" ht="15" hidden="false" customHeight="false" outlineLevel="0" collapsed="false">
      <c r="A207" s="23" t="n">
        <v>3.03151575787894</v>
      </c>
      <c r="B207" s="18" t="n">
        <v>2.61066557248448</v>
      </c>
      <c r="C207" s="23" t="n">
        <v>0.274698675784862</v>
      </c>
      <c r="D207" s="23" t="n">
        <v>12.3266297404902</v>
      </c>
      <c r="E207" s="13" t="str">
        <f aca="false">IF(B207&lt;5,"Acidic",IF(B207&lt;9,"Near-neutral","Alkaline"))</f>
        <v>Acidic</v>
      </c>
    </row>
    <row r="208" customFormat="false" ht="15" hidden="false" customHeight="false" outlineLevel="0" collapsed="false">
      <c r="A208" s="23" t="n">
        <v>3.04652326163082</v>
      </c>
      <c r="B208" s="18" t="n">
        <v>2.61480002628781</v>
      </c>
      <c r="C208" s="23" t="n">
        <v>0.276292781113938</v>
      </c>
      <c r="D208" s="23" t="n">
        <v>12.3266297404902</v>
      </c>
      <c r="E208" s="13" t="str">
        <f aca="false">IF(B208&lt;5,"Acidic",IF(B208&lt;9,"Near-neutral","Alkaline"))</f>
        <v>Acidic</v>
      </c>
    </row>
    <row r="209" customFormat="false" ht="15" hidden="false" customHeight="false" outlineLevel="0" collapsed="false">
      <c r="A209" s="23" t="n">
        <v>3.06153076538269</v>
      </c>
      <c r="B209" s="18" t="n">
        <v>2.61895860225492</v>
      </c>
      <c r="C209" s="23" t="n">
        <v>0.277913506842651</v>
      </c>
      <c r="D209" s="23" t="n">
        <v>12.3266297404902</v>
      </c>
      <c r="E209" s="13" t="str">
        <f aca="false">IF(B209&lt;5,"Acidic",IF(B209&lt;9,"Near-neutral","Alkaline"))</f>
        <v>Acidic</v>
      </c>
    </row>
    <row r="210" customFormat="false" ht="15" hidden="false" customHeight="false" outlineLevel="0" collapsed="false">
      <c r="A210" s="23" t="n">
        <v>3.07653826913457</v>
      </c>
      <c r="B210" s="18" t="n">
        <v>2.62314170445001</v>
      </c>
      <c r="C210" s="23" t="n">
        <v>0.279561465204921</v>
      </c>
      <c r="D210" s="23" t="n">
        <v>12.3266297404902</v>
      </c>
      <c r="E210" s="13" t="str">
        <f aca="false">IF(B210&lt;5,"Acidic",IF(B210&lt;9,"Near-neutral","Alkaline"))</f>
        <v>Acidic</v>
      </c>
    </row>
    <row r="211" customFormat="false" ht="15" hidden="false" customHeight="false" outlineLevel="0" collapsed="false">
      <c r="A211" s="23" t="n">
        <v>3.09154577288644</v>
      </c>
      <c r="B211" s="18" t="n">
        <v>2.62734974626914</v>
      </c>
      <c r="C211" s="23" t="n">
        <v>0.281237287774559</v>
      </c>
      <c r="D211" s="23" t="n">
        <v>12.3266297404902</v>
      </c>
      <c r="E211" s="13" t="str">
        <f aca="false">IF(B211&lt;5,"Acidic",IF(B211&lt;9,"Near-neutral","Alkaline"))</f>
        <v>Acidic</v>
      </c>
    </row>
    <row r="212" customFormat="false" ht="15" hidden="false" customHeight="false" outlineLevel="0" collapsed="false">
      <c r="A212" s="23" t="n">
        <v>3.10655327663832</v>
      </c>
      <c r="B212" s="18" t="n">
        <v>2.63158315073607</v>
      </c>
      <c r="C212" s="23" t="n">
        <v>0.282941626230297</v>
      </c>
      <c r="D212" s="23" t="n">
        <v>12.3266297404902</v>
      </c>
      <c r="E212" s="13" t="str">
        <f aca="false">IF(B212&lt;5,"Acidic",IF(B212&lt;9,"Near-neutral","Alkaline"))</f>
        <v>Acidic</v>
      </c>
    </row>
    <row r="213" customFormat="false" ht="15" hidden="false" customHeight="false" outlineLevel="0" collapsed="false">
      <c r="A213" s="23" t="n">
        <v>3.1215607803902</v>
      </c>
      <c r="B213" s="18" t="n">
        <v>2.63584235081</v>
      </c>
      <c r="C213" s="23" t="n">
        <v>0.28467515315873</v>
      </c>
      <c r="D213" s="23" t="n">
        <v>12.3266297404902</v>
      </c>
      <c r="E213" s="13" t="str">
        <f aca="false">IF(B213&lt;5,"Acidic",IF(B213&lt;9,"Near-neutral","Alkaline"))</f>
        <v>Acidic</v>
      </c>
    </row>
    <row r="214" customFormat="false" ht="15" hidden="false" customHeight="false" outlineLevel="0" collapsed="false">
      <c r="A214" s="23" t="n">
        <v>3.13656828414207</v>
      </c>
      <c r="B214" s="18" t="n">
        <v>2.64012778970554</v>
      </c>
      <c r="C214" s="23" t="n">
        <v>0.286438562895171</v>
      </c>
      <c r="D214" s="23" t="n">
        <v>12.3266297404902</v>
      </c>
      <c r="E214" s="13" t="str">
        <f aca="false">IF(B214&lt;5,"Acidic",IF(B214&lt;9,"Near-neutral","Alkaline"))</f>
        <v>Acidic</v>
      </c>
    </row>
    <row r="215" customFormat="false" ht="15" hidden="false" customHeight="false" outlineLevel="0" collapsed="false">
      <c r="A215" s="23" t="n">
        <v>3.15157578789395</v>
      </c>
      <c r="B215" s="18" t="n">
        <v>2.64443992122569</v>
      </c>
      <c r="C215" s="23" t="n">
        <v>0.288232572405974</v>
      </c>
      <c r="D215" s="23" t="n">
        <v>12.3266297404902</v>
      </c>
      <c r="E215" s="13" t="str">
        <f aca="false">IF(B215&lt;5,"Acidic",IF(B215&lt;9,"Near-neutral","Alkaline"))</f>
        <v>Acidic</v>
      </c>
    </row>
    <row r="216" customFormat="false" ht="15" hidden="false" customHeight="false" outlineLevel="0" collapsed="false">
      <c r="A216" s="23" t="n">
        <v>3.16658329164582</v>
      </c>
      <c r="B216" s="18" t="n">
        <v>2.64877921010829</v>
      </c>
      <c r="C216" s="23" t="n">
        <v>0.290057922214118</v>
      </c>
      <c r="D216" s="23" t="n">
        <v>12.3266297404902</v>
      </c>
      <c r="E216" s="13" t="str">
        <f aca="false">IF(B216&lt;5,"Acidic",IF(B216&lt;9,"Near-neutral","Alkaline"))</f>
        <v>Acidic</v>
      </c>
    </row>
    <row r="217" customFormat="false" ht="15" hidden="false" customHeight="false" outlineLevel="0" collapsed="false">
      <c r="A217" s="23" t="n">
        <v>3.1815907953977</v>
      </c>
      <c r="B217" s="18" t="n">
        <v>2.65314613238677</v>
      </c>
      <c r="C217" s="23" t="n">
        <v>0.291915377370316</v>
      </c>
      <c r="D217" s="23" t="n">
        <v>12.3266297404902</v>
      </c>
      <c r="E217" s="13" t="str">
        <f aca="false">IF(B217&lt;5,"Acidic",IF(B217&lt;9,"Near-neutral","Alkaline"))</f>
        <v>Acidic</v>
      </c>
    </row>
    <row r="218" customFormat="false" ht="15" hidden="false" customHeight="false" outlineLevel="0" collapsed="false">
      <c r="A218" s="23" t="n">
        <v>3.19659829914958</v>
      </c>
      <c r="B218" s="18" t="n">
        <v>2.65754117576579</v>
      </c>
      <c r="C218" s="23" t="n">
        <v>0.293805728473274</v>
      </c>
      <c r="D218" s="23" t="n">
        <v>12.3266297404902</v>
      </c>
      <c r="E218" s="13" t="str">
        <f aca="false">IF(B218&lt;5,"Acidic",IF(B218&lt;9,"Near-neutral","Alkaline"))</f>
        <v>Acidic</v>
      </c>
    </row>
    <row r="219" customFormat="false" ht="15" hidden="false" customHeight="false" outlineLevel="0" collapsed="false">
      <c r="A219" s="23" t="n">
        <v>3.21160580290145</v>
      </c>
      <c r="B219" s="18" t="n">
        <v>2.66196484001264</v>
      </c>
      <c r="C219" s="23" t="n">
        <v>0.295729792740417</v>
      </c>
      <c r="D219" s="23" t="n">
        <v>12.3266297404902</v>
      </c>
      <c r="E219" s="13" t="str">
        <f aca="false">IF(B219&lt;5,"Acidic",IF(B219&lt;9,"Near-neutral","Alkaline"))</f>
        <v>Acidic</v>
      </c>
    </row>
    <row r="220" customFormat="false" ht="15" hidden="false" customHeight="false" outlineLevel="0" collapsed="false">
      <c r="A220" s="23" t="n">
        <v>3.22661330665333</v>
      </c>
      <c r="B220" s="18" t="n">
        <v>2.666417637365</v>
      </c>
      <c r="C220" s="23" t="n">
        <v>0.297688415133933</v>
      </c>
      <c r="D220" s="23" t="n">
        <v>12.3266297404902</v>
      </c>
      <c r="E220" s="13" t="str">
        <f aca="false">IF(B220&lt;5,"Acidic",IF(B220&lt;9,"Near-neutral","Alkaline"))</f>
        <v>Acidic</v>
      </c>
    </row>
    <row r="221" customFormat="false" ht="15" hidden="false" customHeight="false" outlineLevel="0" collapsed="false">
      <c r="A221" s="23" t="n">
        <v>3.2416208104052</v>
      </c>
      <c r="B221" s="18" t="n">
        <v>2.67090009295613</v>
      </c>
      <c r="C221" s="23" t="n">
        <v>0.299682469544024</v>
      </c>
      <c r="D221" s="23" t="n">
        <v>12.3266297404902</v>
      </c>
      <c r="E221" s="13" t="str">
        <f aca="false">IF(B221&lt;5,"Acidic",IF(B221&lt;9,"Near-neutral","Alkaline"))</f>
        <v>Acidic</v>
      </c>
    </row>
    <row r="222" customFormat="false" ht="15" hidden="false" customHeight="false" outlineLevel="0" collapsed="false">
      <c r="A222" s="23" t="n">
        <v>3.25662831415708</v>
      </c>
      <c r="B222" s="18" t="n">
        <v>2.67541274525819</v>
      </c>
      <c r="C222" s="23" t="n">
        <v>0.30171286003295</v>
      </c>
      <c r="D222" s="23" t="n">
        <v>12.3266297404902</v>
      </c>
      <c r="E222" s="13" t="str">
        <f aca="false">IF(B222&lt;5,"Acidic",IF(B222&lt;9,"Near-neutral","Alkaline"))</f>
        <v>Acidic</v>
      </c>
    </row>
    <row r="223" customFormat="false" ht="15" hidden="false" customHeight="false" outlineLevel="0" collapsed="false">
      <c r="A223" s="23" t="n">
        <v>3.27163581790896</v>
      </c>
      <c r="B223" s="18" t="n">
        <v>2.67995614654479</v>
      </c>
      <c r="C223" s="23" t="n">
        <v>0.303780522144649</v>
      </c>
      <c r="D223" s="23" t="n">
        <v>12.3266297404902</v>
      </c>
      <c r="E223" s="13" t="str">
        <f aca="false">IF(B223&lt;5,"Acidic",IF(B223&lt;9,"Near-neutral","Alkaline"))</f>
        <v>Acidic</v>
      </c>
    </row>
    <row r="224" customFormat="false" ht="15" hidden="false" customHeight="false" outlineLevel="0" collapsed="false">
      <c r="A224" s="23" t="n">
        <v>3.28664332166083</v>
      </c>
      <c r="B224" s="18" t="n">
        <v>2.68453086337365</v>
      </c>
      <c r="C224" s="23" t="n">
        <v>0.305886424282818</v>
      </c>
      <c r="D224" s="23" t="n">
        <v>12.3266297404902</v>
      </c>
      <c r="E224" s="13" t="str">
        <f aca="false">IF(B224&lt;5,"Acidic",IF(B224&lt;9,"Near-neutral","Alkaline"))</f>
        <v>Acidic</v>
      </c>
    </row>
    <row r="225" customFormat="false" ht="15" hidden="false" customHeight="false" outlineLevel="0" collapsed="false">
      <c r="A225" s="23" t="n">
        <v>3.30165082541271</v>
      </c>
      <c r="B225" s="18" t="n">
        <v>2.68913747709043</v>
      </c>
      <c r="C225" s="23" t="n">
        <v>0.308031569161756</v>
      </c>
      <c r="D225" s="23" t="n">
        <v>12.3266297404902</v>
      </c>
      <c r="E225" s="13" t="str">
        <f aca="false">IF(B225&lt;5,"Acidic",IF(B225&lt;9,"Near-neutral","Alkaline"))</f>
        <v>Acidic</v>
      </c>
    </row>
    <row r="226" customFormat="false" ht="15" hidden="false" customHeight="false" outlineLevel="0" collapsed="false">
      <c r="A226" s="23" t="n">
        <v>3.31665832916458</v>
      </c>
      <c r="B226" s="18" t="n">
        <v>2.69377658435507</v>
      </c>
      <c r="C226" s="23" t="n">
        <v>0.310216995335367</v>
      </c>
      <c r="D226" s="23" t="n">
        <v>12.3266297404902</v>
      </c>
      <c r="E226" s="13" t="str">
        <f aca="false">IF(B226&lt;5,"Acidic",IF(B226&lt;9,"Near-neutral","Alkaline"))</f>
        <v>Acidic</v>
      </c>
    </row>
    <row r="227" customFormat="false" ht="15" hidden="false" customHeight="false" outlineLevel="0" collapsed="false">
      <c r="A227" s="23" t="n">
        <v>3.33166583291646</v>
      </c>
      <c r="B227" s="18" t="n">
        <v>2.6984487976915</v>
      </c>
      <c r="C227" s="23" t="n">
        <v>0.312443778808557</v>
      </c>
      <c r="D227" s="23" t="n">
        <v>12.3266297404902</v>
      </c>
      <c r="E227" s="13" t="str">
        <f aca="false">IF(B227&lt;5,"Acidic",IF(B227&lt;9,"Near-neutral","Alkaline"))</f>
        <v>Acidic</v>
      </c>
    </row>
    <row r="228" customFormat="false" ht="15" hidden="false" customHeight="false" outlineLevel="0" collapsed="false">
      <c r="A228" s="23" t="n">
        <v>3.34667333666833</v>
      </c>
      <c r="B228" s="18" t="n">
        <v>2.70315474606229</v>
      </c>
      <c r="C228" s="23" t="n">
        <v>0.314713034735945</v>
      </c>
      <c r="D228" s="23" t="n">
        <v>12.3266297404902</v>
      </c>
      <c r="E228" s="13" t="str">
        <f aca="false">IF(B228&lt;5,"Acidic",IF(B228&lt;9,"Near-neutral","Alkaline"))</f>
        <v>Acidic</v>
      </c>
    </row>
    <row r="229" customFormat="false" ht="15" hidden="false" customHeight="false" outlineLevel="0" collapsed="false">
      <c r="A229" s="23" t="n">
        <v>3.36168084042021</v>
      </c>
      <c r="B229" s="18" t="n">
        <v>2.70789507546949</v>
      </c>
      <c r="C229" s="23" t="n">
        <v>0.317025919214842</v>
      </c>
      <c r="D229" s="23" t="n">
        <v>12.3266297404902</v>
      </c>
      <c r="E229" s="13" t="str">
        <f aca="false">IF(B229&lt;5,"Acidic",IF(B229&lt;9,"Near-neutral","Alkaline"))</f>
        <v>Acidic</v>
      </c>
    </row>
    <row r="230" customFormat="false" ht="15" hidden="false" customHeight="false" outlineLevel="0" collapsed="false">
      <c r="A230" s="23" t="n">
        <v>3.37668834417209</v>
      </c>
      <c r="B230" s="18" t="n">
        <v>2.71267044958305</v>
      </c>
      <c r="C230" s="23" t="n">
        <v>0.319383631176692</v>
      </c>
      <c r="D230" s="23" t="n">
        <v>12.3266297404902</v>
      </c>
      <c r="E230" s="13" t="str">
        <f aca="false">IF(B230&lt;5,"Acidic",IF(B230&lt;9,"Near-neutral","Alkaline"))</f>
        <v>Acidic</v>
      </c>
    </row>
    <row r="231" customFormat="false" ht="15" hidden="false" customHeight="false" outlineLevel="0" collapsed="false">
      <c r="A231" s="23" t="n">
        <v>3.39169584792396</v>
      </c>
      <c r="B231" s="18" t="n">
        <v>2.71748155039844</v>
      </c>
      <c r="C231" s="23" t="n">
        <v>0.32178741438517</v>
      </c>
      <c r="D231" s="23" t="n">
        <v>12.3266297404902</v>
      </c>
      <c r="E231" s="13" t="str">
        <f aca="false">IF(B231&lt;5,"Acidic",IF(B231&lt;9,"Near-neutral","Alkaline"))</f>
        <v>Acidic</v>
      </c>
    </row>
    <row r="232" customFormat="false" ht="15" hidden="false" customHeight="false" outlineLevel="0" collapsed="false">
      <c r="A232" s="23" t="n">
        <v>3.40670335167584</v>
      </c>
      <c r="B232" s="18" t="n">
        <v>2.72232907892508</v>
      </c>
      <c r="C232" s="23" t="n">
        <v>0.324238559547041</v>
      </c>
      <c r="D232" s="23" t="n">
        <v>12.3266297404902</v>
      </c>
      <c r="E232" s="13" t="str">
        <f aca="false">IF(B232&lt;5,"Acidic",IF(B232&lt;9,"Near-neutral","Alkaline"))</f>
        <v>Acidic</v>
      </c>
    </row>
    <row r="233" customFormat="false" ht="15" hidden="false" customHeight="false" outlineLevel="0" collapsed="false">
      <c r="A233" s="23" t="n">
        <v>3.42171085542771</v>
      </c>
      <c r="B233" s="18" t="n">
        <v>2.7272137559074</v>
      </c>
      <c r="C233" s="23" t="n">
        <v>0.326738406543029</v>
      </c>
      <c r="D233" s="23" t="n">
        <v>12.3266297404902</v>
      </c>
      <c r="E233" s="13" t="str">
        <f aca="false">IF(B233&lt;5,"Acidic",IF(B233&lt;9,"Near-neutral","Alkaline"))</f>
        <v>Acidic</v>
      </c>
    </row>
    <row r="234" customFormat="false" ht="15" hidden="false" customHeight="false" outlineLevel="0" collapsed="false">
      <c r="A234" s="23" t="n">
        <v>3.43671835917959</v>
      </c>
      <c r="B234" s="18" t="n">
        <v>2.73213632258022</v>
      </c>
      <c r="C234" s="23" t="n">
        <v>0.329288346787905</v>
      </c>
      <c r="D234" s="23" t="n">
        <v>12.3266297404902</v>
      </c>
      <c r="E234" s="13" t="str">
        <f aca="false">IF(B234&lt;5,"Acidic",IF(B234&lt;9,"Near-neutral","Alkaline"))</f>
        <v>Acidic</v>
      </c>
    </row>
    <row r="235" customFormat="false" ht="15" hidden="false" customHeight="false" outlineLevel="0" collapsed="false">
      <c r="A235" s="23" t="n">
        <v>3.45172586293147</v>
      </c>
      <c r="B235" s="18" t="n">
        <v>2.73709754146064</v>
      </c>
      <c r="C235" s="23" t="n">
        <v>0.331889825727387</v>
      </c>
      <c r="D235" s="23" t="n">
        <v>12.3266297404902</v>
      </c>
      <c r="E235" s="13" t="str">
        <f aca="false">IF(B235&lt;5,"Acidic",IF(B235&lt;9,"Near-neutral","Alkaline"))</f>
        <v>Acidic</v>
      </c>
    </row>
    <row r="236" customFormat="false" ht="15" hidden="false" customHeight="false" outlineLevel="0" collapsed="false">
      <c r="A236" s="23" t="n">
        <v>3.46673336668334</v>
      </c>
      <c r="B236" s="18" t="n">
        <v>2.74209819717847</v>
      </c>
      <c r="C236" s="23" t="n">
        <v>0.334544345481618</v>
      </c>
      <c r="D236" s="23" t="n">
        <v>12.3266297404902</v>
      </c>
      <c r="E236" s="13" t="str">
        <f aca="false">IF(B236&lt;5,"Acidic",IF(B236&lt;9,"Near-neutral","Alkaline"))</f>
        <v>Acidic</v>
      </c>
    </row>
    <row r="237" customFormat="false" ht="15" hidden="false" customHeight="false" outlineLevel="0" collapsed="false">
      <c r="A237" s="23" t="n">
        <v>3.48174087043522</v>
      </c>
      <c r="B237" s="18" t="n">
        <v>2.74713909734744</v>
      </c>
      <c r="C237" s="23" t="n">
        <v>0.337253467645951</v>
      </c>
      <c r="D237" s="23" t="n">
        <v>12.3266297404902</v>
      </c>
      <c r="E237" s="13" t="str">
        <f aca="false">IF(B237&lt;5,"Acidic",IF(B237&lt;9,"Near-neutral","Alkaline"))</f>
        <v>Acidic</v>
      </c>
    </row>
    <row r="238" customFormat="false" ht="15" hidden="false" customHeight="false" outlineLevel="0" collapsed="false">
      <c r="A238" s="23" t="n">
        <v>3.49674837418709</v>
      </c>
      <c r="B238" s="18" t="n">
        <v>2.75222107347981</v>
      </c>
      <c r="C238" s="23" t="n">
        <v>0.340018816258805</v>
      </c>
      <c r="D238" s="23" t="n">
        <v>12.3266297404902</v>
      </c>
      <c r="E238" s="13" t="str">
        <f aca="false">IF(B238&lt;5,"Acidic",IF(B238&lt;9,"Near-neutral","Alkaline"))</f>
        <v>Acidic</v>
      </c>
    </row>
    <row r="239" customFormat="false" ht="15" hidden="false" customHeight="false" outlineLevel="0" collapsed="false">
      <c r="A239" s="23" t="n">
        <v>3.51175587793897</v>
      </c>
      <c r="B239" s="18" t="n">
        <v>2.75734498194665</v>
      </c>
      <c r="C239" s="23" t="n">
        <v>0.342842080949879</v>
      </c>
      <c r="D239" s="23" t="n">
        <v>12.3266297404902</v>
      </c>
      <c r="E239" s="13" t="str">
        <f aca="false">IF(B239&lt;5,"Acidic",IF(B239&lt;9,"Near-neutral","Alkaline"))</f>
        <v>Acidic</v>
      </c>
    </row>
    <row r="240" customFormat="false" ht="15" hidden="false" customHeight="false" outlineLevel="0" collapsed="false">
      <c r="A240" s="23" t="n">
        <v>3.52676338169085</v>
      </c>
      <c r="B240" s="18" t="n">
        <v>2.76251170498698</v>
      </c>
      <c r="C240" s="23" t="n">
        <v>0.345725020280014</v>
      </c>
      <c r="D240" s="23" t="n">
        <v>12.3266297404902</v>
      </c>
      <c r="E240" s="13" t="str">
        <f aca="false">IF(B240&lt;5,"Acidic",IF(B240&lt;9,"Near-neutral","Alkaline"))</f>
        <v>Acidic</v>
      </c>
    </row>
    <row r="241" customFormat="false" ht="15" hidden="false" customHeight="false" outlineLevel="0" collapsed="false">
      <c r="A241" s="23" t="n">
        <v>3.54177088544272</v>
      </c>
      <c r="B241" s="18" t="n">
        <v>2.76772215176839</v>
      </c>
      <c r="C241" s="23" t="n">
        <v>0.348669465288083</v>
      </c>
      <c r="D241" s="23" t="n">
        <v>12.3266297404902</v>
      </c>
      <c r="E241" s="13" t="str">
        <f aca="false">IF(B241&lt;5,"Acidic",IF(B241&lt;9,"Near-neutral","Alkaline"))</f>
        <v>Acidic</v>
      </c>
    </row>
    <row r="242" customFormat="false" ht="15" hidden="false" customHeight="false" outlineLevel="0" collapsed="false">
      <c r="A242" s="23" t="n">
        <v>3.5567783891946</v>
      </c>
      <c r="B242" s="18" t="n">
        <v>2.77297725950268</v>
      </c>
      <c r="C242" s="23" t="n">
        <v>0.351677323258656</v>
      </c>
      <c r="D242" s="23" t="n">
        <v>12.3266297404902</v>
      </c>
      <c r="E242" s="13" t="str">
        <f aca="false">IF(B242&lt;5,"Acidic",IF(B242&lt;9,"Near-neutral","Alkaline"))</f>
        <v>Acidic</v>
      </c>
    </row>
    <row r="243" customFormat="false" ht="15" hidden="false" customHeight="false" outlineLevel="0" collapsed="false">
      <c r="A243" s="23" t="n">
        <v>3.57178589294647</v>
      </c>
      <c r="B243" s="18" t="n">
        <v>2.77827799461965</v>
      </c>
      <c r="C243" s="23" t="n">
        <v>0.354750581727302</v>
      </c>
      <c r="D243" s="23" t="n">
        <v>12.3266297404902</v>
      </c>
      <c r="E243" s="13" t="str">
        <f aca="false">IF(B243&lt;5,"Acidic",IF(B243&lt;9,"Near-neutral","Alkaline"))</f>
        <v>Acidic</v>
      </c>
    </row>
    <row r="244" customFormat="false" ht="15" hidden="false" customHeight="false" outlineLevel="0" collapsed="false">
      <c r="A244" s="23" t="n">
        <v>3.58679339669835</v>
      </c>
      <c r="B244" s="18" t="n">
        <v>2.78362535400294</v>
      </c>
      <c r="C244" s="23" t="n">
        <v>0.357891312741486</v>
      </c>
      <c r="D244" s="23" t="n">
        <v>12.3266297404902</v>
      </c>
      <c r="E244" s="13" t="str">
        <f aca="false">IF(B244&lt;5,"Acidic",IF(B244&lt;9,"Near-neutral","Alkaline"))</f>
        <v>Acidic</v>
      </c>
    </row>
    <row r="245" customFormat="false" ht="15" hidden="false" customHeight="false" outlineLevel="0" collapsed="false">
      <c r="A245" s="23" t="n">
        <v>3.60180090045023</v>
      </c>
      <c r="B245" s="18" t="n">
        <v>2.78902036629188</v>
      </c>
      <c r="C245" s="23" t="n">
        <v>0.361101677395197</v>
      </c>
      <c r="D245" s="23" t="n">
        <v>12.3266297404902</v>
      </c>
      <c r="E245" s="13" t="str">
        <f aca="false">IF(B245&lt;5,"Acidic",IF(B245&lt;9,"Near-neutral","Alkaline"))</f>
        <v>Acidic</v>
      </c>
    </row>
    <row r="246" customFormat="false" ht="15" hidden="false" customHeight="false" outlineLevel="0" collapsed="false">
      <c r="A246" s="23" t="n">
        <v>3.6168084042021</v>
      </c>
      <c r="B246" s="18" t="n">
        <v>2.79446409325351</v>
      </c>
      <c r="C246" s="23" t="n">
        <v>0.364383930659784</v>
      </c>
      <c r="D246" s="23" t="n">
        <v>12.3266297404902</v>
      </c>
      <c r="E246" s="13" t="str">
        <f aca="false">IF(B246&lt;5,"Acidic",IF(B246&lt;9,"Near-neutral","Alkaline"))</f>
        <v>Acidic</v>
      </c>
    </row>
    <row r="247" customFormat="false" ht="15" hidden="false" customHeight="false" outlineLevel="0" collapsed="false">
      <c r="A247" s="23" t="n">
        <v>3.63181590795398</v>
      </c>
      <c r="B247" s="18" t="n">
        <v>2.79995763122944</v>
      </c>
      <c r="C247" s="23" t="n">
        <v>0.36774042653181</v>
      </c>
      <c r="D247" s="23" t="n">
        <v>12.3266297404902</v>
      </c>
      <c r="E247" s="13" t="str">
        <f aca="false">IF(B247&lt;5,"Acidic",IF(B247&lt;9,"Near-neutral","Alkaline"))</f>
        <v>Acidic</v>
      </c>
    </row>
    <row r="248" customFormat="false" ht="15" hidden="false" customHeight="false" outlineLevel="0" collapsed="false">
      <c r="A248" s="23" t="n">
        <v>3.64682341170585</v>
      </c>
      <c r="B248" s="18" t="n">
        <v>2.80550211266251</v>
      </c>
      <c r="C248" s="23" t="n">
        <v>0.371173623524072</v>
      </c>
      <c r="D248" s="23" t="n">
        <v>12.3266297404902</v>
      </c>
      <c r="E248" s="13" t="str">
        <f aca="false">IF(B248&lt;5,"Acidic",IF(B248&lt;9,"Near-neutral","Alkaline"))</f>
        <v>Acidic</v>
      </c>
    </row>
    <row r="249" customFormat="false" ht="15" hidden="false" customHeight="false" outlineLevel="0" collapsed="false">
      <c r="A249" s="23" t="n">
        <v>3.66183091545773</v>
      </c>
      <c r="B249" s="18" t="n">
        <v>2.81109870770861</v>
      </c>
      <c r="C249" s="23" t="n">
        <v>0.374686090525671</v>
      </c>
      <c r="D249" s="23" t="n">
        <v>12.3266297404902</v>
      </c>
      <c r="E249" s="13" t="str">
        <f aca="false">IF(B249&lt;5,"Acidic",IF(B249&lt;9,"Near-neutral","Alkaline"))</f>
        <v>Acidic</v>
      </c>
    </row>
    <row r="250" customFormat="false" ht="15" hidden="false" customHeight="false" outlineLevel="0" collapsed="false">
      <c r="A250" s="23" t="n">
        <v>3.67683841920961</v>
      </c>
      <c r="B250" s="18" t="n">
        <v>2.81674862593928</v>
      </c>
      <c r="C250" s="23" t="n">
        <v>0.37828051306181</v>
      </c>
      <c r="D250" s="23" t="n">
        <v>12.3266297404902</v>
      </c>
      <c r="E250" s="13" t="str">
        <f aca="false">IF(B250&lt;5,"Acidic",IF(B250&lt;9,"Near-neutral","Alkaline"))</f>
        <v>Acidic</v>
      </c>
    </row>
    <row r="251" customFormat="false" ht="15" hidden="false" customHeight="false" outlineLevel="0" collapsed="false">
      <c r="A251" s="23" t="n">
        <v>3.69184592296148</v>
      </c>
      <c r="B251" s="18" t="n">
        <v>2.82245311814156</v>
      </c>
      <c r="C251" s="23" t="n">
        <v>0.381959699983213</v>
      </c>
      <c r="D251" s="23" t="n">
        <v>12.3266297404902</v>
      </c>
      <c r="E251" s="13" t="str">
        <f aca="false">IF(B251&lt;5,"Acidic",IF(B251&lt;9,"Near-neutral","Alkaline"))</f>
        <v>Acidic</v>
      </c>
    </row>
    <row r="252" customFormat="false" ht="15" hidden="false" customHeight="false" outlineLevel="0" collapsed="false">
      <c r="A252" s="23" t="n">
        <v>3.70685342671336</v>
      </c>
      <c r="B252" s="18" t="n">
        <v>2.8282134782215</v>
      </c>
      <c r="C252" s="23" t="n">
        <v>0.385726590622539</v>
      </c>
      <c r="D252" s="23" t="n">
        <v>12.3266297404902</v>
      </c>
      <c r="E252" s="13" t="str">
        <f aca="false">IF(B252&lt;5,"Acidic",IF(B252&lt;9,"Near-neutral","Alkaline"))</f>
        <v>Acidic</v>
      </c>
    </row>
    <row r="253" customFormat="false" ht="15" hidden="false" customHeight="false" outlineLevel="0" collapsed="false">
      <c r="A253" s="23" t="n">
        <v>3.72186093046523</v>
      </c>
      <c r="B253" s="18" t="n">
        <v>2.83403104521896</v>
      </c>
      <c r="C253" s="23" t="n">
        <v>0.389584262454434</v>
      </c>
      <c r="D253" s="23" t="n">
        <v>12.3266297404902</v>
      </c>
      <c r="E253" s="13" t="str">
        <f aca="false">IF(B253&lt;5,"Acidic",IF(B253&lt;9,"Near-neutral","Alkaline"))</f>
        <v>Acidic</v>
      </c>
    </row>
    <row r="254" customFormat="false" ht="15" hidden="false" customHeight="false" outlineLevel="0" collapsed="false">
      <c r="A254" s="23" t="n">
        <v>3.73686843421711</v>
      </c>
      <c r="B254" s="18" t="n">
        <v>2.83990720544121</v>
      </c>
      <c r="C254" s="23" t="n">
        <v>0.393535939301842</v>
      </c>
      <c r="D254" s="23" t="n">
        <v>12.3266297404902</v>
      </c>
      <c r="E254" s="13" t="str">
        <f aca="false">IF(B254&lt;5,"Acidic",IF(B254&lt;9,"Near-neutral","Alkaline"))</f>
        <v>Acidic</v>
      </c>
    </row>
    <row r="255" customFormat="false" ht="15" hidden="false" customHeight="false" outlineLevel="0" collapsed="false">
      <c r="A255" s="23" t="n">
        <v>3.75187593796899</v>
      </c>
      <c r="B255" s="18" t="n">
        <v>2.84584339472416</v>
      </c>
      <c r="C255" s="23" t="n">
        <v>0.397585000134257</v>
      </c>
      <c r="D255" s="23" t="n">
        <v>12.3266297404902</v>
      </c>
      <c r="E255" s="13" t="str">
        <f aca="false">IF(B255&lt;5,"Acidic",IF(B255&lt;9,"Near-neutral","Alkaline"))</f>
        <v>Acidic</v>
      </c>
    </row>
    <row r="256" customFormat="false" ht="15" hidden="false" customHeight="false" outlineLevel="0" collapsed="false">
      <c r="A256" s="23" t="n">
        <v>3.76688344172086</v>
      </c>
      <c r="B256" s="18" t="n">
        <v>2.85184110083029</v>
      </c>
      <c r="C256" s="23" t="n">
        <v>0.401734988508906</v>
      </c>
      <c r="D256" s="23" t="n">
        <v>12.3266297404902</v>
      </c>
      <c r="E256" s="13" t="str">
        <f aca="false">IF(B256&lt;5,"Acidic",IF(B256&lt;9,"Near-neutral","Alkaline"))</f>
        <v>Acidic</v>
      </c>
    </row>
    <row r="257" customFormat="false" ht="15" hidden="false" customHeight="false" outlineLevel="0" collapsed="false">
      <c r="A257" s="23" t="n">
        <v>3.78189094547274</v>
      </c>
      <c r="B257" s="18" t="n">
        <v>2.85790186599342</v>
      </c>
      <c r="C257" s="23" t="n">
        <v>0.405989622709342</v>
      </c>
      <c r="D257" s="23" t="n">
        <v>12.3266297404902</v>
      </c>
      <c r="E257" s="13" t="str">
        <f aca="false">IF(B257&lt;5,"Acidic",IF(B257&lt;9,"Near-neutral","Alkaline"))</f>
        <v>Acidic</v>
      </c>
    </row>
    <row r="258" customFormat="false" ht="15" hidden="false" customHeight="false" outlineLevel="0" collapsed="false">
      <c r="A258" s="23" t="n">
        <v>3.79689844922461</v>
      </c>
      <c r="B258" s="18" t="n">
        <v>2.86402728962124</v>
      </c>
      <c r="C258" s="23" t="n">
        <v>0.410352806643459</v>
      </c>
      <c r="D258" s="23" t="n">
        <v>12.3266297404902</v>
      </c>
      <c r="E258" s="13" t="str">
        <f aca="false">IF(B258&lt;5,"Acidic",IF(B258&lt;9,"Near-neutral","Alkaline"))</f>
        <v>Acidic</v>
      </c>
    </row>
    <row r="259" customFormat="false" ht="15" hidden="false" customHeight="false" outlineLevel="0" collapsed="false">
      <c r="A259" s="23" t="n">
        <v>3.81190595297649</v>
      </c>
      <c r="B259" s="18" t="n">
        <v>2.87021903116734</v>
      </c>
      <c r="C259" s="23" t="n">
        <v>0.414828641567169</v>
      </c>
      <c r="D259" s="23" t="n">
        <v>12.3266297404902</v>
      </c>
      <c r="E259" s="13" t="str">
        <f aca="false">IF(B259&lt;5,"Acidic",IF(B259&lt;9,"Near-neutral","Alkaline"))</f>
        <v>Acidic</v>
      </c>
    </row>
    <row r="260" customFormat="false" ht="15" hidden="false" customHeight="false" outlineLevel="0" collapsed="false">
      <c r="A260" s="23" t="n">
        <v>3.82691345672836</v>
      </c>
      <c r="B260" s="18" t="n">
        <v>2.87647881318598</v>
      </c>
      <c r="C260" s="23" t="n">
        <v>0.419421438708383</v>
      </c>
      <c r="D260" s="23" t="n">
        <v>12.3266297404902</v>
      </c>
      <c r="E260" s="13" t="str">
        <f aca="false">IF(B260&lt;5,"Acidic",IF(B260&lt;9,"Near-neutral","Alkaline"))</f>
        <v>Acidic</v>
      </c>
    </row>
    <row r="261" customFormat="false" ht="15" hidden="false" customHeight="false" outlineLevel="0" collapsed="false">
      <c r="A261" s="23" t="n">
        <v>3.84192096048024</v>
      </c>
      <c r="B261" s="18" t="n">
        <v>2.88280842458333</v>
      </c>
      <c r="C261" s="23" t="n">
        <v>0.424135732872202</v>
      </c>
      <c r="D261" s="23" t="n">
        <v>12.3266297404902</v>
      </c>
      <c r="E261" s="13" t="str">
        <f aca="false">IF(B261&lt;5,"Acidic",IF(B261&lt;9,"Near-neutral","Alkaline"))</f>
        <v>Acidic</v>
      </c>
    </row>
    <row r="262" customFormat="false" ht="15" hidden="false" customHeight="false" outlineLevel="0" collapsed="false">
      <c r="A262" s="23" t="n">
        <v>3.85692846423212</v>
      </c>
      <c r="B262" s="18" t="n">
        <v>2.88920972408088</v>
      </c>
      <c r="C262" s="23" t="n">
        <v>0.428976297118453</v>
      </c>
      <c r="D262" s="23" t="n">
        <v>12.3266297404902</v>
      </c>
      <c r="E262" s="13" t="str">
        <f aca="false">IF(B262&lt;5,"Acidic",IF(B262&lt;9,"Near-neutral","Alkaline"))</f>
        <v>Acidic</v>
      </c>
    </row>
    <row r="263" customFormat="false" ht="15" hidden="false" customHeight="false" outlineLevel="0" collapsed="false">
      <c r="A263" s="23" t="n">
        <v>3.87193596798399</v>
      </c>
      <c r="B263" s="18" t="n">
        <v>2.89568464390769</v>
      </c>
      <c r="C263" s="23" t="n">
        <v>0.433948158610662</v>
      </c>
      <c r="D263" s="23" t="n">
        <v>12.3266297404902</v>
      </c>
      <c r="E263" s="13" t="str">
        <f aca="false">IF(B263&lt;5,"Acidic",IF(B263&lt;9,"Near-neutral","Alkaline"))</f>
        <v>Acidic</v>
      </c>
    </row>
    <row r="264" customFormat="false" ht="15" hidden="false" customHeight="false" outlineLevel="0" collapsed="false">
      <c r="A264" s="23" t="n">
        <v>3.88694347173587</v>
      </c>
      <c r="B264" s="18" t="n">
        <v>2.90223519373983</v>
      </c>
      <c r="C264" s="23" t="n">
        <v>0.439056615747603</v>
      </c>
      <c r="D264" s="23" t="n">
        <v>12.3266297404902</v>
      </c>
      <c r="E264" s="13" t="str">
        <f aca="false">IF(B264&lt;5,"Acidic",IF(B264&lt;9,"Near-neutral","Alkaline"))</f>
        <v>Acidic</v>
      </c>
    </row>
    <row r="265" customFormat="false" ht="15" hidden="false" customHeight="false" outlineLevel="0" collapsed="false">
      <c r="A265" s="23" t="n">
        <v>3.90195097548774</v>
      </c>
      <c r="B265" s="18" t="n">
        <v>2.90886346490735</v>
      </c>
      <c r="C265" s="23" t="n">
        <v>0.444307256699119</v>
      </c>
      <c r="D265" s="23" t="n">
        <v>12.3266297404902</v>
      </c>
      <c r="E265" s="13" t="str">
        <f aca="false">IF(B265&lt;5,"Acidic",IF(B265&lt;9,"Near-neutral","Alkaline"))</f>
        <v>Acidic</v>
      </c>
    </row>
    <row r="266" customFormat="false" ht="15" hidden="false" customHeight="false" outlineLevel="0" collapsed="false">
      <c r="A266" s="23" t="n">
        <v>3.91695847923962</v>
      </c>
      <c r="B266" s="18" t="n">
        <v>2.91557163489059</v>
      </c>
      <c r="C266" s="23" t="n">
        <v>0.449705979484463</v>
      </c>
      <c r="D266" s="23" t="n">
        <v>12.3266297404902</v>
      </c>
      <c r="E266" s="13" t="str">
        <f aca="false">IF(B266&lt;5,"Acidic",IF(B266&lt;9,"Near-neutral","Alkaline"))</f>
        <v>Acidic</v>
      </c>
    </row>
    <row r="267" customFormat="false" ht="15" hidden="false" customHeight="false" outlineLevel="0" collapsed="false">
      <c r="A267" s="23" t="n">
        <v>3.9319659829915</v>
      </c>
      <c r="B267" s="18" t="n">
        <v>2.92236197213031</v>
      </c>
      <c r="C267" s="23" t="n">
        <v>0.455259013742477</v>
      </c>
      <c r="D267" s="23" t="n">
        <v>12.3266297404902</v>
      </c>
      <c r="E267" s="13" t="str">
        <f aca="false">IF(B267&lt;5,"Acidic",IF(B267&lt;9,"Near-neutral","Alkaline"))</f>
        <v>Acidic</v>
      </c>
    </row>
    <row r="268" customFormat="false" ht="15" hidden="false" customHeight="false" outlineLevel="0" collapsed="false">
      <c r="A268" s="23" t="n">
        <v>3.94697348674337</v>
      </c>
      <c r="B268" s="18" t="n">
        <v>2.92923684117815</v>
      </c>
      <c r="C268" s="23" t="n">
        <v>0.460972944363931</v>
      </c>
      <c r="D268" s="23" t="n">
        <v>12.3266297404902</v>
      </c>
      <c r="E268" s="13" t="str">
        <f aca="false">IF(B268&lt;5,"Acidic",IF(B268&lt;9,"Near-neutral","Alkaline"))</f>
        <v>Acidic</v>
      </c>
    </row>
    <row r="269" customFormat="false" ht="15" hidden="false" customHeight="false" outlineLevel="0" collapsed="false">
      <c r="A269" s="23" t="n">
        <v>3.96198099049525</v>
      </c>
      <c r="B269" s="18" t="n">
        <v>2.93619870821673</v>
      </c>
      <c r="C269" s="23" t="n">
        <v>0.4668547371746</v>
      </c>
      <c r="D269" s="23" t="n">
        <v>12.3266297404902</v>
      </c>
      <c r="E269" s="13" t="str">
        <f aca="false">IF(B269&lt;5,"Acidic",IF(B269&lt;9,"Near-neutral","Alkaline"))</f>
        <v>Acidic</v>
      </c>
    </row>
    <row r="270" customFormat="false" ht="15" hidden="false" customHeight="false" outlineLevel="0" collapsed="false">
      <c r="A270" s="23" t="n">
        <v>3.97698849424712</v>
      </c>
      <c r="B270" s="18" t="n">
        <v>2.94325014698176</v>
      </c>
      <c r="C270" s="23" t="n">
        <v>0.472911766878326</v>
      </c>
      <c r="D270" s="23" t="n">
        <v>12.3266297404902</v>
      </c>
      <c r="E270" s="13" t="str">
        <f aca="false">IF(B270&lt;5,"Acidic",IF(B270&lt;9,"Near-neutral","Alkaline"))</f>
        <v>Acidic</v>
      </c>
    </row>
    <row r="271" customFormat="false" ht="15" hidden="false" customHeight="false" outlineLevel="0" collapsed="false">
      <c r="A271" s="23" t="n">
        <v>3.991995997999</v>
      </c>
      <c r="B271" s="18" t="n">
        <v>2.95039384512181</v>
      </c>
      <c r="C271" s="23" t="n">
        <v>0.479151847497718</v>
      </c>
      <c r="D271" s="23" t="n">
        <v>12.3266297404902</v>
      </c>
      <c r="E271" s="13" t="str">
        <f aca="false">IF(B271&lt;5,"Acidic",IF(B271&lt;9,"Near-neutral","Alkaline"))</f>
        <v>Acidic</v>
      </c>
    </row>
    <row r="272" customFormat="false" ht="15" hidden="false" customHeight="false" outlineLevel="0" collapsed="false">
      <c r="A272" s="23" t="n">
        <v>4.00700350175088</v>
      </c>
      <c r="B272" s="18" t="n">
        <v>2.95763261103503</v>
      </c>
      <c r="C272" s="23" t="n">
        <v>0.485583265574348</v>
      </c>
      <c r="D272" s="23" t="n">
        <v>12.3266297404902</v>
      </c>
      <c r="E272" s="13" t="str">
        <f aca="false">IF(B272&lt;5,"Acidic",IF(B272&lt;9,"Near-neutral","Alkaline"))</f>
        <v>Acidic</v>
      </c>
    </row>
    <row r="273" customFormat="false" ht="15" hidden="false" customHeight="false" outlineLevel="0" collapsed="false">
      <c r="A273" s="23" t="n">
        <v>4.02201100550275</v>
      </c>
      <c r="B273" s="18" t="n">
        <v>2.96496938122657</v>
      </c>
      <c r="C273" s="23" t="n">
        <v>0.492214816427094</v>
      </c>
      <c r="D273" s="23" t="n">
        <v>12.3266297404902</v>
      </c>
      <c r="E273" s="13" t="str">
        <f aca="false">IF(B273&lt;5,"Acidic",IF(B273&lt;9,"Near-neutral","Alkaline"))</f>
        <v>Acidic</v>
      </c>
    </row>
    <row r="274" customFormat="false" ht="15" hidden="false" customHeight="false" outlineLevel="0" collapsed="false">
      <c r="A274" s="23" t="n">
        <v>4.03701850925463</v>
      </c>
      <c r="B274" s="18" t="n">
        <v>2.97240722823481</v>
      </c>
      <c r="C274" s="23" t="n">
        <v>0.499055843800733</v>
      </c>
      <c r="D274" s="23" t="n">
        <v>12.3266297404902</v>
      </c>
      <c r="E274" s="13" t="str">
        <f aca="false">IF(B274&lt;5,"Acidic",IF(B274&lt;9,"Near-neutral","Alkaline"))</f>
        <v>Acidic</v>
      </c>
    </row>
    <row r="275" customFormat="false" ht="15" hidden="false" customHeight="false" outlineLevel="0" collapsed="false">
      <c r="A275" s="23" t="n">
        <v>4.0520260130065</v>
      </c>
      <c r="B275" s="18" t="n">
        <v>2.97994936918024</v>
      </c>
      <c r="C275" s="23" t="n">
        <v>0.506116283281585</v>
      </c>
      <c r="D275" s="23" t="n">
        <v>12.3266297404902</v>
      </c>
      <c r="E275" s="13" t="str">
        <f aca="false">IF(B275&lt;5,"Acidic",IF(B275&lt;9,"Near-neutral","Alkaline"))</f>
        <v>Acidic</v>
      </c>
    </row>
    <row r="276" customFormat="false" ht="15" hidden="false" customHeight="false" outlineLevel="0" collapsed="false">
      <c r="A276" s="23" t="n">
        <v>4.06703351675838</v>
      </c>
      <c r="B276" s="18" t="n">
        <v>2.98759917499645</v>
      </c>
      <c r="C276" s="23" t="n">
        <v>0.513406709903933</v>
      </c>
      <c r="D276" s="23" t="n">
        <v>12.3266297404902</v>
      </c>
      <c r="E276" s="13" t="str">
        <f aca="false">IF(B276&lt;5,"Acidic",IF(B276&lt;9,"Near-neutral","Alkaline"))</f>
        <v>Acidic</v>
      </c>
    </row>
    <row r="277" customFormat="false" ht="15" hidden="false" customHeight="false" outlineLevel="0" collapsed="false">
      <c r="A277" s="23" t="n">
        <v>4.08204102051026</v>
      </c>
      <c r="B277" s="18" t="n">
        <v>2.99536018040967</v>
      </c>
      <c r="C277" s="23" t="n">
        <v>0.520938390426693</v>
      </c>
      <c r="D277" s="23" t="n">
        <v>12.3266297404902</v>
      </c>
      <c r="E277" s="13" t="str">
        <f aca="false">IF(B277&lt;5,"Acidic",IF(B277&lt;9,"Near-neutral","Alkaline"))</f>
        <v>Acidic</v>
      </c>
    </row>
    <row r="278" customFormat="false" ht="15" hidden="false" customHeight="false" outlineLevel="0" collapsed="false">
      <c r="A278" s="23" t="n">
        <v>4.09704852426213</v>
      </c>
      <c r="B278" s="18" t="n">
        <v>3.0032360947409</v>
      </c>
      <c r="C278" s="23" t="n">
        <v>0.528723340824143</v>
      </c>
      <c r="D278" s="23" t="n">
        <v>12.3266297404902</v>
      </c>
      <c r="E278" s="13" t="str">
        <f aca="false">IF(B278&lt;5,"Acidic",IF(B278&lt;9,"Near-neutral","Alkaline"))</f>
        <v>Acidic</v>
      </c>
    </row>
    <row r="279" customFormat="false" ht="15" hidden="false" customHeight="false" outlineLevel="0" collapsed="false">
      <c r="A279" s="23" t="n">
        <v>4.11205602801401</v>
      </c>
      <c r="B279" s="18" t="n">
        <v>3.01123081361335</v>
      </c>
      <c r="C279" s="23" t="n">
        <v>0.536774389608382</v>
      </c>
      <c r="D279" s="23" t="n">
        <v>12.3266297404902</v>
      </c>
      <c r="E279" s="13" t="str">
        <f aca="false">IF(B279&lt;5,"Acidic",IF(B279&lt;9,"Near-neutral","Alkaline"))</f>
        <v>Acidic</v>
      </c>
    </row>
    <row r="280" customFormat="false" ht="15" hidden="false" customHeight="false" outlineLevel="0" collapsed="false">
      <c r="A280" s="23" t="n">
        <v>4.12706353176588</v>
      </c>
      <c r="B280" s="18" t="n">
        <v>3.01934843165779</v>
      </c>
      <c r="C280" s="23" t="n">
        <v>0.54510524768321</v>
      </c>
      <c r="D280" s="23" t="n">
        <v>12.3266297404902</v>
      </c>
      <c r="E280" s="13" t="str">
        <f aca="false">IF(B280&lt;5,"Acidic",IF(B280&lt;9,"Near-neutral","Alkaline"))</f>
        <v>Acidic</v>
      </c>
    </row>
    <row r="281" customFormat="false" ht="15" hidden="false" customHeight="false" outlineLevel="0" collapsed="false">
      <c r="A281" s="23" t="n">
        <v>4.14207103551776</v>
      </c>
      <c r="B281" s="18" t="n">
        <v>3.0275932563197</v>
      </c>
      <c r="C281" s="23" t="n">
        <v>0.553730585532662</v>
      </c>
      <c r="D281" s="23" t="n">
        <v>12.3266297404902</v>
      </c>
      <c r="E281" s="13" t="str">
        <f aca="false">IF(B281&lt;5,"Acidic",IF(B281&lt;9,"Near-neutral","Alkaline"))</f>
        <v>Acidic</v>
      </c>
    </row>
    <row r="282" customFormat="false" ht="15" hidden="false" customHeight="false" outlineLevel="0" collapsed="false">
      <c r="A282" s="23" t="n">
        <v>4.15707853926964</v>
      </c>
      <c r="B282" s="18" t="n">
        <v>3.03596982288484</v>
      </c>
      <c r="C282" s="23" t="n">
        <v>0.562666118654931</v>
      </c>
      <c r="D282" s="23" t="n">
        <v>12.3266297404902</v>
      </c>
      <c r="E282" s="13" t="str">
        <f aca="false">IF(B282&lt;5,"Acidic",IF(B282&lt;9,"Near-neutral","Alkaline"))</f>
        <v>Acidic</v>
      </c>
    </row>
    <row r="283" customFormat="false" ht="15" hidden="false" customHeight="false" outlineLevel="0" collapsed="false">
      <c r="A283" s="23" t="n">
        <v>4.17208604302151</v>
      </c>
      <c r="B283" s="18" t="n">
        <v>3.0444829108546</v>
      </c>
      <c r="C283" s="23" t="n">
        <v>0.57192870229116</v>
      </c>
      <c r="D283" s="23" t="n">
        <v>12.3266297404902</v>
      </c>
      <c r="E283" s="13" t="str">
        <f aca="false">IF(B283&lt;5,"Acidic",IF(B283&lt;9,"Near-neutral","Alkaline"))</f>
        <v>Acidic</v>
      </c>
    </row>
    <row r="284" customFormat="false" ht="15" hidden="false" customHeight="false" outlineLevel="0" collapsed="false">
      <c r="A284" s="23" t="n">
        <v>4.18709354677339</v>
      </c>
      <c r="B284" s="18" t="n">
        <v>3.0531375618194</v>
      </c>
      <c r="C284" s="23" t="n">
        <v>0.581536436648634</v>
      </c>
      <c r="D284" s="23" t="n">
        <v>12.3266297404902</v>
      </c>
      <c r="E284" s="13" t="str">
        <f aca="false">IF(B284&lt;5,"Acidic",IF(B284&lt;9,"Near-neutral","Alkaline"))</f>
        <v>Acidic</v>
      </c>
    </row>
    <row r="285" customFormat="false" ht="15" hidden="false" customHeight="false" outlineLevel="0" collapsed="false">
      <c r="A285" s="23" t="n">
        <v>4.20210105052526</v>
      </c>
      <c r="B285" s="18" t="n">
        <v>3.06193909899748</v>
      </c>
      <c r="C285" s="23" t="n">
        <v>0.591508784001377</v>
      </c>
      <c r="D285" s="23" t="n">
        <v>12.3266297404902</v>
      </c>
      <c r="E285" s="13" t="str">
        <f aca="false">IF(B285&lt;5,"Acidic",IF(B285&lt;9,"Near-neutral","Alkaline"))</f>
        <v>Acidic</v>
      </c>
    </row>
    <row r="286" customFormat="false" ht="15" hidden="false" customHeight="false" outlineLevel="0" collapsed="false">
      <c r="A286" s="23" t="n">
        <v>4.21710855427714</v>
      </c>
      <c r="B286" s="18" t="n">
        <v>3.07089314862898</v>
      </c>
      <c r="C286" s="23" t="n">
        <v>0.601866699261166</v>
      </c>
      <c r="D286" s="23" t="n">
        <v>12.3266297404902</v>
      </c>
      <c r="E286" s="13" t="str">
        <f aca="false">IF(B286&lt;5,"Acidic",IF(B286&lt;9,"Near-neutral","Alkaline"))</f>
        <v>Acidic</v>
      </c>
    </row>
    <row r="287" customFormat="false" ht="15" hidden="false" customHeight="false" outlineLevel="0" collapsed="false">
      <c r="A287" s="23" t="n">
        <v>4.23211605802902</v>
      </c>
      <c r="B287" s="18" t="n">
        <v>3.08000566344084</v>
      </c>
      <c r="C287" s="23" t="n">
        <v>0.612632775864455</v>
      </c>
      <c r="D287" s="23" t="n">
        <v>12.3266297404902</v>
      </c>
      <c r="E287" s="13" t="str">
        <f aca="false">IF(B287&lt;5,"Acidic",IF(B287&lt;9,"Near-neutral","Alkaline"))</f>
        <v>Acidic</v>
      </c>
    </row>
    <row r="288" customFormat="false" ht="15" hidden="false" customHeight="false" outlineLevel="0" collapsed="false">
      <c r="A288" s="23" t="n">
        <v>4.24712356178089</v>
      </c>
      <c r="B288" s="18" t="n">
        <v>3.08928294842762</v>
      </c>
      <c r="C288" s="23" t="n">
        <v>0.623831409109641</v>
      </c>
      <c r="D288" s="23" t="n">
        <v>12.3266297404902</v>
      </c>
      <c r="E288" s="13" t="str">
        <f aca="false">IF(B288&lt;5,"Acidic",IF(B288&lt;9,"Near-neutral","Alkaline"))</f>
        <v>Acidic</v>
      </c>
    </row>
    <row r="289" customFormat="false" ht="15" hidden="false" customHeight="false" outlineLevel="0" collapsed="false">
      <c r="A289" s="23" t="n">
        <v>4.26213106553277</v>
      </c>
      <c r="B289" s="18" t="n">
        <v>3.09873168922826</v>
      </c>
      <c r="C289" s="23" t="n">
        <v>0.635488979433291</v>
      </c>
      <c r="D289" s="23" t="n">
        <v>12.3266297404902</v>
      </c>
      <c r="E289" s="13" t="str">
        <f aca="false">IF(B289&lt;5,"Acidic",IF(B289&lt;9,"Near-neutral","Alkaline"))</f>
        <v>Acidic</v>
      </c>
    </row>
    <row r="290" customFormat="false" ht="15" hidden="false" customHeight="false" outlineLevel="0" collapsed="false">
      <c r="A290" s="23" t="n">
        <v>4.27713856928464</v>
      </c>
      <c r="B290" s="18" t="n">
        <v>3.10835898341883</v>
      </c>
      <c r="C290" s="23" t="n">
        <v>0.647634058520254</v>
      </c>
      <c r="D290" s="23" t="n">
        <v>12.3266297404902</v>
      </c>
      <c r="E290" s="13" t="str">
        <f aca="false">IF(B290&lt;5,"Acidic",IF(B290&lt;9,"Near-neutral","Alkaline"))</f>
        <v>Acidic</v>
      </c>
    </row>
    <row r="291" customFormat="false" ht="15" hidden="false" customHeight="false" outlineLevel="0" collapsed="false">
      <c r="A291" s="23" t="n">
        <v>4.29214607303652</v>
      </c>
      <c r="B291" s="18" t="n">
        <v>3.11817237508839</v>
      </c>
      <c r="C291" s="23" t="n">
        <v>0.660297641641307</v>
      </c>
      <c r="D291" s="23" t="n">
        <v>12.3266297404902</v>
      </c>
      <c r="E291" s="13" t="str">
        <f aca="false">IF(B291&lt;5,"Acidic",IF(B291&lt;9,"Near-neutral","Alkaline"))</f>
        <v>Acidic</v>
      </c>
    </row>
    <row r="292" customFormat="false" ht="15" hidden="false" customHeight="false" outlineLevel="0" collapsed="false">
      <c r="A292" s="23" t="n">
        <v>4.30715357678839</v>
      </c>
      <c r="B292" s="18" t="n">
        <v>3.12817989312019</v>
      </c>
      <c r="C292" s="23" t="n">
        <v>0.673513410191646</v>
      </c>
      <c r="D292" s="23" t="n">
        <v>12.3266297404902</v>
      </c>
      <c r="E292" s="13" t="str">
        <f aca="false">IF(B292&lt;5,"Acidic",IF(B292&lt;9,"Near-neutral","Alkaline"))</f>
        <v>Acidic</v>
      </c>
    </row>
    <row r="293" customFormat="false" ht="15" hidden="false" customHeight="false" outlineLevel="0" collapsed="false">
      <c r="A293" s="23" t="n">
        <v>4.32216108054027</v>
      </c>
      <c r="B293" s="18" t="n">
        <v>3.13839009366525</v>
      </c>
      <c r="C293" s="23" t="n">
        <v>0.687318029117108</v>
      </c>
      <c r="D293" s="23" t="n">
        <v>12.3266297404902</v>
      </c>
      <c r="E293" s="13" t="str">
        <f aca="false">IF(B293&lt;5,"Acidic",IF(B293&lt;9,"Near-neutral","Alkaline"))</f>
        <v>Acidic</v>
      </c>
    </row>
    <row r="294" customFormat="false" ht="15" hidden="false" customHeight="false" outlineLevel="0" collapsed="false">
      <c r="A294" s="23" t="n">
        <v>4.33716858429215</v>
      </c>
      <c r="B294" s="18" t="n">
        <v>3.14881210737146</v>
      </c>
      <c r="C294" s="23" t="n">
        <v>0.701751484755079</v>
      </c>
      <c r="D294" s="23" t="n">
        <v>12.3266297404902</v>
      </c>
      <c r="E294" s="13" t="str">
        <f aca="false">IF(B294&lt;5,"Acidic",IF(B294&lt;9,"Near-neutral","Alkaline"))</f>
        <v>Acidic</v>
      </c>
    </row>
    <row r="295" customFormat="false" ht="15" hidden="false" customHeight="false" outlineLevel="0" collapsed="false">
      <c r="A295" s="23" t="n">
        <v>4.35217608804402</v>
      </c>
      <c r="B295" s="18" t="n">
        <v>3.15945569202199</v>
      </c>
      <c r="C295" s="23" t="n">
        <v>0.716857469648346</v>
      </c>
      <c r="D295" s="23" t="n">
        <v>12.3266297404902</v>
      </c>
      <c r="E295" s="13" t="str">
        <f aca="false">IF(B295&lt;5,"Acidic",IF(B295&lt;9,"Near-neutral","Alkaline"))</f>
        <v>Acidic</v>
      </c>
    </row>
    <row r="296" customFormat="false" ht="15" hidden="false" customHeight="false" outlineLevel="0" collapsed="false">
      <c r="A296" s="23" t="n">
        <v>4.3671835917959</v>
      </c>
      <c r="B296" s="18" t="n">
        <v>3.17033129134383</v>
      </c>
      <c r="C296" s="23" t="n">
        <v>0.73268382213206</v>
      </c>
      <c r="D296" s="23" t="n">
        <v>12.3266297404902</v>
      </c>
      <c r="E296" s="13" t="str">
        <f aca="false">IF(B296&lt;5,"Acidic",IF(B296&lt;9,"Near-neutral","Alkaline"))</f>
        <v>Acidic</v>
      </c>
    </row>
    <row r="297" customFormat="false" ht="15" hidden="false" customHeight="false" outlineLevel="0" collapsed="false">
      <c r="A297" s="23" t="n">
        <v>4.38219109554777</v>
      </c>
      <c r="B297" s="18" t="n">
        <v>3.18145010087528</v>
      </c>
      <c r="C297" s="23" t="n">
        <v>0.749283030010446</v>
      </c>
      <c r="D297" s="23" t="n">
        <v>12.3266297404902</v>
      </c>
      <c r="E297" s="13" t="str">
        <f aca="false">IF(B297&lt;5,"Acidic",IF(B297&lt;9,"Near-neutral","Alkaline"))</f>
        <v>Acidic</v>
      </c>
    </row>
    <row r="298" customFormat="false" ht="15" hidden="false" customHeight="false" outlineLevel="0" collapsed="false">
      <c r="A298" s="23" t="n">
        <v>4.39719859929965</v>
      </c>
      <c r="B298" s="18" t="n">
        <v>3.19282414193414</v>
      </c>
      <c r="C298" s="23" t="n">
        <v>0.766712809496653</v>
      </c>
      <c r="D298" s="23" t="n">
        <v>12.3266297404902</v>
      </c>
      <c r="E298" s="13" t="str">
        <f aca="false">IF(B298&lt;5,"Acidic",IF(B298&lt;9,"Near-neutral","Alkaline"))</f>
        <v>Acidic</v>
      </c>
    </row>
    <row r="299" customFormat="false" ht="15" hidden="false" customHeight="false" outlineLevel="0" collapsed="false">
      <c r="A299" s="23" t="n">
        <v>4.41220610305153</v>
      </c>
      <c r="B299" s="18" t="n">
        <v>3.20446634491244</v>
      </c>
      <c r="C299" s="23" t="n">
        <v>0.785036772873042</v>
      </c>
      <c r="D299" s="23" t="n">
        <v>12.3266297404902</v>
      </c>
      <c r="E299" s="13" t="str">
        <f aca="false">IF(B299&lt;5,"Acidic",IF(B299&lt;9,"Near-neutral","Alkaline"))</f>
        <v>Acidic</v>
      </c>
    </row>
    <row r="300" customFormat="false" ht="15" hidden="false" customHeight="false" outlineLevel="0" collapsed="false">
      <c r="A300" s="23" t="n">
        <v>4.4272136068034</v>
      </c>
      <c r="B300" s="18" t="n">
        <v>3.21639064334543</v>
      </c>
      <c r="C300" s="23" t="n">
        <v>0.804325201149993</v>
      </c>
      <c r="D300" s="23" t="n">
        <v>12.3266297404902</v>
      </c>
      <c r="E300" s="13" t="str">
        <f aca="false">IF(B300&lt;5,"Acidic",IF(B300&lt;9,"Near-neutral","Alkaline"))</f>
        <v>Acidic</v>
      </c>
    </row>
    <row r="301" customFormat="false" ht="15" hidden="false" customHeight="false" outlineLevel="0" collapsed="false">
      <c r="A301" s="23" t="n">
        <v>4.44222111055528</v>
      </c>
      <c r="B301" s="18" t="n">
        <v>3.22861208047166</v>
      </c>
      <c r="C301" s="23" t="n">
        <v>0.824655941507842</v>
      </c>
      <c r="D301" s="23" t="n">
        <v>12.3266297404902</v>
      </c>
      <c r="E301" s="13" t="str">
        <f aca="false">IF(B301&lt;5,"Acidic",IF(B301&lt;9,"Near-neutral","Alkaline"))</f>
        <v>Acidic</v>
      </c>
    </row>
    <row r="302" customFormat="false" ht="15" hidden="false" customHeight="false" outlineLevel="0" collapsed="false">
      <c r="A302" s="23" t="n">
        <v>4.45722861430715</v>
      </c>
      <c r="B302" s="18" t="n">
        <v>3.24114693032907</v>
      </c>
      <c r="C302" s="23" t="n">
        <v>0.846115453684206</v>
      </c>
      <c r="D302" s="23" t="n">
        <v>12.3266297404902</v>
      </c>
      <c r="E302" s="13" t="str">
        <f aca="false">IF(B302&lt;5,"Acidic",IF(B302&lt;9,"Near-neutral","Alkaline"))</f>
        <v>Acidic</v>
      </c>
    </row>
    <row r="303" customFormat="false" ht="15" hidden="false" customHeight="false" outlineLevel="0" collapsed="false">
      <c r="A303" s="23" t="n">
        <v>4.47223611805903</v>
      </c>
      <c r="B303" s="18" t="n">
        <v>3.25401283583338</v>
      </c>
      <c r="C303" s="23" t="n">
        <v>0.868800034969951</v>
      </c>
      <c r="D303" s="23" t="n">
        <v>12.3266297404902</v>
      </c>
      <c r="E303" s="13" t="str">
        <f aca="false">IF(B303&lt;5,"Acidic",IF(B303&lt;9,"Near-neutral","Alkaline"))</f>
        <v>Acidic</v>
      </c>
    </row>
    <row r="304" customFormat="false" ht="15" hidden="false" customHeight="false" outlineLevel="0" collapsed="false">
      <c r="A304" s="23" t="n">
        <v>4.48724362181091</v>
      </c>
      <c r="B304" s="18" t="n">
        <v>3.26722896677939</v>
      </c>
      <c r="C304" s="23" t="n">
        <v>0.892817260425744</v>
      </c>
      <c r="D304" s="23" t="n">
        <v>12.3266297404902</v>
      </c>
      <c r="E304" s="13" t="str">
        <f aca="false">IF(B304&lt;5,"Acidic",IF(B304&lt;9,"Near-neutral","Alkaline"))</f>
        <v>Acidic</v>
      </c>
    </row>
    <row r="305" customFormat="false" ht="15" hidden="false" customHeight="false" outlineLevel="0" collapsed="false">
      <c r="A305" s="23" t="n">
        <v>4.50225112556278</v>
      </c>
      <c r="B305" s="18" t="n">
        <v>3.28081620131735</v>
      </c>
      <c r="C305" s="23" t="n">
        <v>0.918287683766124</v>
      </c>
      <c r="D305" s="23" t="n">
        <v>12.3266297404902</v>
      </c>
      <c r="E305" s="13" t="str">
        <f aca="false">IF(B305&lt;5,"Acidic",IF(B305&lt;9,"Near-neutral","Alkaline"))</f>
        <v>Acidic</v>
      </c>
    </row>
    <row r="306" customFormat="false" ht="15" hidden="false" customHeight="false" outlineLevel="0" collapsed="false">
      <c r="A306" s="23" t="n">
        <v>4.51725862931466</v>
      </c>
      <c r="B306" s="18" t="n">
        <v>3.29479733521856</v>
      </c>
      <c r="C306" s="23" t="n">
        <v>0.945346855672341</v>
      </c>
      <c r="D306" s="23" t="n">
        <v>12.3266297404902</v>
      </c>
      <c r="E306" s="13" t="str">
        <f aca="false">IF(B306&lt;5,"Acidic",IF(B306&lt;9,"Near-neutral","Alkaline"))</f>
        <v>Acidic</v>
      </c>
    </row>
    <row r="307" customFormat="false" ht="15" hidden="false" customHeight="false" outlineLevel="0" collapsed="false">
      <c r="A307" s="23" t="n">
        <v>4.53226613306653</v>
      </c>
      <c r="B307" s="18" t="n">
        <v>3.30919732419806</v>
      </c>
      <c r="C307" s="23" t="n">
        <v>0.974147730869959</v>
      </c>
      <c r="D307" s="23" t="n">
        <v>12.3266297404902</v>
      </c>
      <c r="E307" s="13" t="str">
        <f aca="false">IF(B307&lt;5,"Acidic",IF(B307&lt;9,"Near-neutral","Alkaline"))</f>
        <v>Acidic</v>
      </c>
    </row>
    <row r="308" customFormat="false" ht="15" hidden="false" customHeight="false" outlineLevel="0" collapsed="false">
      <c r="A308" s="23" t="n">
        <v>4.54727363681841</v>
      </c>
      <c r="B308" s="18" t="n">
        <v>3.32404356576595</v>
      </c>
      <c r="C308" s="23" t="n">
        <v>1.00486355424175</v>
      </c>
      <c r="D308" s="23" t="n">
        <v>12.3266297404902</v>
      </c>
      <c r="E308" s="13" t="str">
        <f aca="false">IF(B308&lt;5,"Acidic",IF(B308&lt;9,"Near-neutral","Alkaline"))</f>
        <v>Acidic</v>
      </c>
    </row>
    <row r="309" customFormat="false" ht="15" hidden="false" customHeight="false" outlineLevel="0" collapsed="false">
      <c r="A309" s="23" t="n">
        <v>4.56228114057029</v>
      </c>
      <c r="B309" s="18" t="n">
        <v>3.33936622860667</v>
      </c>
      <c r="C309" s="23" t="n">
        <v>1.03769134102663</v>
      </c>
      <c r="D309" s="23" t="n">
        <v>12.3266297404902</v>
      </c>
      <c r="E309" s="13" t="str">
        <f aca="false">IF(B309&lt;5,"Acidic",IF(B309&lt;9,"Near-neutral","Alkaline"))</f>
        <v>Acidic</v>
      </c>
    </row>
    <row r="310" customFormat="false" ht="15" hidden="false" customHeight="false" outlineLevel="0" collapsed="false">
      <c r="A310" s="23" t="n">
        <v>4.57728864432216</v>
      </c>
      <c r="B310" s="18" t="n">
        <v>3.35519863944034</v>
      </c>
      <c r="C310" s="23" t="n">
        <v>1.07285609885625</v>
      </c>
      <c r="D310" s="23" t="n">
        <v>12.3266297404902</v>
      </c>
      <c r="E310" s="13" t="str">
        <f aca="false">IF(B310&lt;5,"Acidic",IF(B310&lt;9,"Near-neutral","Alkaline"))</f>
        <v>Acidic</v>
      </c>
    </row>
    <row r="311" customFormat="false" ht="15" hidden="false" customHeight="false" outlineLevel="0" collapsed="false">
      <c r="A311" s="23" t="n">
        <v>4.59229614807404</v>
      </c>
      <c r="B311" s="18" t="n">
        <v>3.37157773984075</v>
      </c>
      <c r="C311" s="23" t="n">
        <v>1.11061598293151</v>
      </c>
      <c r="D311" s="23" t="n">
        <v>12.3266297404902</v>
      </c>
      <c r="E311" s="13" t="str">
        <f aca="false">IF(B311&lt;5,"Acidic",IF(B311&lt;9,"Near-neutral","Alkaline"))</f>
        <v>Acidic</v>
      </c>
    </row>
    <row r="312" customFormat="false" ht="15" hidden="false" customHeight="false" outlineLevel="0" collapsed="false">
      <c r="A312" s="23" t="n">
        <v>4.60730365182591</v>
      </c>
      <c r="B312" s="18" t="n">
        <v>3.38854462876192</v>
      </c>
      <c r="C312" s="23" t="n">
        <v>1.15126863418578</v>
      </c>
      <c r="D312" s="23" t="n">
        <v>12.3266297404902</v>
      </c>
      <c r="E312" s="13" t="str">
        <f aca="false">IF(B312&lt;5,"Acidic",IF(B312&lt;9,"Near-neutral","Alkaline"))</f>
        <v>Acidic</v>
      </c>
    </row>
    <row r="313" customFormat="false" ht="15" hidden="false" customHeight="false" outlineLevel="0" collapsed="false">
      <c r="A313" s="23" t="n">
        <v>4.62231115557779</v>
      </c>
      <c r="B313" s="18" t="n">
        <v>3.40614521082497</v>
      </c>
      <c r="C313" s="23" t="n">
        <v>1.19515902978148</v>
      </c>
      <c r="D313" s="23" t="n">
        <v>12.3266297404902</v>
      </c>
      <c r="E313" s="13" t="str">
        <f aca="false">IF(B313&lt;5,"Acidic",IF(B313&lt;9,"Near-neutral","Alkaline"))</f>
        <v>Acidic</v>
      </c>
    </row>
    <row r="314" customFormat="false" ht="15" hidden="false" customHeight="false" outlineLevel="0" collapsed="false">
      <c r="A314" s="23" t="n">
        <v>4.63731865932967</v>
      </c>
      <c r="B314" s="18" t="n">
        <v>3.42443097611279</v>
      </c>
      <c r="C314" s="23" t="n">
        <v>1.24268928443522</v>
      </c>
      <c r="D314" s="23" t="n">
        <v>12.3266297404902</v>
      </c>
      <c r="E314" s="13" t="str">
        <f aca="false">IF(B314&lt;5,"Acidic",IF(B314&lt;9,"Near-neutral","Alkaline"))</f>
        <v>Acidic</v>
      </c>
    </row>
    <row r="315" customFormat="false" ht="15" hidden="false" customHeight="false" outlineLevel="0" collapsed="false">
      <c r="A315" s="23" t="n">
        <v>4.65232616308154</v>
      </c>
      <c r="B315" s="18" t="n">
        <v>3.44345994484356</v>
      </c>
      <c r="C315" s="23" t="n">
        <v>1.29433099267047</v>
      </c>
      <c r="D315" s="23" t="n">
        <v>12.3266297404902</v>
      </c>
      <c r="E315" s="13" t="str">
        <f aca="false">IF(B315&lt;5,"Acidic",IF(B315&lt;9,"Near-neutral","Alkaline"))</f>
        <v>Acidic</v>
      </c>
    </row>
    <row r="316" customFormat="false" ht="15" hidden="false" customHeight="false" outlineLevel="0" collapsed="false">
      <c r="A316" s="23" t="n">
        <v>4.66733366683342</v>
      </c>
      <c r="B316" s="18" t="n">
        <v>3.46329782061143</v>
      </c>
      <c r="C316" s="23" t="n">
        <v>1.35064091534352</v>
      </c>
      <c r="D316" s="23" t="n">
        <v>12.3266297404902</v>
      </c>
      <c r="E316" s="13" t="str">
        <f aca="false">IF(B316&lt;5,"Acidic",IF(B316&lt;9,"Near-neutral","Alkaline"))</f>
        <v>Acidic</v>
      </c>
    </row>
    <row r="317" customFormat="false" ht="15" hidden="false" customHeight="false" outlineLevel="0" collapsed="false">
      <c r="A317" s="23" t="n">
        <v>4.68234117058529</v>
      </c>
      <c r="B317" s="18" t="n">
        <v>3.48401941001489</v>
      </c>
      <c r="C317" s="23" t="n">
        <v>1.412281117845</v>
      </c>
      <c r="D317" s="23" t="n">
        <v>12.3266297404902</v>
      </c>
      <c r="E317" s="13" t="str">
        <f aca="false">IF(B317&lt;5,"Acidic",IF(B317&lt;9,"Near-neutral","Alkaline"))</f>
        <v>Acidic</v>
      </c>
    </row>
    <row r="318" customFormat="false" ht="15" hidden="false" customHeight="false" outlineLevel="0" collapsed="false">
      <c r="A318" s="23" t="n">
        <v>4.69734867433717</v>
      </c>
      <c r="B318" s="18" t="n">
        <v>3.50571038610408</v>
      </c>
      <c r="C318" s="23" t="n">
        <v>1.48004510736359</v>
      </c>
      <c r="D318" s="23" t="n">
        <v>12.3266297404902</v>
      </c>
      <c r="E318" s="13" t="str">
        <f aca="false">IF(B318&lt;5,"Acidic",IF(B318&lt;9,"Near-neutral","Alkaline"))</f>
        <v>Acidic</v>
      </c>
    </row>
    <row r="319" customFormat="false" ht="15" hidden="false" customHeight="false" outlineLevel="0" collapsed="false">
      <c r="A319" s="23" t="n">
        <v>4.71235617808905</v>
      </c>
      <c r="B319" s="18" t="n">
        <v>3.52846950067897</v>
      </c>
      <c r="C319" s="23" t="n">
        <v>1.55489216356781</v>
      </c>
      <c r="D319" s="23" t="n">
        <v>12.3266297404902</v>
      </c>
      <c r="E319" s="13" t="str">
        <f aca="false">IF(B319&lt;5,"Acidic",IF(B319&lt;9,"Near-neutral","Alkaline"))</f>
        <v>Acidic</v>
      </c>
    </row>
    <row r="320" customFormat="false" ht="15" hidden="false" customHeight="false" outlineLevel="0" collapsed="false">
      <c r="A320" s="23" t="n">
        <v>4.72736368184092</v>
      </c>
      <c r="B320" s="18" t="n">
        <v>3.55241138992186</v>
      </c>
      <c r="C320" s="23" t="n">
        <v>1.63799302520644</v>
      </c>
      <c r="D320" s="23" t="n">
        <v>12.3266297404902</v>
      </c>
      <c r="E320" s="13" t="str">
        <f aca="false">IF(B320&lt;5,"Acidic",IF(B320&lt;9,"Near-neutral","Alkaline"))</f>
        <v>Acidic</v>
      </c>
    </row>
    <row r="321" customFormat="false" ht="15" hidden="false" customHeight="false" outlineLevel="0" collapsed="false">
      <c r="A321" s="23" t="n">
        <v>4.7423711855928</v>
      </c>
      <c r="B321" s="18" t="n">
        <v>3.57767017519868</v>
      </c>
      <c r="C321" s="23" t="n">
        <v>1.73079157199544</v>
      </c>
      <c r="D321" s="23" t="n">
        <v>12.3266297404902</v>
      </c>
      <c r="E321" s="13" t="str">
        <f aca="false">IF(B321&lt;5,"Acidic",IF(B321&lt;9,"Near-neutral","Alkaline"))</f>
        <v>Acidic</v>
      </c>
    </row>
    <row r="322" customFormat="false" ht="15" hidden="false" customHeight="false" outlineLevel="0" collapsed="false">
      <c r="A322" s="23" t="n">
        <v>4.75737868934467</v>
      </c>
      <c r="B322" s="18" t="n">
        <v>3.60440414580423</v>
      </c>
      <c r="C322" s="23" t="n">
        <v>1.83508944230104</v>
      </c>
      <c r="D322" s="23" t="n">
        <v>12.3266297404902</v>
      </c>
      <c r="E322" s="13" t="str">
        <f aca="false">IF(B322&lt;5,"Acidic",IF(B322&lt;9,"Near-neutral","Alkaline"))</f>
        <v>Acidic</v>
      </c>
    </row>
    <row r="323" customFormat="false" ht="15" hidden="false" customHeight="false" outlineLevel="0" collapsed="false">
      <c r="A323" s="23" t="n">
        <v>4.77238619309655</v>
      </c>
      <c r="B323" s="18" t="n">
        <v>3.63280193884873</v>
      </c>
      <c r="C323" s="23" t="n">
        <v>1.9531641976574</v>
      </c>
      <c r="D323" s="23" t="n">
        <v>12.3266297404902</v>
      </c>
      <c r="E323" s="13" t="str">
        <f aca="false">IF(B323&lt;5,"Acidic",IF(B323&lt;9,"Near-neutral","Alkaline"))</f>
        <v>Acidic</v>
      </c>
    </row>
    <row r="324" customFormat="false" ht="15" hidden="false" customHeight="false" outlineLevel="0" collapsed="false">
      <c r="A324" s="23" t="n">
        <v>4.78739369684842</v>
      </c>
      <c r="B324" s="18" t="n">
        <v>3.66309083014863</v>
      </c>
      <c r="C324" s="23" t="n">
        <v>2.08793765508534</v>
      </c>
      <c r="D324" s="23" t="n">
        <v>12.3266297404902</v>
      </c>
      <c r="E324" s="13" t="str">
        <f aca="false">IF(B324&lt;5,"Acidic",IF(B324&lt;9,"Near-neutral","Alkaline"))</f>
        <v>Acidic</v>
      </c>
    </row>
    <row r="325" customFormat="false" ht="15" hidden="false" customHeight="false" outlineLevel="0" collapsed="false">
      <c r="A325" s="23" t="n">
        <v>4.8024012006003</v>
      </c>
      <c r="B325" s="18" t="n">
        <v>3.69554806531159</v>
      </c>
      <c r="C325" s="23" t="n">
        <v>2.24322114125337</v>
      </c>
      <c r="D325" s="23" t="n">
        <v>12.3266297404902</v>
      </c>
      <c r="E325" s="13" t="str">
        <f aca="false">IF(B325&lt;5,"Acidic",IF(B325&lt;9,"Near-neutral","Alkaline"))</f>
        <v>Acidic</v>
      </c>
    </row>
    <row r="326" customFormat="false" ht="15" hidden="false" customHeight="false" outlineLevel="0" collapsed="false">
      <c r="A326" s="23" t="n">
        <v>4.81740870435218</v>
      </c>
      <c r="B326" s="18" t="n">
        <v>3.73051667541052</v>
      </c>
      <c r="C326" s="23" t="n">
        <v>2.42408208300736</v>
      </c>
      <c r="D326" s="23" t="n">
        <v>12.3266297404902</v>
      </c>
      <c r="E326" s="13" t="str">
        <f aca="false">IF(B326&lt;5,"Acidic",IF(B326&lt;9,"Near-neutral","Alkaline"))</f>
        <v>Acidic</v>
      </c>
    </row>
    <row r="327" customFormat="false" ht="15" hidden="false" customHeight="false" outlineLevel="0" collapsed="false">
      <c r="A327" s="23" t="n">
        <v>4.83241620810405</v>
      </c>
      <c r="B327" s="18" t="n">
        <v>3.76842809161948</v>
      </c>
      <c r="C327" s="23" t="n">
        <v>2.63740831321996</v>
      </c>
      <c r="D327" s="23" t="n">
        <v>12.3266297404902</v>
      </c>
      <c r="E327" s="13" t="str">
        <f aca="false">IF(B327&lt;5,"Acidic",IF(B327&lt;9,"Near-neutral","Alkaline"))</f>
        <v>Acidic</v>
      </c>
    </row>
    <row r="328" customFormat="false" ht="15" hidden="false" customHeight="false" outlineLevel="0" collapsed="false">
      <c r="A328" s="23" t="n">
        <v>4.84742371185593</v>
      </c>
      <c r="B328" s="18" t="n">
        <v>3.80983539887254</v>
      </c>
      <c r="C328" s="23" t="n">
        <v>2.89280689610555</v>
      </c>
      <c r="D328" s="23" t="n">
        <v>12.3266297404902</v>
      </c>
      <c r="E328" s="13" t="str">
        <f aca="false">IF(B328&lt;5,"Acidic",IF(B328&lt;9,"Near-neutral","Alkaline"))</f>
        <v>Acidic</v>
      </c>
    </row>
    <row r="329" customFormat="false" ht="15" hidden="false" customHeight="false" outlineLevel="0" collapsed="false">
      <c r="A329" s="23" t="n">
        <v>4.8624312156078</v>
      </c>
      <c r="B329" s="18" t="n">
        <v>3.85546386436975</v>
      </c>
      <c r="C329" s="23" t="n">
        <v>3.20409444082617</v>
      </c>
      <c r="D329" s="23" t="n">
        <v>12.3266297404902</v>
      </c>
      <c r="E329" s="13" t="str">
        <f aca="false">IF(B329&lt;5,"Acidic",IF(B329&lt;9,"Near-neutral","Alkaline"))</f>
        <v>Acidic</v>
      </c>
    </row>
    <row r="330" customFormat="false" ht="15" hidden="false" customHeight="false" outlineLevel="0" collapsed="false">
      <c r="A330" s="23" t="n">
        <v>4.87743871935968</v>
      </c>
      <c r="B330" s="18" t="n">
        <v>3.90629077163212</v>
      </c>
      <c r="C330" s="23" t="n">
        <v>3.59188958913012</v>
      </c>
      <c r="D330" s="23" t="n">
        <v>12.3266297404902</v>
      </c>
      <c r="E330" s="13" t="str">
        <f aca="false">IF(B330&lt;5,"Acidic",IF(B330&lt;9,"Near-neutral","Alkaline"))</f>
        <v>Acidic</v>
      </c>
    </row>
    <row r="331" customFormat="false" ht="15" hidden="false" customHeight="false" outlineLevel="0" collapsed="false">
      <c r="A331" s="23" t="n">
        <v>4.89244622311156</v>
      </c>
      <c r="B331" s="18" t="n">
        <v>3.96367766485354</v>
      </c>
      <c r="C331" s="23" t="n">
        <v>4.08839408977627</v>
      </c>
      <c r="D331" s="23" t="n">
        <v>12.3266297404902</v>
      </c>
      <c r="E331" s="13" t="str">
        <f aca="false">IF(B331&lt;5,"Acidic",IF(B331&lt;9,"Near-neutral","Alkaline"))</f>
        <v>Acidic</v>
      </c>
    </row>
    <row r="332" customFormat="false" ht="15" hidden="false" customHeight="false" outlineLevel="0" collapsed="false">
      <c r="A332" s="23" t="n">
        <v>4.90745372686343</v>
      </c>
      <c r="B332" s="18" t="n">
        <v>4.0296026206119</v>
      </c>
      <c r="C332" s="23" t="n">
        <v>4.74687638268239</v>
      </c>
      <c r="D332" s="23" t="n">
        <v>12.3266297404902</v>
      </c>
      <c r="E332" s="13" t="str">
        <f aca="false">IF(B332&lt;5,"Acidic",IF(B332&lt;9,"Near-neutral","Alkaline"))</f>
        <v>Acidic</v>
      </c>
    </row>
    <row r="333" customFormat="false" ht="15" hidden="false" customHeight="false" outlineLevel="0" collapsed="false">
      <c r="A333" s="23" t="n">
        <v>4.92246123061531</v>
      </c>
      <c r="B333" s="18" t="n">
        <v>4.10709979545214</v>
      </c>
      <c r="C333" s="23" t="n">
        <v>5.66233167850123</v>
      </c>
      <c r="D333" s="23" t="n">
        <v>12.3266297404902</v>
      </c>
      <c r="E333" s="13" t="str">
        <f aca="false">IF(B333&lt;5,"Acidic",IF(B333&lt;9,"Near-neutral","Alkaline"))</f>
        <v>Acidic</v>
      </c>
    </row>
    <row r="334" customFormat="false" ht="15" hidden="false" customHeight="false" outlineLevel="0" collapsed="false">
      <c r="A334" s="23" t="n">
        <v>4.93746873436718</v>
      </c>
      <c r="B334" s="18" t="n">
        <v>4.20117745955217</v>
      </c>
      <c r="C334" s="23" t="n">
        <v>7.02253191414349</v>
      </c>
      <c r="D334" s="23" t="n">
        <v>12.3266297404902</v>
      </c>
      <c r="E334" s="13" t="str">
        <f aca="false">IF(B334&lt;5,"Acidic",IF(B334&lt;9,"Near-neutral","Alkaline"))</f>
        <v>Acidic</v>
      </c>
    </row>
    <row r="335" customFormat="false" ht="15" hidden="false" customHeight="false" outlineLevel="0" collapsed="false">
      <c r="A335" s="23" t="n">
        <v>4.95247623811906</v>
      </c>
      <c r="B335" s="18" t="n">
        <v>4.32101843351308</v>
      </c>
      <c r="C335" s="23" t="n">
        <v>9.25912190255912</v>
      </c>
      <c r="D335" s="23" t="n">
        <v>12.3266297404902</v>
      </c>
      <c r="E335" s="13" t="str">
        <f aca="false">IF(B335&lt;5,"Acidic",IF(B335&lt;9,"Near-neutral","Alkaline"))</f>
        <v>Acidic</v>
      </c>
    </row>
    <row r="336" customFormat="false" ht="15" hidden="false" customHeight="false" outlineLevel="0" collapsed="false">
      <c r="A336" s="23" t="n">
        <v>4.96748374187094</v>
      </c>
      <c r="B336" s="18" t="n">
        <v>4.48648089259874</v>
      </c>
      <c r="C336" s="23" t="n">
        <v>13.6444849865704</v>
      </c>
      <c r="D336" s="23" t="n">
        <v>13.6444849865704</v>
      </c>
      <c r="E336" s="13" t="str">
        <f aca="false">IF(B336&lt;5,"Acidic",IF(B336&lt;9,"Near-neutral","Alkaline"))</f>
        <v>Acidic</v>
      </c>
    </row>
    <row r="337" customFormat="false" ht="15" hidden="false" customHeight="false" outlineLevel="0" collapsed="false">
      <c r="A337" s="23" t="n">
        <v>4.98249124562281</v>
      </c>
      <c r="B337" s="18" t="n">
        <v>4.75596957115667</v>
      </c>
      <c r="C337" s="23" t="n">
        <v>26.5571503622592</v>
      </c>
      <c r="D337" s="23" t="n">
        <v>26.5571503622592</v>
      </c>
      <c r="E337" s="13" t="str">
        <f aca="false">IF(B337&lt;5,"Acidic",IF(B337&lt;9,"Near-neutral","Alkaline"))</f>
        <v>Acidic</v>
      </c>
    </row>
    <row r="338" customFormat="false" ht="15" hidden="false" customHeight="false" outlineLevel="0" collapsed="false">
      <c r="A338" s="23" t="n">
        <v>4.99749874937469</v>
      </c>
      <c r="B338" s="18" t="n">
        <v>5.60104197582013</v>
      </c>
      <c r="C338" s="23" t="n">
        <v>246.532594809803</v>
      </c>
      <c r="D338" s="23" t="n">
        <v>246.532594809803</v>
      </c>
      <c r="E338" s="13" t="str">
        <f aca="false">IF(B338&lt;5,"Acidic",IF(B338&lt;9,"Near-neutral","Alkaline"))</f>
        <v>Near-neutral</v>
      </c>
    </row>
    <row r="339" customFormat="false" ht="15" hidden="false" customHeight="false" outlineLevel="0" collapsed="false">
      <c r="A339" s="23" t="n">
        <v>5.01250625312656</v>
      </c>
      <c r="B339" s="18" t="n">
        <v>9.09661224810978</v>
      </c>
      <c r="C339" s="23" t="n">
        <v>40.0630460290846</v>
      </c>
      <c r="D339" s="23" t="n">
        <v>40.0630460290846</v>
      </c>
      <c r="E339" s="13" t="str">
        <f aca="false">IF(B339&lt;5,"Acidic",IF(B339&lt;9,"Near-neutral","Alkaline"))</f>
        <v>Alkaline</v>
      </c>
    </row>
    <row r="340" customFormat="false" ht="15" hidden="false" customHeight="false" outlineLevel="0" collapsed="false">
      <c r="A340" s="23" t="n">
        <v>5.02751375687844</v>
      </c>
      <c r="B340" s="18" t="n">
        <v>9.4383623974003</v>
      </c>
      <c r="C340" s="23" t="n">
        <v>16.1506370595013</v>
      </c>
      <c r="D340" s="23" t="n">
        <v>16.1506370595013</v>
      </c>
      <c r="E340" s="13" t="str">
        <f aca="false">IF(B340&lt;5,"Acidic",IF(B340&lt;9,"Near-neutral","Alkaline"))</f>
        <v>Alkaline</v>
      </c>
    </row>
    <row r="341" customFormat="false" ht="15" hidden="false" customHeight="false" outlineLevel="0" collapsed="false">
      <c r="A341" s="23" t="n">
        <v>5.04252126063032</v>
      </c>
      <c r="B341" s="18" t="n">
        <v>9.62676579420998</v>
      </c>
      <c r="C341" s="23" t="n">
        <v>10.2782675114464</v>
      </c>
      <c r="D341" s="23" t="n">
        <v>12.3266297404902</v>
      </c>
      <c r="E341" s="13" t="str">
        <f aca="false">IF(B341&lt;5,"Acidic",IF(B341&lt;9,"Near-neutral","Alkaline"))</f>
        <v>Alkaline</v>
      </c>
    </row>
    <row r="342" customFormat="false" ht="15" hidden="false" customHeight="false" outlineLevel="0" collapsed="false">
      <c r="A342" s="23" t="n">
        <v>5.05752876438219</v>
      </c>
      <c r="B342" s="18" t="n">
        <v>9.75739509029475</v>
      </c>
      <c r="C342" s="23" t="n">
        <v>7.54919685387506</v>
      </c>
      <c r="D342" s="23" t="n">
        <v>12.3266297404902</v>
      </c>
      <c r="E342" s="13" t="str">
        <f aca="false">IF(B342&lt;5,"Acidic",IF(B342&lt;9,"Near-neutral","Alkaline"))</f>
        <v>Alkaline</v>
      </c>
    </row>
    <row r="343" customFormat="false" ht="15" hidden="false" customHeight="false" outlineLevel="0" collapsed="false">
      <c r="A343" s="23" t="n">
        <v>5.07253626813407</v>
      </c>
      <c r="B343" s="18" t="n">
        <v>9.85741720571016</v>
      </c>
      <c r="C343" s="23" t="n">
        <v>5.96562934511644</v>
      </c>
      <c r="D343" s="23" t="n">
        <v>12.3266297404902</v>
      </c>
      <c r="E343" s="13" t="str">
        <f aca="false">IF(B343&lt;5,"Acidic",IF(B343&lt;9,"Near-neutral","Alkaline"))</f>
        <v>Alkaline</v>
      </c>
    </row>
    <row r="344" customFormat="false" ht="15" hidden="false" customHeight="false" outlineLevel="0" collapsed="false">
      <c r="A344" s="23" t="n">
        <v>5.08754377188594</v>
      </c>
      <c r="B344" s="18" t="n">
        <v>9.9384403990015</v>
      </c>
      <c r="C344" s="23" t="n">
        <v>4.93002095529539</v>
      </c>
      <c r="D344" s="23" t="n">
        <v>12.3266297404902</v>
      </c>
      <c r="E344" s="13" t="str">
        <f aca="false">IF(B344&lt;5,"Acidic",IF(B344&lt;9,"Near-neutral","Alkaline"))</f>
        <v>Alkaline</v>
      </c>
    </row>
    <row r="345" customFormat="false" ht="15" hidden="false" customHeight="false" outlineLevel="0" collapsed="false">
      <c r="A345" s="23" t="n">
        <v>5.10255127563782</v>
      </c>
      <c r="B345" s="18" t="n">
        <v>10.0065104250167</v>
      </c>
      <c r="C345" s="23" t="n">
        <v>4.1994861962404</v>
      </c>
      <c r="D345" s="23" t="n">
        <v>12.3266297404902</v>
      </c>
      <c r="E345" s="13" t="str">
        <f aca="false">IF(B345&lt;5,"Acidic",IF(B345&lt;9,"Near-neutral","Alkaline"))</f>
        <v>Alkaline</v>
      </c>
    </row>
    <row r="346" customFormat="false" ht="15" hidden="false" customHeight="false" outlineLevel="0" collapsed="false">
      <c r="A346" s="23" t="n">
        <v>5.1175587793897</v>
      </c>
      <c r="B346" s="18" t="n">
        <v>10.0651796536777</v>
      </c>
      <c r="C346" s="23" t="n">
        <v>3.65637432349479</v>
      </c>
      <c r="D346" s="23" t="n">
        <v>12.3266297404902</v>
      </c>
      <c r="E346" s="13" t="str">
        <f aca="false">IF(B346&lt;5,"Acidic",IF(B346&lt;9,"Near-neutral","Alkaline"))</f>
        <v>Alkaline</v>
      </c>
    </row>
    <row r="347" customFormat="false" ht="15" hidden="false" customHeight="false" outlineLevel="0" collapsed="false">
      <c r="A347" s="23" t="n">
        <v>5.13256628314157</v>
      </c>
      <c r="B347" s="18" t="n">
        <v>10.1167138801257</v>
      </c>
      <c r="C347" s="23" t="n">
        <v>3.23669584963022</v>
      </c>
      <c r="D347" s="23" t="n">
        <v>12.3266297404902</v>
      </c>
      <c r="E347" s="13" t="str">
        <f aca="false">IF(B347&lt;5,"Acidic",IF(B347&lt;9,"Near-neutral","Alkaline"))</f>
        <v>Alkaline</v>
      </c>
    </row>
    <row r="348" customFormat="false" ht="15" hidden="false" customHeight="false" outlineLevel="0" collapsed="false">
      <c r="A348" s="23" t="n">
        <v>5.14757378689345</v>
      </c>
      <c r="B348" s="18" t="n">
        <v>10.1626472093081</v>
      </c>
      <c r="C348" s="23" t="n">
        <v>2.90263674525443</v>
      </c>
      <c r="D348" s="23" t="n">
        <v>12.3266297404902</v>
      </c>
      <c r="E348" s="13" t="str">
        <f aca="false">IF(B348&lt;5,"Acidic",IF(B348&lt;9,"Near-neutral","Alkaline"))</f>
        <v>Alkaline</v>
      </c>
    </row>
    <row r="349" customFormat="false" ht="15" hidden="false" customHeight="false" outlineLevel="0" collapsed="false">
      <c r="A349" s="23" t="n">
        <v>5.16258129064532</v>
      </c>
      <c r="B349" s="18" t="n">
        <v>10.2040667040467</v>
      </c>
      <c r="C349" s="23" t="n">
        <v>2.63040757408703</v>
      </c>
      <c r="D349" s="23" t="n">
        <v>12.3266297404902</v>
      </c>
      <c r="E349" s="13" t="str">
        <f aca="false">IF(B349&lt;5,"Acidic",IF(B349&lt;9,"Near-neutral","Alkaline"))</f>
        <v>Alkaline</v>
      </c>
    </row>
    <row r="350" customFormat="false" ht="15" hidden="false" customHeight="false" outlineLevel="0" collapsed="false">
      <c r="A350" s="23" t="n">
        <v>5.1775887943972</v>
      </c>
      <c r="B350" s="18" t="n">
        <v>10.24177080151</v>
      </c>
      <c r="C350" s="23" t="n">
        <v>2.404289805193</v>
      </c>
      <c r="D350" s="23" t="n">
        <v>12.3266297404902</v>
      </c>
      <c r="E350" s="13" t="str">
        <f aca="false">IF(B350&lt;5,"Acidic",IF(B350&lt;9,"Near-neutral","Alkaline"))</f>
        <v>Alkaline</v>
      </c>
    </row>
    <row r="351" customFormat="false" ht="15" hidden="false" customHeight="false" outlineLevel="0" collapsed="false">
      <c r="A351" s="23" t="n">
        <v>5.19259629814907</v>
      </c>
      <c r="B351" s="18" t="n">
        <v>10.2763632337792</v>
      </c>
      <c r="C351" s="23" t="n">
        <v>2.21347913912848</v>
      </c>
      <c r="D351" s="23" t="n">
        <v>12.3266297404902</v>
      </c>
      <c r="E351" s="13" t="str">
        <f aca="false">IF(B351&lt;5,"Acidic",IF(B351&lt;9,"Near-neutral","Alkaline"))</f>
        <v>Alkaline</v>
      </c>
    </row>
    <row r="352" customFormat="false" ht="15" hidden="false" customHeight="false" outlineLevel="0" collapsed="false">
      <c r="A352" s="23" t="n">
        <v>5.20760380190095</v>
      </c>
      <c r="B352" s="18" t="n">
        <v>10.3083116026387</v>
      </c>
      <c r="C352" s="23" t="n">
        <v>2.05030348877187</v>
      </c>
      <c r="D352" s="23" t="n">
        <v>12.3266297404902</v>
      </c>
      <c r="E352" s="13" t="str">
        <f aca="false">IF(B352&lt;5,"Acidic",IF(B352&lt;9,"Near-neutral","Alkaline"))</f>
        <v>Alkaline</v>
      </c>
    </row>
    <row r="353" customFormat="false" ht="15" hidden="false" customHeight="false" outlineLevel="0" collapsed="false">
      <c r="A353" s="23" t="n">
        <v>5.22261130565283</v>
      </c>
      <c r="B353" s="18" t="n">
        <v>10.3379854605137</v>
      </c>
      <c r="C353" s="23" t="n">
        <v>1.90916423107831</v>
      </c>
      <c r="D353" s="23" t="n">
        <v>12.3266297404902</v>
      </c>
      <c r="E353" s="13" t="str">
        <f aca="false">IF(B353&lt;5,"Acidic",IF(B353&lt;9,"Near-neutral","Alkaline"))</f>
        <v>Alkaline</v>
      </c>
    </row>
    <row r="354" customFormat="false" ht="15" hidden="false" customHeight="false" outlineLevel="0" collapsed="false">
      <c r="A354" s="23" t="n">
        <v>5.2376188094047</v>
      </c>
      <c r="B354" s="18" t="n">
        <v>10.3656819412151</v>
      </c>
      <c r="C354" s="23" t="n">
        <v>1.78587984714795</v>
      </c>
      <c r="D354" s="23" t="n">
        <v>12.3266297404902</v>
      </c>
      <c r="E354" s="13" t="str">
        <f aca="false">IF(B354&lt;5,"Acidic",IF(B354&lt;9,"Near-neutral","Alkaline"))</f>
        <v>Alkaline</v>
      </c>
    </row>
    <row r="355" customFormat="false" ht="15" hidden="false" customHeight="false" outlineLevel="0" collapsed="false">
      <c r="A355" s="23" t="n">
        <v>5.25262631315658</v>
      </c>
      <c r="B355" s="18" t="n">
        <v>10.3916435269608</v>
      </c>
      <c r="C355" s="23" t="n">
        <v>1.6772640966268</v>
      </c>
      <c r="D355" s="23" t="n">
        <v>12.3266297404902</v>
      </c>
      <c r="E355" s="13" t="str">
        <f aca="false">IF(B355&lt;5,"Acidic",IF(B355&lt;9,"Near-neutral","Alkaline"))</f>
        <v>Alkaline</v>
      </c>
    </row>
    <row r="356" customFormat="false" ht="15" hidden="false" customHeight="false" outlineLevel="0" collapsed="false">
      <c r="A356" s="23" t="n">
        <v>5.26763381690846</v>
      </c>
      <c r="B356" s="18" t="n">
        <v>10.4160706800003</v>
      </c>
      <c r="C356" s="23" t="n">
        <v>1.58084652337584</v>
      </c>
      <c r="D356" s="23" t="n">
        <v>12.3266297404902</v>
      </c>
      <c r="E356" s="13" t="str">
        <f aca="false">IF(B356&lt;5,"Acidic",IF(B356&lt;9,"Near-neutral","Alkaline"))</f>
        <v>Alkaline</v>
      </c>
    </row>
    <row r="357" customFormat="false" ht="15" hidden="false" customHeight="false" outlineLevel="0" collapsed="false">
      <c r="A357" s="23" t="n">
        <v>5.28264132066033</v>
      </c>
      <c r="B357" s="18" t="n">
        <v>10.4391310243842</v>
      </c>
      <c r="C357" s="23" t="n">
        <v>1.49468199699209</v>
      </c>
      <c r="D357" s="23" t="n">
        <v>12.3266297404902</v>
      </c>
      <c r="E357" s="13" t="str">
        <f aca="false">IF(B357&lt;5,"Acidic",IF(B357&lt;9,"Near-neutral","Alkaline"))</f>
        <v>Alkaline</v>
      </c>
    </row>
    <row r="358" customFormat="false" ht="15" hidden="false" customHeight="false" outlineLevel="0" collapsed="false">
      <c r="A358" s="23" t="n">
        <v>5.29764882441221</v>
      </c>
      <c r="B358" s="18" t="n">
        <v>10.4609661465134</v>
      </c>
      <c r="C358" s="23" t="n">
        <v>1.4172182054898</v>
      </c>
      <c r="D358" s="23" t="n">
        <v>12.3266297404902</v>
      </c>
      <c r="E358" s="13" t="str">
        <f aca="false">IF(B358&lt;5,"Acidic",IF(B358&lt;9,"Near-neutral","Alkaline"))</f>
        <v>Alkaline</v>
      </c>
    </row>
    <row r="359" customFormat="false" ht="15" hidden="false" customHeight="false" outlineLevel="0" collapsed="false">
      <c r="A359" s="23" t="n">
        <v>5.31265632816408</v>
      </c>
      <c r="B359" s="18" t="n">
        <v>10.4816967253353</v>
      </c>
      <c r="C359" s="23" t="n">
        <v>1.34720120432951</v>
      </c>
      <c r="D359" s="23" t="n">
        <v>12.3266297404902</v>
      </c>
      <c r="E359" s="13" t="str">
        <f aca="false">IF(B359&lt;5,"Acidic",IF(B359&lt;9,"Near-neutral","Alkaline"))</f>
        <v>Alkaline</v>
      </c>
    </row>
    <row r="360" customFormat="false" ht="15" hidden="false" customHeight="false" outlineLevel="0" collapsed="false">
      <c r="A360" s="23" t="n">
        <v>5.32766383191596</v>
      </c>
      <c r="B360" s="18" t="n">
        <v>10.5014264560462</v>
      </c>
      <c r="C360" s="23" t="n">
        <v>1.28360689859255</v>
      </c>
      <c r="D360" s="23" t="n">
        <v>12.3266297404902</v>
      </c>
      <c r="E360" s="13" t="str">
        <f aca="false">IF(B360&lt;5,"Acidic",IF(B360&lt;9,"Near-neutral","Alkaline"))</f>
        <v>Alkaline</v>
      </c>
    </row>
    <row r="361" customFormat="false" ht="15" hidden="false" customHeight="false" outlineLevel="0" collapsed="false">
      <c r="A361" s="23" t="n">
        <v>5.34267133566783</v>
      </c>
      <c r="B361" s="18" t="n">
        <v>10.5202450929598</v>
      </c>
      <c r="C361" s="23" t="n">
        <v>1.22559092543236</v>
      </c>
      <c r="D361" s="23" t="n">
        <v>12.3266297404902</v>
      </c>
      <c r="E361" s="13" t="str">
        <f aca="false">IF(B361&lt;5,"Acidic",IF(B361&lt;9,"Near-neutral","Alkaline"))</f>
        <v>Alkaline</v>
      </c>
    </row>
    <row r="362" customFormat="false" ht="15" hidden="false" customHeight="false" outlineLevel="0" collapsed="false">
      <c r="A362" s="23" t="n">
        <v>5.35767883941971</v>
      </c>
      <c r="B362" s="18" t="n">
        <v>10.5382308434471</v>
      </c>
      <c r="C362" s="23" t="n">
        <v>1.17245060600578</v>
      </c>
      <c r="D362" s="23" t="n">
        <v>12.3266297404902</v>
      </c>
      <c r="E362" s="13" t="str">
        <f aca="false">IF(B362&lt;5,"Acidic",IF(B362&lt;9,"Near-neutral","Alkaline"))</f>
        <v>Alkaline</v>
      </c>
    </row>
    <row r="363" customFormat="false" ht="15" hidden="false" customHeight="false" outlineLevel="0" collapsed="false">
      <c r="A363" s="23" t="n">
        <v>5.37268634317159</v>
      </c>
      <c r="B363" s="18" t="n">
        <v>10.5554522662719</v>
      </c>
      <c r="C363" s="23" t="n">
        <v>1.12359655096202</v>
      </c>
      <c r="D363" s="23" t="n">
        <v>12.3266297404902</v>
      </c>
      <c r="E363" s="13" t="str">
        <f aca="false">IF(B363&lt;5,"Acidic",IF(B363&lt;9,"Near-neutral","Alkaline"))</f>
        <v>Alkaline</v>
      </c>
    </row>
    <row r="364" customFormat="false" ht="15" hidden="false" customHeight="false" outlineLevel="0" collapsed="false">
      <c r="A364" s="23" t="n">
        <v>5.38769384692346</v>
      </c>
      <c r="B364" s="18" t="n">
        <v>10.5719697981864</v>
      </c>
      <c r="C364" s="23" t="n">
        <v>1.07853078059941</v>
      </c>
      <c r="D364" s="23" t="n">
        <v>12.3266297404902</v>
      </c>
      <c r="E364" s="13" t="str">
        <f aca="false">IF(B364&lt;5,"Acidic",IF(B364&lt;9,"Near-neutral","Alkaline"))</f>
        <v>Alkaline</v>
      </c>
    </row>
    <row r="365" customFormat="false" ht="15" hidden="false" customHeight="false" outlineLevel="0" collapsed="false">
      <c r="A365" s="23" t="n">
        <v>5.40270135067534</v>
      </c>
      <c r="B365" s="18" t="n">
        <v>10.5878369844325</v>
      </c>
      <c r="C365" s="23" t="n">
        <v>1.03682944853335</v>
      </c>
      <c r="D365" s="23" t="n">
        <v>12.3266297404902</v>
      </c>
      <c r="E365" s="13" t="str">
        <f aca="false">IF(B365&lt;5,"Acidic",IF(B365&lt;9,"Near-neutral","Alkaline"))</f>
        <v>Alkaline</v>
      </c>
    </row>
    <row r="366" customFormat="false" ht="15" hidden="false" customHeight="false" outlineLevel="0" collapsed="false">
      <c r="A366" s="23" t="n">
        <v>5.41770885442721</v>
      </c>
      <c r="B366" s="18" t="n">
        <v>10.6031014922038</v>
      </c>
      <c r="C366" s="23" t="n">
        <v>0.998129828303149</v>
      </c>
      <c r="D366" s="23" t="n">
        <v>12.3266297404902</v>
      </c>
      <c r="E366" s="13" t="str">
        <f aca="false">IF(B366&lt;5,"Acidic",IF(B366&lt;9,"Near-neutral","Alkaline"))</f>
        <v>Alkaline</v>
      </c>
    </row>
    <row r="367" customFormat="false" ht="15" hidden="false" customHeight="false" outlineLevel="0" collapsed="false">
      <c r="A367" s="23" t="n">
        <v>5.43271635817909</v>
      </c>
      <c r="B367" s="18" t="n">
        <v>10.6178059384373</v>
      </c>
      <c r="C367" s="23" t="n">
        <v>0.962119385511187</v>
      </c>
      <c r="D367" s="23" t="n">
        <v>12.3266297404902</v>
      </c>
      <c r="E367" s="13" t="str">
        <f aca="false">IF(B367&lt;5,"Acidic",IF(B367&lt;9,"Near-neutral","Alkaline"))</f>
        <v>Alkaline</v>
      </c>
    </row>
    <row r="368" customFormat="false" ht="15" hidden="false" customHeight="false" outlineLevel="0" collapsed="false">
      <c r="A368" s="23" t="n">
        <v>5.44772386193097</v>
      </c>
      <c r="B368" s="18" t="n">
        <v>10.6319885792883</v>
      </c>
      <c r="C368" s="23" t="n">
        <v>0.928527614766381</v>
      </c>
      <c r="D368" s="23" t="n">
        <v>12.3266297404902</v>
      </c>
      <c r="E368" s="13" t="str">
        <f aca="false">IF(B368&lt;5,"Acidic",IF(B368&lt;9,"Near-neutral","Alkaline"))</f>
        <v>Alkaline</v>
      </c>
    </row>
    <row r="369" customFormat="false" ht="15" hidden="false" customHeight="false" outlineLevel="0" collapsed="false">
      <c r="A369" s="23" t="n">
        <v>5.46273136568284</v>
      </c>
      <c r="B369" s="18" t="n">
        <v>10.6456838860278</v>
      </c>
      <c r="C369" s="23" t="n">
        <v>0.897119045814407</v>
      </c>
      <c r="D369" s="23" t="n">
        <v>12.3266297404902</v>
      </c>
      <c r="E369" s="13" t="str">
        <f aca="false">IF(B369&lt;5,"Acidic",IF(B369&lt;9,"Near-neutral","Alkaline"))</f>
        <v>Alkaline</v>
      </c>
    </row>
    <row r="370" customFormat="false" ht="15" hidden="false" customHeight="false" outlineLevel="0" collapsed="false">
      <c r="A370" s="23" t="n">
        <v>5.47773886943472</v>
      </c>
      <c r="B370" s="18" t="n">
        <v>10.6589230273541</v>
      </c>
      <c r="C370" s="23" t="n">
        <v>0.867687920109574</v>
      </c>
      <c r="D370" s="23" t="n">
        <v>12.3266297404902</v>
      </c>
      <c r="E370" s="13" t="str">
        <f aca="false">IF(B370&lt;5,"Acidic",IF(B370&lt;9,"Near-neutral","Alkaline"))</f>
        <v>Alkaline</v>
      </c>
    </row>
    <row r="371" customFormat="false" ht="15" hidden="false" customHeight="false" outlineLevel="0" collapsed="false">
      <c r="A371" s="23" t="n">
        <v>5.49274637318659</v>
      </c>
      <c r="B371" s="18" t="n">
        <v>10.6717342805061</v>
      </c>
      <c r="C371" s="23" t="n">
        <v>0.840053389791251</v>
      </c>
      <c r="D371" s="23" t="n">
        <v>12.3266297404902</v>
      </c>
      <c r="E371" s="13" t="str">
        <f aca="false">IF(B371&lt;5,"Acidic",IF(B371&lt;9,"Near-neutral","Alkaline"))</f>
        <v>Alkaline</v>
      </c>
    </row>
    <row r="372" customFormat="false" ht="15" hidden="false" customHeight="false" outlineLevel="0" collapsed="false">
      <c r="A372" s="23" t="n">
        <v>5.50775387693847</v>
      </c>
      <c r="B372" s="18" t="n">
        <v>10.6841433746905</v>
      </c>
      <c r="C372" s="23" t="n">
        <v>0.814056142873255</v>
      </c>
      <c r="D372" s="23" t="n">
        <v>12.3266297404902</v>
      </c>
      <c r="E372" s="13" t="str">
        <f aca="false">IF(B372&lt;5,"Acidic",IF(B372&lt;9,"Near-neutral","Alkaline"))</f>
        <v>Alkaline</v>
      </c>
    </row>
    <row r="373" customFormat="false" ht="15" hidden="false" customHeight="false" outlineLevel="0" collapsed="false">
      <c r="A373" s="23" t="n">
        <v>5.52276138069035</v>
      </c>
      <c r="B373" s="18" t="n">
        <v>10.6961737924277</v>
      </c>
      <c r="C373" s="23" t="n">
        <v>0.78955514788197</v>
      </c>
      <c r="D373" s="23" t="n">
        <v>12.3266297404902</v>
      </c>
      <c r="E373" s="13" t="str">
        <f aca="false">IF(B373&lt;5,"Acidic",IF(B373&lt;9,"Near-neutral","Alkaline"))</f>
        <v>Alkaline</v>
      </c>
    </row>
    <row r="374" customFormat="false" ht="15" hidden="false" customHeight="false" outlineLevel="0" collapsed="false">
      <c r="A374" s="23" t="n">
        <v>5.53776888444222</v>
      </c>
      <c r="B374" s="18" t="n">
        <v>10.7078470176514</v>
      </c>
      <c r="C374" s="23" t="n">
        <v>0.766424890438202</v>
      </c>
      <c r="D374" s="23" t="n">
        <v>12.3266297404902</v>
      </c>
      <c r="E374" s="13" t="str">
        <f aca="false">IF(B374&lt;5,"Acidic",IF(B374&lt;9,"Near-neutral","Alkaline"))</f>
        <v>Alkaline</v>
      </c>
    </row>
    <row r="375" customFormat="false" ht="15" hidden="false" customHeight="false" outlineLevel="0" collapsed="false">
      <c r="A375" s="23" t="n">
        <v>5.5527763881941</v>
      </c>
      <c r="B375" s="18" t="n">
        <v>10.7191827643408</v>
      </c>
      <c r="C375" s="23" t="n">
        <v>0.744554008981595</v>
      </c>
      <c r="D375" s="23" t="n">
        <v>12.3266297404902</v>
      </c>
      <c r="E375" s="13" t="str">
        <f aca="false">IF(B375&lt;5,"Acidic",IF(B375&lt;9,"Near-neutral","Alkaline"))</f>
        <v>Alkaline</v>
      </c>
    </row>
    <row r="376" customFormat="false" ht="15" hidden="false" customHeight="false" outlineLevel="0" collapsed="false">
      <c r="A376" s="23" t="n">
        <v>5.56778389194597</v>
      </c>
      <c r="B376" s="18" t="n">
        <v>10.7301991587099</v>
      </c>
      <c r="C376" s="23" t="n">
        <v>0.723842359122159</v>
      </c>
      <c r="D376" s="23" t="n">
        <v>12.3266297404902</v>
      </c>
      <c r="E376" s="13" t="str">
        <f aca="false">IF(B376&lt;5,"Acidic",IF(B376&lt;9,"Near-neutral","Alkaline"))</f>
        <v>Alkaline</v>
      </c>
    </row>
    <row r="377" customFormat="false" ht="15" hidden="false" customHeight="false" outlineLevel="0" collapsed="false">
      <c r="A377" s="23" t="n">
        <v>5.58279139569785</v>
      </c>
      <c r="B377" s="18" t="n">
        <v>10.7409129107569</v>
      </c>
      <c r="C377" s="23" t="n">
        <v>0.70420053459452</v>
      </c>
      <c r="D377" s="23" t="n">
        <v>12.3266297404902</v>
      </c>
      <c r="E377" s="13" t="str">
        <f aca="false">IF(B377&lt;5,"Acidic",IF(B377&lt;9,"Near-neutral","Alkaline"))</f>
        <v>Alkaline</v>
      </c>
    </row>
    <row r="378" customFormat="false" ht="15" hidden="false" customHeight="false" outlineLevel="0" collapsed="false">
      <c r="A378" s="23" t="n">
        <v>5.59779889944973</v>
      </c>
      <c r="B378" s="18" t="n">
        <v>10.7513394507625</v>
      </c>
      <c r="C378" s="23" t="n">
        <v>0.685547698751748</v>
      </c>
      <c r="D378" s="23" t="n">
        <v>12.3266297404902</v>
      </c>
      <c r="E378" s="13" t="str">
        <f aca="false">IF(B378&lt;5,"Acidic",IF(B378&lt;9,"Near-neutral","Alkaline"))</f>
        <v>Alkaline</v>
      </c>
    </row>
    <row r="379" customFormat="false" ht="15" hidden="false" customHeight="false" outlineLevel="0" collapsed="false">
      <c r="A379" s="23" t="n">
        <v>5.6128064032016</v>
      </c>
      <c r="B379" s="18" t="n">
        <v>10.7614930651366</v>
      </c>
      <c r="C379" s="23" t="n">
        <v>0.667811285417884</v>
      </c>
      <c r="D379" s="23" t="n">
        <v>12.3266297404902</v>
      </c>
      <c r="E379" s="13" t="str">
        <f aca="false">IF(B379&lt;5,"Acidic",IF(B379&lt;9,"Near-neutral","Alkaline"))</f>
        <v>Alkaline</v>
      </c>
    </row>
    <row r="380" customFormat="false" ht="15" hidden="false" customHeight="false" outlineLevel="0" collapsed="false">
      <c r="A380" s="23" t="n">
        <v>5.62781390695348</v>
      </c>
      <c r="B380" s="18" t="n">
        <v>10.7713870031532</v>
      </c>
      <c r="C380" s="23" t="n">
        <v>0.650925670812626</v>
      </c>
      <c r="D380" s="23" t="n">
        <v>12.3266297404902</v>
      </c>
      <c r="E380" s="13" t="str">
        <f aca="false">IF(B380&lt;5,"Acidic",IF(B380&lt;9,"Near-neutral","Alkaline"))</f>
        <v>Alkaline</v>
      </c>
    </row>
    <row r="381" customFormat="false" ht="15" hidden="false" customHeight="false" outlineLevel="0" collapsed="false">
      <c r="A381" s="23" t="n">
        <v>5.64282141070535</v>
      </c>
      <c r="B381" s="18" t="n">
        <v>10.7810335714576</v>
      </c>
      <c r="C381" s="23" t="n">
        <v>0.6348310139864</v>
      </c>
      <c r="D381" s="23" t="n">
        <v>12.3266297404902</v>
      </c>
      <c r="E381" s="13" t="str">
        <f aca="false">IF(B381&lt;5,"Acidic",IF(B381&lt;9,"Near-neutral","Alkaline"))</f>
        <v>Alkaline</v>
      </c>
    </row>
    <row r="382" customFormat="false" ht="15" hidden="false" customHeight="false" outlineLevel="0" collapsed="false">
      <c r="A382" s="23" t="n">
        <v>5.65782891445723</v>
      </c>
      <c r="B382" s="18" t="n">
        <v>10.7904442257381</v>
      </c>
      <c r="C382" s="23" t="n">
        <v>0.619473417111522</v>
      </c>
      <c r="D382" s="23" t="n">
        <v>12.3266297404902</v>
      </c>
      <c r="E382" s="13" t="str">
        <f aca="false">IF(B382&lt;5,"Acidic",IF(B382&lt;9,"Near-neutral","Alkaline"))</f>
        <v>Alkaline</v>
      </c>
    </row>
    <row r="383" customFormat="false" ht="15" hidden="false" customHeight="false" outlineLevel="0" collapsed="false">
      <c r="A383" s="23" t="n">
        <v>5.67283641820911</v>
      </c>
      <c r="B383" s="18" t="n">
        <v>10.7996296485396</v>
      </c>
      <c r="C383" s="23" t="n">
        <v>0.604803347378834</v>
      </c>
      <c r="D383" s="23" t="n">
        <v>12.3266297404902</v>
      </c>
      <c r="E383" s="13" t="str">
        <f aca="false">IF(B383&lt;5,"Acidic",IF(B383&lt;9,"Near-neutral","Alkaline"))</f>
        <v>Alkaline</v>
      </c>
    </row>
    <row r="384" customFormat="false" ht="15" hidden="false" customHeight="false" outlineLevel="0" collapsed="false">
      <c r="A384" s="23" t="n">
        <v>5.68784392196098</v>
      </c>
      <c r="B384" s="18" t="n">
        <v>10.8085998121811</v>
      </c>
      <c r="C384" s="23" t="n">
        <v>0.590775769494371</v>
      </c>
      <c r="D384" s="23" t="n">
        <v>12.3266297404902</v>
      </c>
      <c r="E384" s="13" t="str">
        <f aca="false">IF(B384&lt;5,"Acidic",IF(B384&lt;9,"Near-neutral","Alkaline"))</f>
        <v>Alkaline</v>
      </c>
    </row>
    <row r="385" customFormat="false" ht="15" hidden="false" customHeight="false" outlineLevel="0" collapsed="false">
      <c r="A385" s="23" t="n">
        <v>5.70285142571286</v>
      </c>
      <c r="B385" s="18" t="n">
        <v>10.8173640438937</v>
      </c>
      <c r="C385" s="23" t="n">
        <v>0.577349657859713</v>
      </c>
      <c r="D385" s="23" t="n">
        <v>12.3266297404902</v>
      </c>
      <c r="E385" s="13" t="str">
        <f aca="false">IF(B385&lt;5,"Acidic",IF(B385&lt;9,"Near-neutral","Alkaline"))</f>
        <v>Alkaline</v>
      </c>
    </row>
    <row r="386" customFormat="false" ht="15" hidden="false" customHeight="false" outlineLevel="0" collapsed="false">
      <c r="A386" s="23" t="n">
        <v>5.71785892946473</v>
      </c>
      <c r="B386" s="18" t="n">
        <v>10.8259310794846</v>
      </c>
      <c r="C386" s="23" t="n">
        <v>0.564487257945871</v>
      </c>
      <c r="D386" s="23" t="n">
        <v>12.3266297404902</v>
      </c>
      <c r="E386" s="13" t="str">
        <f aca="false">IF(B386&lt;5,"Acidic",IF(B386&lt;9,"Near-neutral","Alkaline"))</f>
        <v>Alkaline</v>
      </c>
    </row>
    <row r="387" customFormat="false" ht="15" hidden="false" customHeight="false" outlineLevel="0" collapsed="false">
      <c r="A387" s="23" t="n">
        <v>5.73286643321661</v>
      </c>
      <c r="B387" s="18" t="n">
        <v>10.8343091160007</v>
      </c>
      <c r="C387" s="23" t="n">
        <v>0.552153650271521</v>
      </c>
      <c r="D387" s="23" t="n">
        <v>12.3266297404902</v>
      </c>
      <c r="E387" s="13" t="str">
        <f aca="false">IF(B387&lt;5,"Acidic",IF(B387&lt;9,"Near-neutral","Alkaline"))</f>
        <v>Alkaline</v>
      </c>
    </row>
    <row r="388" customFormat="false" ht="15" hidden="false" customHeight="false" outlineLevel="0" collapsed="false">
      <c r="A388" s="23" t="n">
        <v>5.74787393696848</v>
      </c>
      <c r="B388" s="18" t="n">
        <v>10.8425058435095</v>
      </c>
      <c r="C388" s="23" t="n">
        <v>0.54031748353043</v>
      </c>
      <c r="D388" s="23" t="n">
        <v>12.3266297404902</v>
      </c>
      <c r="E388" s="13" t="str">
        <f aca="false">IF(B388&lt;5,"Acidic",IF(B388&lt;9,"Near-neutral","Alkaline"))</f>
        <v>Alkaline</v>
      </c>
    </row>
    <row r="389" customFormat="false" ht="15" hidden="false" customHeight="false" outlineLevel="0" collapsed="false">
      <c r="A389" s="23" t="n">
        <v>5.76288144072036</v>
      </c>
      <c r="B389" s="18" t="n">
        <v>10.8505285020412</v>
      </c>
      <c r="C389" s="23" t="n">
        <v>0.528948934010487</v>
      </c>
      <c r="D389" s="23" t="n">
        <v>12.3266297404902</v>
      </c>
      <c r="E389" s="13" t="str">
        <f aca="false">IF(B389&lt;5,"Acidic",IF(B389&lt;9,"Near-neutral","Alkaline"))</f>
        <v>Alkaline</v>
      </c>
    </row>
    <row r="390" customFormat="false" ht="15" hidden="false" customHeight="false" outlineLevel="0" collapsed="false">
      <c r="A390" s="23" t="n">
        <v>5.77788894447224</v>
      </c>
      <c r="B390" s="18" t="n">
        <v>10.8583839034324</v>
      </c>
      <c r="C390" s="23" t="n">
        <v>0.518021124281404</v>
      </c>
      <c r="D390" s="23" t="n">
        <v>12.3266297404902</v>
      </c>
      <c r="E390" s="13" t="str">
        <f aca="false">IF(B390&lt;5,"Acidic",IF(B390&lt;9,"Near-neutral","Alkaline"))</f>
        <v>Alkaline</v>
      </c>
    </row>
    <row r="391" customFormat="false" ht="15" hidden="false" customHeight="false" outlineLevel="0" collapsed="false">
      <c r="A391" s="23" t="n">
        <v>5.79289644822411</v>
      </c>
      <c r="B391" s="18" t="n">
        <v>10.8660784700618</v>
      </c>
      <c r="C391" s="23" t="n">
        <v>0.507509157562936</v>
      </c>
      <c r="D391" s="23" t="n">
        <v>12.3266297404902</v>
      </c>
      <c r="E391" s="13" t="str">
        <f aca="false">IF(B391&lt;5,"Acidic",IF(B391&lt;9,"Near-neutral","Alkaline"))</f>
        <v>Alkaline</v>
      </c>
    </row>
    <row r="392" customFormat="false" ht="15" hidden="false" customHeight="false" outlineLevel="0" collapsed="false">
      <c r="A392" s="23" t="n">
        <v>5.80790395197599</v>
      </c>
      <c r="B392" s="18" t="n">
        <v>10.8736182627352</v>
      </c>
      <c r="C392" s="23" t="n">
        <v>0.497389382114989</v>
      </c>
      <c r="D392" s="23" t="n">
        <v>12.3266297404902</v>
      </c>
      <c r="E392" s="13" t="str">
        <f aca="false">IF(B392&lt;5,"Acidic",IF(B392&lt;9,"Near-neutral","Alkaline"))</f>
        <v>Alkaline</v>
      </c>
    </row>
    <row r="393" customFormat="false" ht="15" hidden="false" customHeight="false" outlineLevel="0" collapsed="false">
      <c r="A393" s="23" t="n">
        <v>5.82291145572786</v>
      </c>
      <c r="B393" s="18" t="n">
        <v>10.8810090090244</v>
      </c>
      <c r="C393" s="23" t="n">
        <v>0.487640874406111</v>
      </c>
      <c r="D393" s="23" t="n">
        <v>12.3266297404902</v>
      </c>
      <c r="E393" s="13" t="str">
        <f aca="false">IF(B393&lt;5,"Acidic",IF(B393&lt;9,"Near-neutral","Alkaline"))</f>
        <v>Alkaline</v>
      </c>
    </row>
    <row r="394" customFormat="false" ht="15" hidden="false" customHeight="false" outlineLevel="0" collapsed="false">
      <c r="A394" s="23" t="n">
        <v>5.83791895947974</v>
      </c>
      <c r="B394" s="18" t="n">
        <v>10.8882561252637</v>
      </c>
      <c r="C394" s="23" t="n">
        <v>0.478243469333961</v>
      </c>
      <c r="D394" s="23" t="n">
        <v>12.3266297404902</v>
      </c>
      <c r="E394" s="13" t="str">
        <f aca="false">IF(B394&lt;5,"Acidic",IF(B394&lt;9,"Near-neutral","Alkaline"))</f>
        <v>Alkaline</v>
      </c>
    </row>
    <row r="395" customFormat="false" ht="15" hidden="false" customHeight="false" outlineLevel="0" collapsed="false">
      <c r="A395" s="23" t="n">
        <v>5.85292646323162</v>
      </c>
      <c r="B395" s="18" t="n">
        <v>10.8953647357696</v>
      </c>
      <c r="C395" s="23" t="n">
        <v>0.46917833360817</v>
      </c>
      <c r="D395" s="23" t="n">
        <v>12.3266297404902</v>
      </c>
      <c r="E395" s="13" t="str">
        <f aca="false">IF(B395&lt;5,"Acidic",IF(B395&lt;9,"Near-neutral","Alkaline"))</f>
        <v>Alkaline</v>
      </c>
    </row>
    <row r="396" customFormat="false" ht="15" hidden="false" customHeight="false" outlineLevel="0" collapsed="false">
      <c r="A396" s="23" t="n">
        <v>5.86793396698349</v>
      </c>
      <c r="B396" s="18" t="n">
        <v>10.9023396992039</v>
      </c>
      <c r="C396" s="23" t="n">
        <v>0.46042867262031</v>
      </c>
      <c r="D396" s="23" t="n">
        <v>12.3266297404902</v>
      </c>
      <c r="E396" s="13" t="str">
        <f aca="false">IF(B396&lt;5,"Acidic",IF(B396&lt;9,"Near-neutral","Alkaline"))</f>
        <v>Alkaline</v>
      </c>
    </row>
    <row r="397" customFormat="false" ht="15" hidden="false" customHeight="false" outlineLevel="0" collapsed="false">
      <c r="A397" s="23" t="n">
        <v>5.88294147073537</v>
      </c>
      <c r="B397" s="18" t="n">
        <v>10.9091856285921</v>
      </c>
      <c r="C397" s="23" t="n">
        <v>0.451978148020316</v>
      </c>
      <c r="D397" s="23" t="n">
        <v>12.3266297404902</v>
      </c>
      <c r="E397" s="13" t="str">
        <f aca="false">IF(B397&lt;5,"Acidic",IF(B397&lt;9,"Near-neutral","Alkaline"))</f>
        <v>Alkaline</v>
      </c>
    </row>
    <row r="398" customFormat="false" ht="15" hidden="false" customHeight="false" outlineLevel="0" collapsed="false">
      <c r="A398" s="23" t="n">
        <v>5.89794897448724</v>
      </c>
      <c r="B398" s="18" t="n">
        <v>10.9159068937011</v>
      </c>
      <c r="C398" s="23" t="n">
        <v>0.44381179877098</v>
      </c>
      <c r="D398" s="23" t="n">
        <v>12.3266297404902</v>
      </c>
      <c r="E398" s="13" t="str">
        <f aca="false">IF(B398&lt;5,"Acidic",IF(B398&lt;9,"Near-neutral","Alkaline"))</f>
        <v>Alkaline</v>
      </c>
    </row>
    <row r="399" customFormat="false" ht="15" hidden="false" customHeight="false" outlineLevel="0" collapsed="false">
      <c r="A399" s="23" t="n">
        <v>5.91295647823912</v>
      </c>
      <c r="B399" s="18" t="n">
        <v>10.9225076563186</v>
      </c>
      <c r="C399" s="23" t="n">
        <v>0.435915700168266</v>
      </c>
      <c r="D399" s="23" t="n">
        <v>12.3266297404902</v>
      </c>
      <c r="E399" s="13" t="str">
        <f aca="false">IF(B399&lt;5,"Acidic",IF(B399&lt;9,"Near-neutral","Alkaline"))</f>
        <v>Alkaline</v>
      </c>
    </row>
    <row r="400" customFormat="false" ht="15" hidden="false" customHeight="false" outlineLevel="0" collapsed="false">
      <c r="A400" s="23" t="n">
        <v>5.927963981991</v>
      </c>
      <c r="B400" s="18" t="n">
        <v>10.9289918714368</v>
      </c>
      <c r="C400" s="23" t="n">
        <v>0.428276543446032</v>
      </c>
      <c r="D400" s="23" t="n">
        <v>12.3266297404902</v>
      </c>
      <c r="E400" s="13" t="str">
        <f aca="false">IF(B400&lt;5,"Acidic",IF(B400&lt;9,"Near-neutral","Alkaline"))</f>
        <v>Alkaline</v>
      </c>
    </row>
    <row r="401" customFormat="false" ht="15" hidden="false" customHeight="false" outlineLevel="0" collapsed="false">
      <c r="A401" s="23" t="n">
        <v>5.94297148574287</v>
      </c>
      <c r="B401" s="18" t="n">
        <v>10.935363298721</v>
      </c>
      <c r="C401" s="23" t="n">
        <v>0.42088208912503</v>
      </c>
      <c r="D401" s="23" t="n">
        <v>12.3266297404902</v>
      </c>
      <c r="E401" s="13" t="str">
        <f aca="false">IF(B401&lt;5,"Acidic",IF(B401&lt;9,"Near-neutral","Alkaline"))</f>
        <v>Alkaline</v>
      </c>
    </row>
    <row r="402" customFormat="false" ht="15" hidden="false" customHeight="false" outlineLevel="0" collapsed="false">
      <c r="A402" s="23" t="n">
        <v>5.95797898949475</v>
      </c>
      <c r="B402" s="18" t="n">
        <v>10.9416255249387</v>
      </c>
      <c r="C402" s="23" t="n">
        <v>0.413721084643498</v>
      </c>
      <c r="D402" s="23" t="n">
        <v>12.3266297404902</v>
      </c>
      <c r="E402" s="13" t="str">
        <f aca="false">IF(B402&lt;5,"Acidic",IF(B402&lt;9,"Near-neutral","Alkaline"))</f>
        <v>Alkaline</v>
      </c>
    </row>
    <row r="403" customFormat="false" ht="15" hidden="false" customHeight="false" outlineLevel="0" collapsed="false">
      <c r="A403" s="23" t="n">
        <v>5.97298649324662</v>
      </c>
      <c r="B403" s="18" t="n">
        <v>10.9477819729547</v>
      </c>
      <c r="C403" s="23" t="n">
        <v>0.406782302694523</v>
      </c>
      <c r="D403" s="23" t="n">
        <v>12.3266297404902</v>
      </c>
      <c r="E403" s="13" t="str">
        <f aca="false">IF(B403&lt;5,"Acidic",IF(B403&lt;9,"Near-neutral","Alkaline"))</f>
        <v>Alkaline</v>
      </c>
    </row>
    <row r="404" customFormat="false" ht="15" hidden="false" customHeight="false" outlineLevel="0" collapsed="false">
      <c r="A404" s="23" t="n">
        <v>5.9879939969985</v>
      </c>
      <c r="B404" s="18" t="n">
        <v>10.9538358975907</v>
      </c>
      <c r="C404" s="23" t="n">
        <v>0.400055873222527</v>
      </c>
      <c r="D404" s="23" t="n">
        <v>12.3266297404902</v>
      </c>
      <c r="E404" s="13" t="str">
        <f aca="false">IF(B404&lt;5,"Acidic",IF(B404&lt;9,"Near-neutral","Alkaline"))</f>
        <v>Alkaline</v>
      </c>
    </row>
    <row r="405" customFormat="false" ht="15" hidden="false" customHeight="false" outlineLevel="0" collapsed="false">
      <c r="A405" s="23" t="n">
        <v>6.00300150075038</v>
      </c>
      <c r="B405" s="18" t="n">
        <v>10.9597904161036</v>
      </c>
      <c r="C405" s="23" t="n">
        <v>0.393532423177362</v>
      </c>
      <c r="D405" s="23" t="n">
        <v>12.3266297404902</v>
      </c>
      <c r="E405" s="13" t="str">
        <f aca="false">IF(B405&lt;5,"Acidic",IF(B405&lt;9,"Near-neutral","Alkaline"))</f>
        <v>Alkaline</v>
      </c>
    </row>
    <row r="406" customFormat="false" ht="15" hidden="false" customHeight="false" outlineLevel="0" collapsed="false">
      <c r="A406" s="23" t="n">
        <v>6.01800900450225</v>
      </c>
      <c r="B406" s="18" t="n">
        <v>10.9656485002488</v>
      </c>
      <c r="C406" s="23" t="n">
        <v>0.387202546508206</v>
      </c>
      <c r="D406" s="23" t="n">
        <v>12.3266297404902</v>
      </c>
      <c r="E406" s="13" t="str">
        <f aca="false">IF(B406&lt;5,"Acidic",IF(B406&lt;9,"Near-neutral","Alkaline"))</f>
        <v>Alkaline</v>
      </c>
    </row>
    <row r="407" customFormat="false" ht="15" hidden="false" customHeight="false" outlineLevel="0" collapsed="false">
      <c r="A407" s="23" t="n">
        <v>6.03301650825413</v>
      </c>
      <c r="B407" s="18" t="n">
        <v>10.9714129986076</v>
      </c>
      <c r="C407" s="23" t="n">
        <v>0.381058130071665</v>
      </c>
      <c r="D407" s="23" t="n">
        <v>12.3266297404902</v>
      </c>
      <c r="E407" s="13" t="str">
        <f aca="false">IF(B407&lt;5,"Acidic",IF(B407&lt;9,"Near-neutral","Alkaline"))</f>
        <v>Alkaline</v>
      </c>
    </row>
    <row r="408" customFormat="false" ht="15" hidden="false" customHeight="false" outlineLevel="0" collapsed="false">
      <c r="A408" s="23" t="n">
        <v>6.048024012006</v>
      </c>
      <c r="B408" s="18" t="n">
        <v>10.9770866293183</v>
      </c>
      <c r="C408" s="23" t="n">
        <v>0.375090943547434</v>
      </c>
      <c r="D408" s="23" t="n">
        <v>12.3266297404902</v>
      </c>
      <c r="E408" s="13" t="str">
        <f aca="false">IF(B408&lt;5,"Acidic",IF(B408&lt;9,"Near-neutral","Alkaline"))</f>
        <v>Alkaline</v>
      </c>
    </row>
    <row r="409" customFormat="false" ht="15" hidden="false" customHeight="false" outlineLevel="0" collapsed="false">
      <c r="A409" s="23" t="n">
        <v>6.06303151575788</v>
      </c>
      <c r="B409" s="18" t="n">
        <v>10.982671994476</v>
      </c>
      <c r="C409" s="23" t="n">
        <v>0.369293812411456</v>
      </c>
      <c r="D409" s="23" t="n">
        <v>12.3266297404902</v>
      </c>
      <c r="E409" s="13" t="str">
        <f aca="false">IF(B409&lt;5,"Acidic",IF(B409&lt;9,"Near-neutral","Alkaline"))</f>
        <v>Alkaline</v>
      </c>
    </row>
    <row r="410" customFormat="false" ht="15" hidden="false" customHeight="false" outlineLevel="0" collapsed="false">
      <c r="A410" s="23" t="n">
        <v>6.07803901950976</v>
      </c>
      <c r="B410" s="18" t="n">
        <v>10.9881715951356</v>
      </c>
      <c r="C410" s="23" t="n">
        <v>0.363659428478286</v>
      </c>
      <c r="D410" s="23" t="n">
        <v>12.3266297404902</v>
      </c>
      <c r="E410" s="13" t="str">
        <f aca="false">IF(B410&lt;5,"Acidic",IF(B410&lt;9,"Near-neutral","Alkaline"))</f>
        <v>Alkaline</v>
      </c>
    </row>
    <row r="411" customFormat="false" ht="15" hidden="false" customHeight="false" outlineLevel="0" collapsed="false">
      <c r="A411" s="23" t="n">
        <v>6.09304652326163</v>
      </c>
      <c r="B411" s="18" t="n">
        <v>10.9935878165659</v>
      </c>
      <c r="C411" s="23" t="n">
        <v>0.358180906759571</v>
      </c>
      <c r="D411" s="23" t="n">
        <v>12.3266297404902</v>
      </c>
      <c r="E411" s="13" t="str">
        <f aca="false">IF(B411&lt;5,"Acidic",IF(B411&lt;9,"Near-neutral","Alkaline"))</f>
        <v>Alkaline</v>
      </c>
    </row>
    <row r="412" customFormat="false" ht="15" hidden="false" customHeight="false" outlineLevel="0" collapsed="false">
      <c r="A412" s="23" t="n">
        <v>6.10805402701351</v>
      </c>
      <c r="B412" s="18" t="n">
        <v>10.9989229584533</v>
      </c>
      <c r="C412" s="23" t="n">
        <v>0.352852068723564</v>
      </c>
      <c r="D412" s="23" t="n">
        <v>12.3266297404902</v>
      </c>
      <c r="E412" s="13" t="str">
        <f aca="false">IF(B412&lt;5,"Acidic",IF(B412&lt;9,"Near-neutral","Alkaline"))</f>
        <v>Alkaline</v>
      </c>
    </row>
    <row r="413" customFormat="false" ht="15" hidden="false" customHeight="false" outlineLevel="0" collapsed="false">
      <c r="A413" s="23" t="n">
        <v>6.12306153076538</v>
      </c>
      <c r="B413" s="18" t="n">
        <v>11.0041792164239</v>
      </c>
      <c r="C413" s="23" t="n">
        <v>0.347667102179116</v>
      </c>
      <c r="D413" s="23" t="n">
        <v>12.3266297404902</v>
      </c>
      <c r="E413" s="13" t="str">
        <f aca="false">IF(B413&lt;5,"Acidic",IF(B413&lt;9,"Near-neutral","Alkaline"))</f>
        <v>Alkaline</v>
      </c>
    </row>
    <row r="414" customFormat="false" ht="15" hidden="false" customHeight="false" outlineLevel="0" collapsed="false">
      <c r="A414" s="23" t="n">
        <v>6.13806903451726</v>
      </c>
      <c r="B414" s="18" t="n">
        <v>11.0093587067084</v>
      </c>
      <c r="C414" s="23" t="n">
        <v>0.342620020461141</v>
      </c>
      <c r="D414" s="23" t="n">
        <v>12.3266297404902</v>
      </c>
      <c r="E414" s="13" t="str">
        <f aca="false">IF(B414&lt;5,"Acidic",IF(B414&lt;9,"Near-neutral","Alkaline"))</f>
        <v>Alkaline</v>
      </c>
    </row>
    <row r="415" customFormat="false" ht="15" hidden="false" customHeight="false" outlineLevel="0" collapsed="false">
      <c r="A415" s="23" t="n">
        <v>6.15307653826914</v>
      </c>
      <c r="B415" s="18" t="n">
        <v>11.0144634572358</v>
      </c>
      <c r="C415" s="23" t="n">
        <v>0.337705700515699</v>
      </c>
      <c r="D415" s="23" t="n">
        <v>12.3266297404902</v>
      </c>
      <c r="E415" s="13" t="str">
        <f aca="false">IF(B415&lt;5,"Acidic",IF(B415&lt;9,"Near-neutral","Alkaline"))</f>
        <v>Alkaline</v>
      </c>
    </row>
    <row r="416" customFormat="false" ht="15" hidden="false" customHeight="false" outlineLevel="0" collapsed="false">
      <c r="A416" s="23" t="n">
        <v>6.16808404202101</v>
      </c>
      <c r="B416" s="18" t="n">
        <v>11.0194954212704</v>
      </c>
      <c r="C416" s="23" t="n">
        <v>0.332918690801535</v>
      </c>
      <c r="D416" s="23" t="n">
        <v>12.3266297404902</v>
      </c>
      <c r="E416" s="13" t="str">
        <f aca="false">IF(B416&lt;5,"Acidic",IF(B416&lt;9,"Near-neutral","Alkaline"))</f>
        <v>Alkaline</v>
      </c>
    </row>
    <row r="417" customFormat="false" ht="15" hidden="false" customHeight="false" outlineLevel="0" collapsed="false">
      <c r="A417" s="23" t="n">
        <v>6.18309154577289</v>
      </c>
      <c r="B417" s="18" t="n">
        <v>11.0244564730475</v>
      </c>
      <c r="C417" s="23" t="n">
        <v>0.328254250495093</v>
      </c>
      <c r="D417" s="23" t="n">
        <v>12.3266297404902</v>
      </c>
      <c r="E417" s="13" t="str">
        <f aca="false">IF(B417&lt;5,"Acidic",IF(B417&lt;9,"Near-neutral","Alkaline"))</f>
        <v>Alkaline</v>
      </c>
    </row>
    <row r="418" customFormat="false" ht="15" hidden="false" customHeight="false" outlineLevel="0" collapsed="false">
      <c r="A418" s="23" t="n">
        <v>6.19809904952476</v>
      </c>
      <c r="B418" s="18" t="n">
        <v>11.029348424132</v>
      </c>
      <c r="C418" s="23" t="n">
        <v>0.323708455663223</v>
      </c>
      <c r="D418" s="23" t="n">
        <v>12.3266297404902</v>
      </c>
      <c r="E418" s="13" t="str">
        <f aca="false">IF(B418&lt;5,"Acidic",IF(B418&lt;9,"Near-neutral","Alkaline"))</f>
        <v>Alkaline</v>
      </c>
    </row>
    <row r="419" customFormat="false" ht="15" hidden="false" customHeight="false" outlineLevel="0" collapsed="false">
      <c r="A419" s="23" t="n">
        <v>6.21310655327664</v>
      </c>
      <c r="B419" s="18" t="n">
        <v>11.0341730060513</v>
      </c>
      <c r="C419" s="23" t="n">
        <v>0.319275233723147</v>
      </c>
      <c r="D419" s="23" t="n">
        <v>12.3266297404902</v>
      </c>
      <c r="E419" s="13" t="str">
        <f aca="false">IF(B419&lt;5,"Acidic",IF(B419&lt;9,"Near-neutral","Alkaline"))</f>
        <v>Alkaline</v>
      </c>
    </row>
    <row r="420" customFormat="false" ht="15" hidden="false" customHeight="false" outlineLevel="0" collapsed="false">
      <c r="A420" s="23" t="n">
        <v>6.22811405702851</v>
      </c>
      <c r="B420" s="18" t="n">
        <v>11.0389318937013</v>
      </c>
      <c r="C420" s="23" t="n">
        <v>0.3149524787367</v>
      </c>
      <c r="D420" s="23" t="n">
        <v>12.3266297404902</v>
      </c>
      <c r="E420" s="13" t="str">
        <f aca="false">IF(B420&lt;5,"Acidic",IF(B420&lt;9,"Near-neutral","Alkaline"))</f>
        <v>Alkaline</v>
      </c>
    </row>
    <row r="421" customFormat="false" ht="15" hidden="false" customHeight="false" outlineLevel="0" collapsed="false">
      <c r="A421" s="23" t="n">
        <v>6.24312156078039</v>
      </c>
      <c r="B421" s="18" t="n">
        <v>11.043626694588</v>
      </c>
      <c r="C421" s="23" t="n">
        <v>0.310734687097693</v>
      </c>
      <c r="D421" s="23" t="n">
        <v>12.3266297404902</v>
      </c>
      <c r="E421" s="13" t="str">
        <f aca="false">IF(B421&lt;5,"Acidic",IF(B421&lt;9,"Near-neutral","Alkaline"))</f>
        <v>Alkaline</v>
      </c>
    </row>
    <row r="422" customFormat="false" ht="15" hidden="false" customHeight="false" outlineLevel="0" collapsed="false">
      <c r="A422" s="23" t="n">
        <v>6.25812906453227</v>
      </c>
      <c r="B422" s="18" t="n">
        <v>11.0482589748257</v>
      </c>
      <c r="C422" s="23" t="n">
        <v>0.306618765874191</v>
      </c>
      <c r="D422" s="23" t="n">
        <v>12.3266297404902</v>
      </c>
      <c r="E422" s="13" t="str">
        <f aca="false">IF(B422&lt;5,"Acidic",IF(B422&lt;9,"Near-neutral","Alkaline"))</f>
        <v>Alkaline</v>
      </c>
    </row>
    <row r="423" customFormat="false" ht="15" hidden="false" customHeight="false" outlineLevel="0" collapsed="false">
      <c r="A423" s="23" t="n">
        <v>6.27313656828414</v>
      </c>
      <c r="B423" s="18" t="n">
        <v>11.052830228916</v>
      </c>
      <c r="C423" s="23" t="n">
        <v>0.30260066742926</v>
      </c>
      <c r="D423" s="23" t="n">
        <v>12.3266297404902</v>
      </c>
      <c r="E423" s="13" t="str">
        <f aca="false">IF(B423&lt;5,"Acidic",IF(B423&lt;9,"Near-neutral","Alkaline"))</f>
        <v>Alkaline</v>
      </c>
    </row>
    <row r="424" customFormat="false" ht="15" hidden="false" customHeight="false" outlineLevel="0" collapsed="false">
      <c r="A424" s="23" t="n">
        <v>6.28814407203602</v>
      </c>
      <c r="B424" s="18" t="n">
        <v>11.0573418964843</v>
      </c>
      <c r="C424" s="23" t="n">
        <v>0.298677882243283</v>
      </c>
      <c r="D424" s="23" t="n">
        <v>12.3266297404902</v>
      </c>
      <c r="E424" s="13" t="str">
        <f aca="false">IF(B424&lt;5,"Acidic",IF(B424&lt;9,"Near-neutral","Alkaline"))</f>
        <v>Alkaline</v>
      </c>
    </row>
    <row r="425" customFormat="false" ht="15" hidden="false" customHeight="false" outlineLevel="0" collapsed="false">
      <c r="A425" s="23" t="n">
        <v>6.30315157578789</v>
      </c>
      <c r="B425" s="18" t="n">
        <v>11.0617953860585</v>
      </c>
      <c r="C425" s="23" t="n">
        <v>0.294845932514249</v>
      </c>
      <c r="D425" s="23" t="n">
        <v>12.3266297404902</v>
      </c>
      <c r="E425" s="13" t="str">
        <f aca="false">IF(B425&lt;5,"Acidic",IF(B425&lt;9,"Near-neutral","Alkaline"))</f>
        <v>Alkaline</v>
      </c>
    </row>
    <row r="426" customFormat="false" ht="15" hidden="false" customHeight="false" outlineLevel="0" collapsed="false">
      <c r="A426" s="23" t="n">
        <v>6.31815907953977</v>
      </c>
      <c r="B426" s="18" t="n">
        <v>11.066192034978</v>
      </c>
      <c r="C426" s="23" t="n">
        <v>0.291102687215243</v>
      </c>
      <c r="D426" s="23" t="n">
        <v>12.3266297404902</v>
      </c>
      <c r="E426" s="13" t="str">
        <f aca="false">IF(B426&lt;5,"Acidic",IF(B426&lt;9,"Near-neutral","Alkaline"))</f>
        <v>Alkaline</v>
      </c>
    </row>
    <row r="427" customFormat="false" ht="15" hidden="false" customHeight="false" outlineLevel="0" collapsed="false">
      <c r="A427" s="23" t="n">
        <v>6.33316658329165</v>
      </c>
      <c r="B427" s="18" t="n">
        <v>11.0705331503494</v>
      </c>
      <c r="C427" s="23" t="n">
        <v>0.287444455525133</v>
      </c>
      <c r="D427" s="23" t="n">
        <v>12.3266297404902</v>
      </c>
      <c r="E427" s="13" t="str">
        <f aca="false">IF(B427&lt;5,"Acidic",IF(B427&lt;9,"Near-neutral","Alkaline"))</f>
        <v>Alkaline</v>
      </c>
    </row>
    <row r="428" customFormat="false" ht="15" hidden="false" customHeight="false" outlineLevel="0" collapsed="false">
      <c r="A428" s="23" t="n">
        <v>6.34817408704352</v>
      </c>
      <c r="B428" s="18" t="n">
        <v>11.0748199914026</v>
      </c>
      <c r="C428" s="23" t="n">
        <v>0.283868539808282</v>
      </c>
      <c r="D428" s="23" t="n">
        <v>12.3266297404902</v>
      </c>
      <c r="E428" s="13" t="str">
        <f aca="false">IF(B428&lt;5,"Acidic",IF(B428&lt;9,"Near-neutral","Alkaline"))</f>
        <v>Alkaline</v>
      </c>
    </row>
    <row r="429" customFormat="false" ht="15" hidden="false" customHeight="false" outlineLevel="0" collapsed="false">
      <c r="A429" s="23" t="n">
        <v>6.3631815907954</v>
      </c>
      <c r="B429" s="18" t="n">
        <v>11.0790537680887</v>
      </c>
      <c r="C429" s="23" t="n">
        <v>0.280372564438608</v>
      </c>
      <c r="D429" s="23" t="n">
        <v>12.3266297404902</v>
      </c>
      <c r="E429" s="13" t="str">
        <f aca="false">IF(B429&lt;5,"Acidic",IF(B429&lt;9,"Near-neutral","Alkaline"))</f>
        <v>Alkaline</v>
      </c>
    </row>
    <row r="430" customFormat="false" ht="15" hidden="false" customHeight="false" outlineLevel="0" collapsed="false">
      <c r="A430" s="23" t="n">
        <v>6.37818909454727</v>
      </c>
      <c r="B430" s="18" t="n">
        <v>11.0832356684876</v>
      </c>
      <c r="C430" s="23" t="n">
        <v>0.276953753332691</v>
      </c>
      <c r="D430" s="23" t="n">
        <v>12.3266297404902</v>
      </c>
      <c r="E430" s="13" t="str">
        <f aca="false">IF(B430&lt;5,"Acidic",IF(B430&lt;9,"Near-neutral","Alkaline"))</f>
        <v>Alkaline</v>
      </c>
    </row>
    <row r="431" customFormat="false" ht="15" hidden="false" customHeight="false" outlineLevel="0" collapsed="false">
      <c r="A431" s="23" t="n">
        <v>6.39319659829915</v>
      </c>
      <c r="B431" s="18" t="n">
        <v>11.0873668190527</v>
      </c>
      <c r="C431" s="23" t="n">
        <v>0.273609313127736</v>
      </c>
      <c r="D431" s="23" t="n">
        <v>12.3266297404902</v>
      </c>
      <c r="E431" s="13" t="str">
        <f aca="false">IF(B431&lt;5,"Acidic",IF(B431&lt;9,"Near-neutral","Alkaline"))</f>
        <v>Alkaline</v>
      </c>
    </row>
    <row r="432" customFormat="false" ht="15" hidden="false" customHeight="false" outlineLevel="0" collapsed="false">
      <c r="A432" s="23" t="n">
        <v>6.40820410205103</v>
      </c>
      <c r="B432" s="18" t="n">
        <v>11.0914483242322</v>
      </c>
      <c r="C432" s="23" t="n">
        <v>0.270337620253145</v>
      </c>
      <c r="D432" s="23" t="n">
        <v>12.3266297404902</v>
      </c>
      <c r="E432" s="13" t="str">
        <f aca="false">IF(B432&lt;5,"Acidic",IF(B432&lt;9,"Near-neutral","Alkaline"))</f>
        <v>Alkaline</v>
      </c>
    </row>
    <row r="433" customFormat="false" ht="15" hidden="false" customHeight="false" outlineLevel="0" collapsed="false">
      <c r="A433" s="23" t="n">
        <v>6.4232116058029</v>
      </c>
      <c r="B433" s="18" t="n">
        <v>11.0954812558739</v>
      </c>
      <c r="C433" s="23" t="n">
        <v>0.26713516416703</v>
      </c>
      <c r="D433" s="23" t="n">
        <v>12.3266297404902</v>
      </c>
      <c r="E433" s="13" t="str">
        <f aca="false">IF(B433&lt;5,"Acidic",IF(B433&lt;9,"Near-neutral","Alkaline"))</f>
        <v>Alkaline</v>
      </c>
    </row>
    <row r="434" customFormat="false" ht="15" hidden="false" customHeight="false" outlineLevel="0" collapsed="false">
      <c r="A434" s="23" t="n">
        <v>6.43821910955478</v>
      </c>
      <c r="B434" s="18" t="n">
        <v>11.0994666481951</v>
      </c>
      <c r="C434" s="23" t="n">
        <v>0.264000818342311</v>
      </c>
      <c r="D434" s="23" t="n">
        <v>12.3266297404902</v>
      </c>
      <c r="E434" s="13" t="str">
        <f aca="false">IF(B434&lt;5,"Acidic",IF(B434&lt;9,"Near-neutral","Alkaline"))</f>
        <v>Alkaline</v>
      </c>
    </row>
    <row r="435" customFormat="false" ht="15" hidden="false" customHeight="false" outlineLevel="0" collapsed="false">
      <c r="A435" s="23" t="n">
        <v>6.45322661330665</v>
      </c>
      <c r="B435" s="18" t="n">
        <v>11.1034054927266</v>
      </c>
      <c r="C435" s="23" t="n">
        <v>0.260931990976587</v>
      </c>
      <c r="D435" s="23" t="n">
        <v>12.3266297404902</v>
      </c>
      <c r="E435" s="13" t="str">
        <f aca="false">IF(B435&lt;5,"Acidic",IF(B435&lt;9,"Near-neutral","Alkaline"))</f>
        <v>Alkaline</v>
      </c>
    </row>
    <row r="436" customFormat="false" ht="15" hidden="false" customHeight="false" outlineLevel="0" collapsed="false">
      <c r="A436" s="23" t="n">
        <v>6.46823411705853</v>
      </c>
      <c r="B436" s="18" t="n">
        <v>11.1072987633774</v>
      </c>
      <c r="C436" s="23" t="n">
        <v>0.257926979554895</v>
      </c>
      <c r="D436" s="23" t="n">
        <v>12.3266297404902</v>
      </c>
      <c r="E436" s="13" t="str">
        <f aca="false">IF(B436&lt;5,"Acidic",IF(B436&lt;9,"Near-neutral","Alkaline"))</f>
        <v>Alkaline</v>
      </c>
    </row>
    <row r="437" customFormat="false" ht="15" hidden="false" customHeight="false" outlineLevel="0" collapsed="false">
      <c r="A437" s="23" t="n">
        <v>6.48324162081041</v>
      </c>
      <c r="B437" s="18" t="n">
        <v>11.1111474005183</v>
      </c>
      <c r="C437" s="23" t="n">
        <v>0.254983812830119</v>
      </c>
      <c r="D437" s="23" t="n">
        <v>12.3266297404902</v>
      </c>
      <c r="E437" s="13" t="str">
        <f aca="false">IF(B437&lt;5,"Acidic",IF(B437&lt;9,"Near-neutral","Alkaline"))</f>
        <v>Alkaline</v>
      </c>
    </row>
    <row r="438" customFormat="false" ht="15" hidden="false" customHeight="false" outlineLevel="0" collapsed="false">
      <c r="A438" s="23" t="n">
        <v>6.49824912456228</v>
      </c>
      <c r="B438" s="18" t="n">
        <v>11.1149523250758</v>
      </c>
      <c r="C438" s="23" t="n">
        <v>0.252099838872482</v>
      </c>
      <c r="D438" s="23" t="n">
        <v>12.3266297404902</v>
      </c>
      <c r="E438" s="13" t="str">
        <f aca="false">IF(B438&lt;5,"Acidic",IF(B438&lt;9,"Near-neutral","Alkaline"))</f>
        <v>Alkaline</v>
      </c>
    </row>
    <row r="439" customFormat="false" ht="15" hidden="false" customHeight="false" outlineLevel="0" collapsed="false">
      <c r="A439" s="23" t="n">
        <v>6.51325662831416</v>
      </c>
      <c r="B439" s="18" t="n">
        <v>11.1187144040615</v>
      </c>
      <c r="C439" s="23" t="n">
        <v>0.249274187573747</v>
      </c>
      <c r="D439" s="23" t="n">
        <v>12.3266297404902</v>
      </c>
      <c r="E439" s="13" t="str">
        <f aca="false">IF(B439&lt;5,"Acidic",IF(B439&lt;9,"Near-neutral","Alkaline"))</f>
        <v>Alkaline</v>
      </c>
    </row>
    <row r="440" customFormat="false" ht="15" hidden="false" customHeight="false" outlineLevel="0" collapsed="false">
      <c r="A440" s="23" t="n">
        <v>6.52826413206603</v>
      </c>
      <c r="B440" s="18" t="n">
        <v>11.1224345081135</v>
      </c>
      <c r="C440" s="23" t="n">
        <v>0.246505369943748</v>
      </c>
      <c r="D440" s="23" t="n">
        <v>12.3266297404902</v>
      </c>
      <c r="E440" s="13" t="str">
        <f aca="false">IF(B440&lt;5,"Acidic",IF(B440&lt;9,"Near-neutral","Alkaline"))</f>
        <v>Alkaline</v>
      </c>
    </row>
    <row r="441" customFormat="false" ht="15" hidden="false" customHeight="false" outlineLevel="0" collapsed="false">
      <c r="A441" s="23" t="n">
        <v>6.54327163581791</v>
      </c>
      <c r="B441" s="18" t="n">
        <v>11.126113465202</v>
      </c>
      <c r="C441" s="23" t="n">
        <v>0.243790413147167</v>
      </c>
      <c r="D441" s="23" t="n">
        <v>12.3266297404902</v>
      </c>
      <c r="E441" s="13" t="str">
        <f aca="false">IF(B441&lt;5,"Acidic",IF(B441&lt;9,"Near-neutral","Alkaline"))</f>
        <v>Alkaline</v>
      </c>
    </row>
    <row r="442" customFormat="false" ht="15" hidden="false" customHeight="false" outlineLevel="0" collapsed="false">
      <c r="A442" s="23" t="n">
        <v>6.55827913956979</v>
      </c>
      <c r="B442" s="18" t="n">
        <v>11.1297520819138</v>
      </c>
      <c r="C442" s="23" t="n">
        <v>0.241129468431723</v>
      </c>
      <c r="D442" s="23" t="n">
        <v>12.3266297404902</v>
      </c>
      <c r="E442" s="13" t="str">
        <f aca="false">IF(B442&lt;5,"Acidic",IF(B442&lt;9,"Near-neutral","Alkaline"))</f>
        <v>Alkaline</v>
      </c>
    </row>
    <row r="443" customFormat="false" ht="15" hidden="false" customHeight="false" outlineLevel="0" collapsed="false">
      <c r="A443" s="23" t="n">
        <v>6.57328664332166</v>
      </c>
      <c r="B443" s="18" t="n">
        <v>11.1333511467954</v>
      </c>
      <c r="C443" s="23" t="n">
        <v>0.238519127075278</v>
      </c>
      <c r="D443" s="23" t="n">
        <v>12.3266297404902</v>
      </c>
      <c r="E443" s="13" t="str">
        <f aca="false">IF(B443&lt;5,"Acidic",IF(B443&lt;9,"Near-neutral","Alkaline"))</f>
        <v>Alkaline</v>
      </c>
    </row>
    <row r="444" customFormat="false" ht="15" hidden="false" customHeight="false" outlineLevel="0" collapsed="false">
      <c r="A444" s="23" t="n">
        <v>6.58829414707354</v>
      </c>
      <c r="B444" s="18" t="n">
        <v>11.1369114275458</v>
      </c>
      <c r="C444" s="23" t="n">
        <v>0.235959591008168</v>
      </c>
      <c r="D444" s="23" t="n">
        <v>12.3266297404902</v>
      </c>
      <c r="E444" s="13" t="str">
        <f aca="false">IF(B444&lt;5,"Acidic",IF(B444&lt;9,"Near-neutral","Alkaline"))</f>
        <v>Alkaline</v>
      </c>
    </row>
    <row r="445" customFormat="false" ht="15" hidden="false" customHeight="false" outlineLevel="0" collapsed="false">
      <c r="A445" s="23" t="n">
        <v>6.60330165082541</v>
      </c>
      <c r="B445" s="18" t="n">
        <v>11.1404336551829</v>
      </c>
      <c r="C445" s="23" t="n">
        <v>0.233448332382523</v>
      </c>
      <c r="D445" s="23" t="n">
        <v>12.3266297404902</v>
      </c>
      <c r="E445" s="13" t="str">
        <f aca="false">IF(B445&lt;5,"Acidic",IF(B445&lt;9,"Near-neutral","Alkaline"))</f>
        <v>Alkaline</v>
      </c>
    </row>
    <row r="446" customFormat="false" ht="15" hidden="false" customHeight="false" outlineLevel="0" collapsed="false">
      <c r="A446" s="23" t="n">
        <v>6.61830915457729</v>
      </c>
      <c r="B446" s="18" t="n">
        <v>11.1439185600399</v>
      </c>
      <c r="C446" s="23" t="n">
        <v>0.23098479321925</v>
      </c>
      <c r="D446" s="23" t="n">
        <v>12.3266297404902</v>
      </c>
      <c r="E446" s="13" t="str">
        <f aca="false">IF(B446&lt;5,"Acidic",IF(B446&lt;9,"Near-neutral","Alkaline"))</f>
        <v>Alkaline</v>
      </c>
    </row>
    <row r="447" customFormat="false" ht="15" hidden="false" customHeight="false" outlineLevel="0" collapsed="false">
      <c r="A447" s="23" t="n">
        <v>6.63331665832917</v>
      </c>
      <c r="B447" s="18" t="n">
        <v>11.1473668435293</v>
      </c>
      <c r="C447" s="23" t="n">
        <v>0.228567393799608</v>
      </c>
      <c r="D447" s="23" t="n">
        <v>12.3266297404902</v>
      </c>
      <c r="E447" s="13" t="str">
        <f aca="false">IF(B447&lt;5,"Acidic",IF(B447&lt;9,"Near-neutral","Alkaline"))</f>
        <v>Alkaline</v>
      </c>
    </row>
    <row r="448" customFormat="false" ht="15" hidden="false" customHeight="false" outlineLevel="0" collapsed="false">
      <c r="A448" s="23" t="n">
        <v>6.64832416208104</v>
      </c>
      <c r="B448" s="18" t="n">
        <v>11.1507791752926</v>
      </c>
      <c r="C448" s="23" t="n">
        <v>0.226194381626215</v>
      </c>
      <c r="D448" s="23" t="n">
        <v>12.3266297404902</v>
      </c>
      <c r="E448" s="13" t="str">
        <f aca="false">IF(B448&lt;5,"Acidic",IF(B448&lt;9,"Near-neutral","Alkaline"))</f>
        <v>Alkaline</v>
      </c>
    </row>
    <row r="449" customFormat="false" ht="15" hidden="false" customHeight="false" outlineLevel="0" collapsed="false">
      <c r="A449" s="23" t="n">
        <v>6.66333166583292</v>
      </c>
      <c r="B449" s="18" t="n">
        <v>11.1541562306348</v>
      </c>
      <c r="C449" s="23" t="n">
        <v>0.223864729328511</v>
      </c>
      <c r="D449" s="23" t="n">
        <v>12.3266297404902</v>
      </c>
      <c r="E449" s="13" t="str">
        <f aca="false">IF(B449&lt;5,"Acidic",IF(B449&lt;9,"Near-neutral","Alkaline"))</f>
        <v>Alkaline</v>
      </c>
    </row>
    <row r="450" customFormat="false" ht="15" hidden="false" customHeight="false" outlineLevel="0" collapsed="false">
      <c r="A450" s="23" t="n">
        <v>6.67833916958479</v>
      </c>
      <c r="B450" s="18" t="n">
        <v>11.157498648619</v>
      </c>
      <c r="C450" s="23" t="n">
        <v>0.221578175743048</v>
      </c>
      <c r="D450" s="23" t="n">
        <v>12.3266297404902</v>
      </c>
      <c r="E450" s="13" t="str">
        <f aca="false">IF(B450&lt;5,"Acidic",IF(B450&lt;9,"Near-neutral","Alkaline"))</f>
        <v>Alkaline</v>
      </c>
    </row>
    <row r="451" customFormat="false" ht="15" hidden="false" customHeight="false" outlineLevel="0" collapsed="false">
      <c r="A451" s="23" t="n">
        <v>6.69334667333667</v>
      </c>
      <c r="B451" s="18" t="n">
        <v>11.160807056471</v>
      </c>
      <c r="C451" s="23" t="n">
        <v>0.219332530274073</v>
      </c>
      <c r="D451" s="23" t="n">
        <v>12.3266297404902</v>
      </c>
      <c r="E451" s="13" t="str">
        <f aca="false">IF(B451&lt;5,"Acidic",IF(B451&lt;9,"Near-neutral","Alkaline"))</f>
        <v>Alkaline</v>
      </c>
    </row>
    <row r="452" customFormat="false" ht="15" hidden="false" customHeight="false" outlineLevel="0" collapsed="false">
      <c r="A452" s="23" t="n">
        <v>6.70835417708855</v>
      </c>
      <c r="B452" s="18" t="n">
        <v>11.1640820677397</v>
      </c>
      <c r="C452" s="23" t="n">
        <v>0.217126806319129</v>
      </c>
      <c r="D452" s="23" t="n">
        <v>12.3266297404902</v>
      </c>
      <c r="E452" s="13" t="str">
        <f aca="false">IF(B452&lt;5,"Acidic",IF(B452&lt;9,"Near-neutral","Alkaline"))</f>
        <v>Alkaline</v>
      </c>
    </row>
    <row r="453" customFormat="false" ht="15" hidden="false" customHeight="false" outlineLevel="0" collapsed="false">
      <c r="A453" s="23" t="n">
        <v>6.72336168084042</v>
      </c>
      <c r="B453" s="18" t="n">
        <v>11.1673242666066</v>
      </c>
      <c r="C453" s="23" t="n">
        <v>0.214960819917565</v>
      </c>
      <c r="D453" s="23" t="n">
        <v>12.3266297404902</v>
      </c>
      <c r="E453" s="13" t="str">
        <f aca="false">IF(B453&lt;5,"Acidic",IF(B453&lt;9,"Near-neutral","Alkaline"))</f>
        <v>Alkaline</v>
      </c>
    </row>
    <row r="454" customFormat="false" ht="15" hidden="false" customHeight="false" outlineLevel="0" collapsed="false">
      <c r="A454" s="23" t="n">
        <v>6.7383691845923</v>
      </c>
      <c r="B454" s="18" t="n">
        <v>11.1705342543303</v>
      </c>
      <c r="C454" s="23" t="n">
        <v>0.212832432244113</v>
      </c>
      <c r="D454" s="23" t="n">
        <v>12.3266297404902</v>
      </c>
      <c r="E454" s="13" t="str">
        <f aca="false">IF(B454&lt;5,"Acidic",IF(B454&lt;9,"Near-neutral","Alkaline"))</f>
        <v>Alkaline</v>
      </c>
    </row>
    <row r="455" customFormat="false" ht="15" hidden="false" customHeight="false" outlineLevel="0" collapsed="false">
      <c r="A455" s="23" t="n">
        <v>6.75337668834417</v>
      </c>
      <c r="B455" s="18" t="n">
        <v>11.1737125714024</v>
      </c>
      <c r="C455" s="23" t="n">
        <v>0.210741225292395</v>
      </c>
      <c r="D455" s="23" t="n">
        <v>12.3266297404902</v>
      </c>
      <c r="E455" s="13" t="str">
        <f aca="false">IF(B455&lt;5,"Acidic",IF(B455&lt;9,"Near-neutral","Alkaline"))</f>
        <v>Alkaline</v>
      </c>
    </row>
    <row r="456" customFormat="false" ht="15" hidden="false" customHeight="false" outlineLevel="0" collapsed="false">
      <c r="A456" s="23" t="n">
        <v>6.76838419209605</v>
      </c>
      <c r="B456" s="18" t="n">
        <v>11.1768597861277</v>
      </c>
      <c r="C456" s="23" t="n">
        <v>0.208686217670675</v>
      </c>
      <c r="D456" s="23" t="n">
        <v>12.3266297404902</v>
      </c>
      <c r="E456" s="13" t="str">
        <f aca="false">IF(B456&lt;5,"Acidic",IF(B456&lt;9,"Near-neutral","Alkaline"))</f>
        <v>Alkaline</v>
      </c>
    </row>
    <row r="457" customFormat="false" ht="15" hidden="false" customHeight="false" outlineLevel="0" collapsed="false">
      <c r="A457" s="23" t="n">
        <v>6.78339169584792</v>
      </c>
      <c r="B457" s="18" t="n">
        <v>11.179976423281</v>
      </c>
      <c r="C457" s="23" t="n">
        <v>0.206666796899071</v>
      </c>
      <c r="D457" s="23" t="n">
        <v>12.3266297404902</v>
      </c>
      <c r="E457" s="13" t="str">
        <f aca="false">IF(B457&lt;5,"Acidic",IF(B457&lt;9,"Near-neutral","Alkaline"))</f>
        <v>Alkaline</v>
      </c>
    </row>
    <row r="458" customFormat="false" ht="15" hidden="false" customHeight="false" outlineLevel="0" collapsed="false">
      <c r="A458" s="23" t="n">
        <v>6.7983991995998</v>
      </c>
      <c r="B458" s="18" t="n">
        <v>11.1830630188872</v>
      </c>
      <c r="C458" s="23" t="n">
        <v>0.204680819701366</v>
      </c>
      <c r="D458" s="23" t="n">
        <v>12.3266297404902</v>
      </c>
      <c r="E458" s="13" t="str">
        <f aca="false">IF(B458&lt;5,"Acidic",IF(B458&lt;9,"Near-neutral","Alkaline"))</f>
        <v>Alkaline</v>
      </c>
    </row>
    <row r="459" customFormat="false" ht="15" hidden="false" customHeight="false" outlineLevel="0" collapsed="false">
      <c r="A459" s="23" t="n">
        <v>6.81340670335168</v>
      </c>
      <c r="B459" s="18" t="n">
        <v>11.1861200617925</v>
      </c>
      <c r="C459" s="23" t="n">
        <v>0.202729867320159</v>
      </c>
      <c r="D459" s="23" t="n">
        <v>12.3266297404902</v>
      </c>
      <c r="E459" s="13" t="str">
        <f aca="false">IF(B459&lt;5,"Acidic",IF(B459&lt;9,"Near-neutral","Alkaline"))</f>
        <v>Alkaline</v>
      </c>
    </row>
    <row r="460" customFormat="false" ht="15" hidden="false" customHeight="false" outlineLevel="0" collapsed="false">
      <c r="A460" s="23" t="n">
        <v>6.82841420710355</v>
      </c>
      <c r="B460" s="18" t="n">
        <v>11.1891480638115</v>
      </c>
      <c r="C460" s="23" t="n">
        <v>0.200810160365791</v>
      </c>
      <c r="D460" s="23" t="n">
        <v>12.3266297404902</v>
      </c>
      <c r="E460" s="13" t="str">
        <f aca="false">IF(B460&lt;5,"Acidic",IF(B460&lt;9,"Near-neutral","Alkaline"))</f>
        <v>Alkaline</v>
      </c>
    </row>
    <row r="461" customFormat="false" ht="15" hidden="false" customHeight="false" outlineLevel="0" collapsed="false">
      <c r="A461" s="23" t="n">
        <v>6.84342171085543</v>
      </c>
      <c r="B461" s="18" t="n">
        <v>11.1921475083136</v>
      </c>
      <c r="C461" s="23" t="n">
        <v>0.198923117047116</v>
      </c>
      <c r="D461" s="23" t="n">
        <v>12.3266297404902</v>
      </c>
      <c r="E461" s="13" t="str">
        <f aca="false">IF(B461&lt;5,"Acidic",IF(B461&lt;9,"Near-neutral","Alkaline"))</f>
        <v>Alkaline</v>
      </c>
    </row>
    <row r="462" customFormat="false" ht="15" hidden="false" customHeight="false" outlineLevel="0" collapsed="false">
      <c r="A462" s="23" t="n">
        <v>6.8584292146073</v>
      </c>
      <c r="B462" s="18" t="n">
        <v>11.1951188557176</v>
      </c>
      <c r="C462" s="23" t="n">
        <v>0.197067187309244</v>
      </c>
      <c r="D462" s="23" t="n">
        <v>12.3266297404902</v>
      </c>
      <c r="E462" s="13" t="str">
        <f aca="false">IF(B462&lt;5,"Acidic",IF(B462&lt;9,"Near-neutral","Alkaline"))</f>
        <v>Alkaline</v>
      </c>
    </row>
    <row r="463" customFormat="false" ht="15" hidden="false" customHeight="false" outlineLevel="0" collapsed="false">
      <c r="A463" s="23" t="n">
        <v>6.87343671835918</v>
      </c>
      <c r="B463" s="18" t="n">
        <v>11.1980625864369</v>
      </c>
      <c r="C463" s="23" t="n">
        <v>0.195240712127657</v>
      </c>
      <c r="D463" s="23" t="n">
        <v>12.3266297404902</v>
      </c>
      <c r="E463" s="13" t="str">
        <f aca="false">IF(B463&lt;5,"Acidic",IF(B463&lt;9,"Near-neutral","Alkaline"))</f>
        <v>Alkaline</v>
      </c>
    </row>
    <row r="464" customFormat="false" ht="15" hidden="false" customHeight="false" outlineLevel="0" collapsed="false">
      <c r="A464" s="23" t="n">
        <v>6.88844422211106</v>
      </c>
      <c r="B464" s="18" t="n">
        <v>11.2009791409124</v>
      </c>
      <c r="C464" s="23" t="n">
        <v>0.193445423882281</v>
      </c>
      <c r="D464" s="23" t="n">
        <v>12.3266297404902</v>
      </c>
      <c r="E464" s="13" t="str">
        <f aca="false">IF(B464&lt;5,"Acidic",IF(B464&lt;9,"Near-neutral","Alkaline"))</f>
        <v>Alkaline</v>
      </c>
    </row>
    <row r="465" customFormat="false" ht="15" hidden="false" customHeight="false" outlineLevel="0" collapsed="false">
      <c r="A465" s="23" t="n">
        <v>6.90345172586293</v>
      </c>
      <c r="B465" s="18" t="n">
        <v>11.203868955122</v>
      </c>
      <c r="C465" s="23" t="n">
        <v>0.191678028649676</v>
      </c>
      <c r="D465" s="23" t="n">
        <v>12.3266297404902</v>
      </c>
      <c r="E465" s="13" t="str">
        <f aca="false">IF(B465&lt;5,"Acidic",IF(B465&lt;9,"Near-neutral","Alkaline"))</f>
        <v>Alkaline</v>
      </c>
    </row>
    <row r="466" customFormat="false" ht="15" hidden="false" customHeight="false" outlineLevel="0" collapsed="false">
      <c r="A466" s="23" t="n">
        <v>6.91845922961481</v>
      </c>
      <c r="B466" s="18" t="n">
        <v>11.2067324596922</v>
      </c>
      <c r="C466" s="23" t="n">
        <v>0.189939126919626</v>
      </c>
      <c r="D466" s="23" t="n">
        <v>12.3266297404902</v>
      </c>
      <c r="E466" s="13" t="str">
        <f aca="false">IF(B466&lt;5,"Acidic",IF(B466&lt;9,"Near-neutral","Alkaline"))</f>
        <v>Alkaline</v>
      </c>
    </row>
    <row r="467" customFormat="false" ht="15" hidden="false" customHeight="false" outlineLevel="0" collapsed="false">
      <c r="A467" s="23" t="n">
        <v>6.93346673336668</v>
      </c>
      <c r="B467" s="18" t="n">
        <v>11.2095700790059</v>
      </c>
      <c r="C467" s="23" t="n">
        <v>0.188227762877318</v>
      </c>
      <c r="D467" s="23" t="n">
        <v>12.3266297404902</v>
      </c>
      <c r="E467" s="13" t="str">
        <f aca="false">IF(B467&lt;5,"Acidic",IF(B467&lt;9,"Near-neutral","Alkaline"))</f>
        <v>Alkaline</v>
      </c>
    </row>
    <row r="468" customFormat="false" ht="15" hidden="false" customHeight="false" outlineLevel="0" collapsed="false">
      <c r="A468" s="23" t="n">
        <v>6.94847423711856</v>
      </c>
      <c r="B468" s="18" t="n">
        <v>11.2123822149507</v>
      </c>
      <c r="C468" s="23" t="n">
        <v>0.186542904457042</v>
      </c>
      <c r="D468" s="23" t="n">
        <v>12.3266297404902</v>
      </c>
      <c r="E468" s="13" t="str">
        <f aca="false">IF(B468&lt;5,"Acidic",IF(B468&lt;9,"Near-neutral","Alkaline"))</f>
        <v>Alkaline</v>
      </c>
    </row>
    <row r="469" customFormat="false" ht="15" hidden="false" customHeight="false" outlineLevel="0" collapsed="false">
      <c r="A469" s="23" t="n">
        <v>6.96348174087044</v>
      </c>
      <c r="B469" s="18" t="n">
        <v>11.2151692764372</v>
      </c>
      <c r="C469" s="23" t="n">
        <v>0.184885509619903</v>
      </c>
      <c r="D469" s="23" t="n">
        <v>12.3266297404902</v>
      </c>
      <c r="E469" s="13" t="str">
        <f aca="false">IF(B469&lt;5,"Acidic",IF(B469&lt;9,"Near-neutral","Alkaline"))</f>
        <v>Alkaline</v>
      </c>
    </row>
    <row r="470" customFormat="false" ht="15" hidden="false" customHeight="false" outlineLevel="0" collapsed="false">
      <c r="A470" s="23" t="n">
        <v>6.97848924462231</v>
      </c>
      <c r="B470" s="18" t="n">
        <v>11.2179316478856</v>
      </c>
      <c r="C470" s="23" t="n">
        <v>0.183252886587184</v>
      </c>
      <c r="D470" s="23" t="n">
        <v>12.3266297404902</v>
      </c>
      <c r="E470" s="13" t="str">
        <f aca="false">IF(B470&lt;5,"Acidic",IF(B470&lt;9,"Near-neutral","Alkaline"))</f>
        <v>Alkaline</v>
      </c>
    </row>
    <row r="471" customFormat="false" ht="15" hidden="false" customHeight="false" outlineLevel="0" collapsed="false">
      <c r="A471" s="23" t="n">
        <v>6.99349674837419</v>
      </c>
      <c r="B471" s="18" t="n">
        <v>11.2206697113106</v>
      </c>
      <c r="C471" s="23" t="n">
        <v>0.181645879793337</v>
      </c>
      <c r="D471" s="23" t="n">
        <v>12.3266297404902</v>
      </c>
      <c r="E471" s="13" t="str">
        <f aca="false">IF(B471&lt;5,"Acidic",IF(B471&lt;9,"Near-neutral","Alkaline"))</f>
        <v>Alkaline</v>
      </c>
    </row>
    <row r="472" customFormat="false" ht="15" hidden="false" customHeight="false" outlineLevel="0" collapsed="false">
      <c r="A472" s="23" t="n">
        <v>7.00850425212606</v>
      </c>
      <c r="B472" s="18" t="n">
        <v>11.2233838377888</v>
      </c>
      <c r="C472" s="23" t="n">
        <v>0.180063216997155</v>
      </c>
      <c r="D472" s="23" t="n">
        <v>12.3266297404902</v>
      </c>
      <c r="E472" s="13" t="str">
        <f aca="false">IF(B472&lt;5,"Acidic",IF(B472&lt;9,"Near-neutral","Alkaline"))</f>
        <v>Alkaline</v>
      </c>
    </row>
    <row r="473" customFormat="false" ht="15" hidden="false" customHeight="false" outlineLevel="0" collapsed="false">
      <c r="A473" s="23" t="n">
        <v>7.02351175587794</v>
      </c>
      <c r="B473" s="18" t="n">
        <v>11.2260744024042</v>
      </c>
      <c r="C473" s="23" t="n">
        <v>0.178505138297169</v>
      </c>
      <c r="D473" s="23" t="n">
        <v>12.3266297404902</v>
      </c>
      <c r="E473" s="13" t="str">
        <f aca="false">IF(B473&lt;5,"Acidic",IF(B473&lt;9,"Near-neutral","Alkaline"))</f>
        <v>Alkaline</v>
      </c>
    </row>
    <row r="474" customFormat="false" ht="15" hidden="false" customHeight="false" outlineLevel="0" collapsed="false">
      <c r="A474" s="23" t="n">
        <v>7.03851925962982</v>
      </c>
      <c r="B474" s="18" t="n">
        <v>11.2287417519384</v>
      </c>
      <c r="C474" s="23" t="n">
        <v>0.176969191422359</v>
      </c>
      <c r="D474" s="23" t="n">
        <v>12.3266297404902</v>
      </c>
      <c r="E474" s="13" t="str">
        <f aca="false">IF(B474&lt;5,"Acidic",IF(B474&lt;9,"Near-neutral","Alkaline"))</f>
        <v>Alkaline</v>
      </c>
    </row>
    <row r="475" customFormat="false" ht="15" hidden="false" customHeight="false" outlineLevel="0" collapsed="false">
      <c r="A475" s="23" t="n">
        <v>7.05352676338169</v>
      </c>
      <c r="B475" s="18" t="n">
        <v>11.2313862275411</v>
      </c>
      <c r="C475" s="23" t="n">
        <v>0.175457640339005</v>
      </c>
      <c r="D475" s="23" t="n">
        <v>12.3266297404902</v>
      </c>
      <c r="E475" s="13" t="str">
        <f aca="false">IF(B475&lt;5,"Acidic",IF(B475&lt;9,"Near-neutral","Alkaline"))</f>
        <v>Alkaline</v>
      </c>
    </row>
    <row r="476" customFormat="false" ht="15" hidden="false" customHeight="false" outlineLevel="0" collapsed="false">
      <c r="A476" s="23" t="n">
        <v>7.06853426713357</v>
      </c>
      <c r="B476" s="18" t="n">
        <v>11.2340081963503</v>
      </c>
      <c r="C476" s="23" t="n">
        <v>0.173967931301945</v>
      </c>
      <c r="D476" s="23" t="n">
        <v>12.3266297404902</v>
      </c>
      <c r="E476" s="13" t="str">
        <f aca="false">IF(B476&lt;5,"Acidic",IF(B476&lt;9,"Near-neutral","Alkaline"))</f>
        <v>Alkaline</v>
      </c>
    </row>
    <row r="477" customFormat="false" ht="15" hidden="false" customHeight="false" outlineLevel="0" collapsed="false">
      <c r="A477" s="23" t="n">
        <v>7.08354177088544</v>
      </c>
      <c r="B477" s="18" t="n">
        <v>11.236607962488</v>
      </c>
      <c r="C477" s="23" t="n">
        <v>0.172500657122441</v>
      </c>
      <c r="D477" s="23" t="n">
        <v>12.3266297404902</v>
      </c>
      <c r="E477" s="13" t="str">
        <f aca="false">IF(B477&lt;5,"Acidic",IF(B477&lt;9,"Near-neutral","Alkaline"))</f>
        <v>Alkaline</v>
      </c>
    </row>
    <row r="478" customFormat="false" ht="15" hidden="false" customHeight="false" outlineLevel="0" collapsed="false">
      <c r="A478" s="23" t="n">
        <v>7.09854927463732</v>
      </c>
      <c r="B478" s="18" t="n">
        <v>11.2391858708729</v>
      </c>
      <c r="C478" s="23" t="n">
        <v>0.171054215132813</v>
      </c>
      <c r="D478" s="23" t="n">
        <v>12.3266297404902</v>
      </c>
      <c r="E478" s="13" t="str">
        <f aca="false">IF(B478&lt;5,"Acidic",IF(B478&lt;9,"Near-neutral","Alkaline"))</f>
        <v>Alkaline</v>
      </c>
    </row>
    <row r="479" customFormat="false" ht="15" hidden="false" customHeight="false" outlineLevel="0" collapsed="false">
      <c r="A479" s="23" t="n">
        <v>7.1135567783892</v>
      </c>
      <c r="B479" s="18" t="n">
        <v>11.2417422422802</v>
      </c>
      <c r="C479" s="23" t="n">
        <v>0.169629122137735</v>
      </c>
      <c r="D479" s="23" t="n">
        <v>12.3266297404902</v>
      </c>
      <c r="E479" s="13" t="str">
        <f aca="false">IF(B479&lt;5,"Acidic",IF(B479&lt;9,"Near-neutral","Alkaline"))</f>
        <v>Alkaline</v>
      </c>
    </row>
    <row r="480" customFormat="false" ht="15" hidden="false" customHeight="false" outlineLevel="0" collapsed="false">
      <c r="A480" s="23" t="n">
        <v>7.12856428214107</v>
      </c>
      <c r="B480" s="18" t="n">
        <v>11.2442773804525</v>
      </c>
      <c r="C480" s="23" t="n">
        <v>0.168225330258792</v>
      </c>
      <c r="D480" s="23" t="n">
        <v>12.3266297404902</v>
      </c>
      <c r="E480" s="13" t="str">
        <f aca="false">IF(B480&lt;5,"Acidic",IF(B480&lt;9,"Near-neutral","Alkaline"))</f>
        <v>Alkaline</v>
      </c>
    </row>
    <row r="481" customFormat="false" ht="15" hidden="false" customHeight="false" outlineLevel="0" collapsed="false">
      <c r="A481" s="23" t="n">
        <v>7.14357178589295</v>
      </c>
      <c r="B481" s="18" t="n">
        <v>11.2467915878143</v>
      </c>
      <c r="C481" s="23" t="n">
        <v>0.166840541230044</v>
      </c>
      <c r="D481" s="23" t="n">
        <v>12.3266297404902</v>
      </c>
      <c r="E481" s="13" t="str">
        <f aca="false">IF(B481&lt;5,"Acidic",IF(B481&lt;9,"Near-neutral","Alkaline"))</f>
        <v>Alkaline</v>
      </c>
    </row>
    <row r="482" customFormat="false" ht="15" hidden="false" customHeight="false" outlineLevel="0" collapsed="false">
      <c r="A482" s="23" t="n">
        <v>7.15857928964482</v>
      </c>
      <c r="B482" s="18" t="n">
        <v>11.2492851734023</v>
      </c>
      <c r="C482" s="23" t="n">
        <v>0.165476274557477</v>
      </c>
      <c r="D482" s="23" t="n">
        <v>12.3266297404902</v>
      </c>
      <c r="E482" s="13" t="str">
        <f aca="false">IF(B482&lt;5,"Acidic",IF(B482&lt;9,"Near-neutral","Alkaline"))</f>
        <v>Alkaline</v>
      </c>
    </row>
    <row r="483" customFormat="false" ht="15" hidden="false" customHeight="false" outlineLevel="0" collapsed="false">
      <c r="A483" s="23" t="n">
        <v>7.1735867933967</v>
      </c>
      <c r="B483" s="18" t="n">
        <v>11.2517584274515</v>
      </c>
      <c r="C483" s="23" t="n">
        <v>0.164130698057079</v>
      </c>
      <c r="D483" s="23" t="n">
        <v>12.3266297404902</v>
      </c>
      <c r="E483" s="13" t="str">
        <f aca="false">IF(B483&lt;5,"Acidic",IF(B483&lt;9,"Near-neutral","Alkaline"))</f>
        <v>Alkaline</v>
      </c>
    </row>
    <row r="484" customFormat="false" ht="15" hidden="false" customHeight="false" outlineLevel="0" collapsed="false">
      <c r="A484" s="23" t="n">
        <v>7.18859429714857</v>
      </c>
      <c r="B484" s="18" t="n">
        <v>11.25421164585</v>
      </c>
      <c r="C484" s="23" t="n">
        <v>0.16280529280732</v>
      </c>
      <c r="D484" s="23" t="n">
        <v>12.3266297404902</v>
      </c>
      <c r="E484" s="13" t="str">
        <f aca="false">IF(B484&lt;5,"Acidic",IF(B484&lt;9,"Near-neutral","Alkaline"))</f>
        <v>Alkaline</v>
      </c>
    </row>
    <row r="485" customFormat="false" ht="15" hidden="false" customHeight="false" outlineLevel="0" collapsed="false">
      <c r="A485" s="23" t="n">
        <v>7.20360180090045</v>
      </c>
      <c r="B485" s="18" t="n">
        <v>11.2566450874317</v>
      </c>
      <c r="C485" s="23" t="n">
        <v>0.16149701354243</v>
      </c>
      <c r="D485" s="23" t="n">
        <v>12.3266297404902</v>
      </c>
      <c r="E485" s="13" t="str">
        <f aca="false">IF(B485&lt;5,"Acidic",IF(B485&lt;9,"Near-neutral","Alkaline"))</f>
        <v>Alkaline</v>
      </c>
    </row>
    <row r="486" customFormat="false" ht="15" hidden="false" customHeight="false" outlineLevel="0" collapsed="false">
      <c r="A486" s="23" t="n">
        <v>7.21860930465233</v>
      </c>
      <c r="B486" s="18" t="n">
        <v>11.259059049541</v>
      </c>
      <c r="C486" s="23" t="n">
        <v>0.160207848507184</v>
      </c>
      <c r="D486" s="23" t="n">
        <v>12.3266297404902</v>
      </c>
      <c r="E486" s="13" t="str">
        <f aca="false">IF(B486&lt;5,"Acidic",IF(B486&lt;9,"Near-neutral","Alkaline"))</f>
        <v>Alkaline</v>
      </c>
    </row>
    <row r="487" customFormat="false" ht="15" hidden="false" customHeight="false" outlineLevel="0" collapsed="false">
      <c r="A487" s="23" t="n">
        <v>7.2336168084042</v>
      </c>
      <c r="B487" s="18" t="n">
        <v>11.2614538000072</v>
      </c>
      <c r="C487" s="23" t="n">
        <v>0.158936373557026</v>
      </c>
      <c r="D487" s="23" t="n">
        <v>12.3266297404902</v>
      </c>
      <c r="E487" s="13" t="str">
        <f aca="false">IF(B487&lt;5,"Acidic",IF(B487&lt;9,"Near-neutral","Alkaline"))</f>
        <v>Alkaline</v>
      </c>
    </row>
    <row r="488" customFormat="false" ht="15" hidden="false" customHeight="false" outlineLevel="0" collapsed="false">
      <c r="A488" s="23" t="n">
        <v>7.24862431215608</v>
      </c>
      <c r="B488" s="18" t="n">
        <v>11.2638295846427</v>
      </c>
      <c r="C488" s="23" t="n">
        <v>0.157681681571717</v>
      </c>
      <c r="D488" s="23" t="n">
        <v>12.3266297404902</v>
      </c>
      <c r="E488" s="13" t="str">
        <f aca="false">IF(B488&lt;5,"Acidic",IF(B488&lt;9,"Near-neutral","Alkaline"))</f>
        <v>Alkaline</v>
      </c>
    </row>
    <row r="489" customFormat="false" ht="15" hidden="false" customHeight="false" outlineLevel="0" collapsed="false">
      <c r="A489" s="23" t="n">
        <v>7.26363181590795</v>
      </c>
      <c r="B489" s="18" t="n">
        <v>11.2661866871758</v>
      </c>
      <c r="C489" s="23" t="n">
        <v>0.156445143501287</v>
      </c>
      <c r="D489" s="23" t="n">
        <v>12.3266297404902</v>
      </c>
      <c r="E489" s="13" t="str">
        <f aca="false">IF(B489&lt;5,"Acidic",IF(B489&lt;9,"Near-neutral","Alkaline"))</f>
        <v>Alkaline</v>
      </c>
    </row>
    <row r="490" customFormat="false" ht="15" hidden="false" customHeight="false" outlineLevel="0" collapsed="false">
      <c r="A490" s="23" t="n">
        <v>7.27863931965983</v>
      </c>
      <c r="B490" s="18" t="n">
        <v>11.2685253426087</v>
      </c>
      <c r="C490" s="23" t="n">
        <v>0.155224645272142</v>
      </c>
      <c r="D490" s="23" t="n">
        <v>12.3266297404902</v>
      </c>
      <c r="E490" s="13" t="str">
        <f aca="false">IF(B490&lt;5,"Acidic",IF(B490&lt;9,"Near-neutral","Alkaline"))</f>
        <v>Alkaline</v>
      </c>
    </row>
    <row r="491" customFormat="false" ht="15" hidden="false" customHeight="false" outlineLevel="0" collapsed="false">
      <c r="A491" s="23" t="n">
        <v>7.29364682341171</v>
      </c>
      <c r="B491" s="18" t="n">
        <v>11.270845814672</v>
      </c>
      <c r="C491" s="23" t="n">
        <v>0.154020344552464</v>
      </c>
      <c r="D491" s="23" t="n">
        <v>12.3266297404902</v>
      </c>
      <c r="E491" s="13" t="str">
        <f aca="false">IF(B491&lt;5,"Acidic",IF(B491&lt;9,"Near-neutral","Alkaline"))</f>
        <v>Alkaline</v>
      </c>
    </row>
    <row r="492" customFormat="false" ht="15" hidden="false" customHeight="false" outlineLevel="0" collapsed="false">
      <c r="A492" s="23" t="n">
        <v>7.30865432716358</v>
      </c>
      <c r="B492" s="18" t="n">
        <v>11.2731483345026</v>
      </c>
      <c r="C492" s="23" t="n">
        <v>0.152832975563342</v>
      </c>
      <c r="D492" s="23" t="n">
        <v>12.3266297404902</v>
      </c>
      <c r="E492" s="13" t="str">
        <f aca="false">IF(B492&lt;5,"Acidic",IF(B492&lt;9,"Near-neutral","Alkaline"))</f>
        <v>Alkaline</v>
      </c>
    </row>
    <row r="493" customFormat="false" ht="15" hidden="false" customHeight="false" outlineLevel="0" collapsed="false">
      <c r="A493" s="23" t="n">
        <v>7.32366183091546</v>
      </c>
      <c r="B493" s="18" t="n">
        <v>11.2754331527756</v>
      </c>
      <c r="C493" s="23" t="n">
        <v>0.151660901878813</v>
      </c>
      <c r="D493" s="23" t="n">
        <v>12.3266297404902</v>
      </c>
      <c r="E493" s="13" t="str">
        <f aca="false">IF(B493&lt;5,"Acidic",IF(B493&lt;9,"Near-neutral","Alkaline"))</f>
        <v>Alkaline</v>
      </c>
    </row>
    <row r="494" customFormat="false" ht="15" hidden="false" customHeight="false" outlineLevel="0" collapsed="false">
      <c r="A494" s="23" t="n">
        <v>7.33866933466733</v>
      </c>
      <c r="B494" s="18" t="n">
        <v>11.2777004953417</v>
      </c>
      <c r="C494" s="23" t="n">
        <v>0.150504215587034</v>
      </c>
      <c r="D494" s="23" t="n">
        <v>12.3266297404902</v>
      </c>
      <c r="E494" s="13" t="str">
        <f aca="false">IF(B494&lt;5,"Acidic",IF(B494&lt;9,"Near-neutral","Alkaline"))</f>
        <v>Alkaline</v>
      </c>
    </row>
    <row r="495" customFormat="false" ht="15" hidden="false" customHeight="false" outlineLevel="0" collapsed="false">
      <c r="A495" s="23" t="n">
        <v>7.35367683841921</v>
      </c>
      <c r="B495" s="18" t="n">
        <v>11.2799505982098</v>
      </c>
      <c r="C495" s="23" t="n">
        <v>0.149362995120555</v>
      </c>
      <c r="D495" s="23" t="n">
        <v>12.3266297404902</v>
      </c>
      <c r="E495" s="13" t="str">
        <f aca="false">IF(B495&lt;5,"Acidic",IF(B495&lt;9,"Near-neutral","Alkaline"))</f>
        <v>Alkaline</v>
      </c>
    </row>
    <row r="496" customFormat="false" ht="15" hidden="false" customHeight="false" outlineLevel="0" collapsed="false">
      <c r="A496" s="23" t="n">
        <v>7.36868434217109</v>
      </c>
      <c r="B496" s="18" t="n">
        <v>11.2821836805205</v>
      </c>
      <c r="C496" s="23" t="n">
        <v>0.148236702771555</v>
      </c>
      <c r="D496" s="23" t="n">
        <v>12.3266297404902</v>
      </c>
      <c r="E496" s="13" t="str">
        <f aca="false">IF(B496&lt;5,"Acidic",IF(B496&lt;9,"Near-neutral","Alkaline"))</f>
        <v>Alkaline</v>
      </c>
    </row>
    <row r="497" customFormat="false" ht="15" hidden="false" customHeight="false" outlineLevel="0" collapsed="false">
      <c r="A497" s="23" t="n">
        <v>7.38369184592296</v>
      </c>
      <c r="B497" s="18" t="n">
        <v>11.2843999710682</v>
      </c>
      <c r="C497" s="23" t="n">
        <v>0.147124771650169</v>
      </c>
      <c r="D497" s="23" t="n">
        <v>12.3266297404902</v>
      </c>
      <c r="E497" s="13" t="str">
        <f aca="false">IF(B497&lt;5,"Acidic",IF(B497&lt;9,"Near-neutral","Alkaline"))</f>
        <v>Alkaline</v>
      </c>
    </row>
    <row r="498" customFormat="false" ht="15" hidden="false" customHeight="false" outlineLevel="0" collapsed="false">
      <c r="A498" s="23" t="n">
        <v>7.39869934967484</v>
      </c>
      <c r="B498" s="18" t="n">
        <v>11.2865996901054</v>
      </c>
      <c r="C498" s="23" t="n">
        <v>0.14602721424717</v>
      </c>
      <c r="D498" s="23" t="n">
        <v>12.3266297404902</v>
      </c>
      <c r="E498" s="13" t="str">
        <f aca="false">IF(B498&lt;5,"Acidic",IF(B498&lt;9,"Near-neutral","Alkaline"))</f>
        <v>Alkaline</v>
      </c>
    </row>
    <row r="499" customFormat="false" ht="15" hidden="false" customHeight="false" outlineLevel="0" collapsed="false">
      <c r="A499" s="23" t="n">
        <v>7.41370685342671</v>
      </c>
      <c r="B499" s="18" t="n">
        <v>11.288783039749</v>
      </c>
      <c r="C499" s="23" t="n">
        <v>0.144944029226622</v>
      </c>
      <c r="D499" s="23" t="n">
        <v>12.3266297404902</v>
      </c>
      <c r="E499" s="13" t="str">
        <f aca="false">IF(B499&lt;5,"Acidic",IF(B499&lt;9,"Near-neutral","Alkaline"))</f>
        <v>Alkaline</v>
      </c>
    </row>
    <row r="500" customFormat="false" ht="15" hidden="false" customHeight="false" outlineLevel="0" collapsed="false">
      <c r="A500" s="23" t="n">
        <v>7.42871435717859</v>
      </c>
      <c r="B500" s="18" t="n">
        <v>11.2909502309179</v>
      </c>
      <c r="C500" s="23" t="n">
        <v>0.143873972103847</v>
      </c>
      <c r="D500" s="23" t="n">
        <v>12.3266297404902</v>
      </c>
      <c r="E500" s="13" t="str">
        <f aca="false">IF(B500&lt;5,"Acidic",IF(B500&lt;9,"Near-neutral","Alkaline"))</f>
        <v>Alkaline</v>
      </c>
    </row>
    <row r="501" customFormat="false" ht="15" hidden="false" customHeight="false" outlineLevel="0" collapsed="false">
      <c r="A501" s="23" t="n">
        <v>7.44372186093047</v>
      </c>
      <c r="B501" s="18" t="n">
        <v>11.2931014741068</v>
      </c>
      <c r="C501" s="23" t="n">
        <v>0.142818224725829</v>
      </c>
      <c r="D501" s="23" t="n">
        <v>12.3266297404902</v>
      </c>
      <c r="E501" s="13" t="str">
        <f aca="false">IF(B501&lt;5,"Acidic",IF(B501&lt;9,"Near-neutral","Alkaline"))</f>
        <v>Alkaline</v>
      </c>
    </row>
    <row r="502" customFormat="false" ht="15" hidden="false" customHeight="false" outlineLevel="0" collapsed="false">
      <c r="A502" s="23" t="n">
        <v>7.45872936468234</v>
      </c>
      <c r="B502" s="18" t="n">
        <v>11.2952369791775</v>
      </c>
      <c r="C502" s="23" t="n">
        <v>0.141776123312525</v>
      </c>
      <c r="D502" s="23" t="n">
        <v>12.3266297404902</v>
      </c>
      <c r="E502" s="13" t="str">
        <f aca="false">IF(B502&lt;5,"Acidic",IF(B502&lt;9,"Near-neutral","Alkaline"))</f>
        <v>Alkaline</v>
      </c>
    </row>
    <row r="503" customFormat="false" ht="15" hidden="false" customHeight="false" outlineLevel="0" collapsed="false">
      <c r="A503" s="23" t="n">
        <v>7.47373686843422</v>
      </c>
      <c r="B503" s="18" t="n">
        <v>11.2973569271347</v>
      </c>
      <c r="C503" s="23" t="n">
        <v>0.140745103722338</v>
      </c>
      <c r="D503" s="23" t="n">
        <v>12.3266297404902</v>
      </c>
      <c r="E503" s="13" t="str">
        <f aca="false">IF(B503&lt;5,"Acidic",IF(B503&lt;9,"Near-neutral","Alkaline"))</f>
        <v>Alkaline</v>
      </c>
    </row>
    <row r="504" customFormat="false" ht="15" hidden="false" customHeight="false" outlineLevel="0" collapsed="false">
      <c r="A504" s="23" t="n">
        <v>7.48874437218609</v>
      </c>
      <c r="B504" s="18" t="n">
        <v>11.2994615067692</v>
      </c>
      <c r="C504" s="23" t="n">
        <v>0.139729421678339</v>
      </c>
      <c r="D504" s="23" t="n">
        <v>12.3266297404902</v>
      </c>
      <c r="E504" s="13" t="str">
        <f aca="false">IF(B504&lt;5,"Acidic",IF(B504&lt;9,"Near-neutral","Alkaline"))</f>
        <v>Alkaline</v>
      </c>
    </row>
    <row r="505" customFormat="false" ht="15" hidden="false" customHeight="false" outlineLevel="0" collapsed="false">
      <c r="A505" s="23" t="n">
        <v>7.50375187593797</v>
      </c>
      <c r="B505" s="18" t="n">
        <v>11.3015509335327</v>
      </c>
      <c r="C505" s="23" t="n">
        <v>0.13872586742832</v>
      </c>
      <c r="D505" s="23" t="n">
        <v>12.3266297404902</v>
      </c>
      <c r="E505" s="13" t="str">
        <f aca="false">IF(B505&lt;5,"Acidic",IF(B505&lt;9,"Near-neutral","Alkaline"))</f>
        <v>Alkaline</v>
      </c>
    </row>
    <row r="506" customFormat="false" ht="15" hidden="false" customHeight="false" outlineLevel="0" collapsed="false">
      <c r="A506" s="23" t="n">
        <v>7.51875937968985</v>
      </c>
      <c r="B506" s="18" t="n">
        <v>11.3036253931643</v>
      </c>
      <c r="C506" s="23" t="n">
        <v>0.137732407355884</v>
      </c>
      <c r="D506" s="23" t="n">
        <v>12.3266297404902</v>
      </c>
      <c r="E506" s="13" t="str">
        <f aca="false">IF(B506&lt;5,"Acidic",IF(B506&lt;9,"Near-neutral","Alkaline"))</f>
        <v>Alkaline</v>
      </c>
    </row>
    <row r="507" customFormat="false" ht="15" hidden="false" customHeight="false" outlineLevel="0" collapsed="false">
      <c r="A507" s="23" t="n">
        <v>7.53376688344172</v>
      </c>
      <c r="B507" s="18" t="n">
        <v>11.3056850408013</v>
      </c>
      <c r="C507" s="23" t="n">
        <v>0.136753306574747</v>
      </c>
      <c r="D507" s="23" t="n">
        <v>12.3266297404902</v>
      </c>
      <c r="E507" s="13" t="str">
        <f aca="false">IF(B507&lt;5,"Acidic",IF(B507&lt;9,"Near-neutral","Alkaline"))</f>
        <v>Alkaline</v>
      </c>
    </row>
    <row r="508" customFormat="false" ht="15" hidden="false" customHeight="false" outlineLevel="0" collapsed="false">
      <c r="A508" s="23" t="n">
        <v>7.5487743871936</v>
      </c>
      <c r="B508" s="18" t="n">
        <v>11.3077300766051</v>
      </c>
      <c r="C508" s="23" t="n">
        <v>0.135785256061467</v>
      </c>
      <c r="D508" s="23" t="n">
        <v>12.3266297404902</v>
      </c>
      <c r="E508" s="13" t="str">
        <f aca="false">IF(B508&lt;5,"Acidic",IF(B508&lt;9,"Near-neutral","Alkaline"))</f>
        <v>Alkaline</v>
      </c>
    </row>
    <row r="509" customFormat="false" ht="15" hidden="false" customHeight="false" outlineLevel="0" collapsed="false">
      <c r="A509" s="23" t="n">
        <v>7.56378189094547</v>
      </c>
      <c r="B509" s="18" t="n">
        <v>11.3097606890238</v>
      </c>
      <c r="C509" s="23" t="n">
        <v>0.134828708370037</v>
      </c>
      <c r="D509" s="23" t="n">
        <v>12.3266297404902</v>
      </c>
      <c r="E509" s="13" t="str">
        <f aca="false">IF(B509&lt;5,"Acidic",IF(B509&lt;9,"Near-neutral","Alkaline"))</f>
        <v>Alkaline</v>
      </c>
    </row>
    <row r="510" customFormat="false" ht="15" hidden="false" customHeight="false" outlineLevel="0" collapsed="false">
      <c r="A510" s="23" t="n">
        <v>7.57878939469735</v>
      </c>
      <c r="B510" s="18" t="n">
        <v>11.3117770350495</v>
      </c>
      <c r="C510" s="23" t="n">
        <v>0.133885406439504</v>
      </c>
      <c r="D510" s="23" t="n">
        <v>12.3266297404902</v>
      </c>
      <c r="E510" s="13" t="str">
        <f aca="false">IF(B510&lt;5,"Acidic",IF(B510&lt;9,"Near-neutral","Alkaline"))</f>
        <v>Alkaline</v>
      </c>
    </row>
    <row r="511" customFormat="false" ht="15" hidden="false" customHeight="false" outlineLevel="0" collapsed="false">
      <c r="A511" s="23" t="n">
        <v>7.59379689844923</v>
      </c>
      <c r="B511" s="18" t="n">
        <v>11.3137792781287</v>
      </c>
      <c r="C511" s="23" t="n">
        <v>0.132951942292834</v>
      </c>
      <c r="D511" s="23" t="n">
        <v>12.3266297404902</v>
      </c>
      <c r="E511" s="13" t="str">
        <f aca="false">IF(B511&lt;5,"Acidic",IF(B511&lt;9,"Near-neutral","Alkaline"))</f>
        <v>Alkaline</v>
      </c>
    </row>
    <row r="512" customFormat="false" ht="15" hidden="false" customHeight="false" outlineLevel="0" collapsed="false">
      <c r="A512" s="23" t="n">
        <v>7.6088044022011</v>
      </c>
      <c r="B512" s="18" t="n">
        <v>11.3157676076611</v>
      </c>
      <c r="C512" s="23" t="n">
        <v>0.132028723553844</v>
      </c>
      <c r="D512" s="23" t="n">
        <v>12.3266297404902</v>
      </c>
      <c r="E512" s="13" t="str">
        <f aca="false">IF(B512&lt;5,"Acidic",IF(B512&lt;9,"Near-neutral","Alkaline"))</f>
        <v>Alkaline</v>
      </c>
    </row>
    <row r="513" customFormat="false" ht="15" hidden="false" customHeight="false" outlineLevel="0" collapsed="false">
      <c r="A513" s="23" t="n">
        <v>7.62381190595298</v>
      </c>
      <c r="B513" s="18" t="n">
        <v>11.3177421807357</v>
      </c>
      <c r="C513" s="23" t="n">
        <v>0.131118773150661</v>
      </c>
      <c r="D513" s="23" t="n">
        <v>12.3266297404902</v>
      </c>
      <c r="E513" s="13" t="str">
        <f aca="false">IF(B513&lt;5,"Acidic",IF(B513&lt;9,"Near-neutral","Alkaline"))</f>
        <v>Alkaline</v>
      </c>
    </row>
    <row r="514" customFormat="false" ht="15" hidden="false" customHeight="false" outlineLevel="0" collapsed="false">
      <c r="A514" s="23" t="n">
        <v>7.63881940970485</v>
      </c>
      <c r="B514" s="18" t="n">
        <v>11.3197031605776</v>
      </c>
      <c r="C514" s="23" t="n">
        <v>0.130217295232455</v>
      </c>
      <c r="D514" s="23" t="n">
        <v>12.3266297404902</v>
      </c>
      <c r="E514" s="13" t="str">
        <f aca="false">IF(B514&lt;5,"Acidic",IF(B514&lt;9,"Near-neutral","Alkaline"))</f>
        <v>Alkaline</v>
      </c>
    </row>
    <row r="515" customFormat="false" ht="15" hidden="false" customHeight="false" outlineLevel="0" collapsed="false">
      <c r="A515" s="23" t="n">
        <v>7.65382691345673</v>
      </c>
      <c r="B515" s="18" t="n">
        <v>11.321650696809</v>
      </c>
      <c r="C515" s="23" t="n">
        <v>0.129327290585934</v>
      </c>
      <c r="D515" s="23" t="n">
        <v>12.3266297404902</v>
      </c>
      <c r="E515" s="13" t="str">
        <f aca="false">IF(B515&lt;5,"Acidic",IF(B515&lt;9,"Near-neutral","Alkaline"))</f>
        <v>Alkaline</v>
      </c>
    </row>
    <row r="516" customFormat="false" ht="15" hidden="false" customHeight="false" outlineLevel="0" collapsed="false">
      <c r="A516" s="23" t="n">
        <v>7.66883441720861</v>
      </c>
      <c r="B516" s="18" t="n">
        <v>11.3235849646957</v>
      </c>
      <c r="C516" s="23" t="n">
        <v>0.128447845052278</v>
      </c>
      <c r="D516" s="23" t="n">
        <v>12.3266297404902</v>
      </c>
      <c r="E516" s="13" t="str">
        <f aca="false">IF(B516&lt;5,"Acidic",IF(B516&lt;9,"Near-neutral","Alkaline"))</f>
        <v>Alkaline</v>
      </c>
    </row>
    <row r="517" customFormat="false" ht="15" hidden="false" customHeight="false" outlineLevel="0" collapsed="false">
      <c r="A517" s="23" t="n">
        <v>7.68384192096048</v>
      </c>
      <c r="B517" s="18" t="n">
        <v>11.325506105818</v>
      </c>
      <c r="C517" s="23" t="n">
        <v>0.127579346424909</v>
      </c>
      <c r="D517" s="23" t="n">
        <v>12.3266297404902</v>
      </c>
      <c r="E517" s="13" t="str">
        <f aca="false">IF(B517&lt;5,"Acidic",IF(B517&lt;9,"Near-neutral","Alkaline"))</f>
        <v>Alkaline</v>
      </c>
    </row>
    <row r="518" customFormat="false" ht="15" hidden="false" customHeight="false" outlineLevel="0" collapsed="false">
      <c r="A518" s="23" t="n">
        <v>7.69884942471236</v>
      </c>
      <c r="B518" s="18" t="n">
        <v>11.3274142872428</v>
      </c>
      <c r="C518" s="23" t="n">
        <v>0.126718173478253</v>
      </c>
      <c r="D518" s="23" t="n">
        <v>12.3266297404902</v>
      </c>
      <c r="E518" s="13" t="str">
        <f aca="false">IF(B518&lt;5,"Acidic",IF(B518&lt;9,"Near-neutral","Alkaline"))</f>
        <v>Alkaline</v>
      </c>
    </row>
    <row r="519" customFormat="false" ht="15" hidden="false" customHeight="false" outlineLevel="0" collapsed="false">
      <c r="A519" s="23" t="n">
        <v>7.71385692846423</v>
      </c>
      <c r="B519" s="18" t="n">
        <v>11.3293096215651</v>
      </c>
      <c r="C519" s="23" t="n">
        <v>0.125870014603152</v>
      </c>
      <c r="D519" s="23" t="n">
        <v>12.3266297404902</v>
      </c>
      <c r="E519" s="13" t="str">
        <f aca="false">IF(B519&lt;5,"Acidic",IF(B519&lt;9,"Near-neutral","Alkaline"))</f>
        <v>Alkaline</v>
      </c>
    </row>
    <row r="520" customFormat="false" ht="15" hidden="false" customHeight="false" outlineLevel="0" collapsed="false">
      <c r="A520" s="23" t="n">
        <v>7.72886443221611</v>
      </c>
      <c r="B520" s="18" t="n">
        <v>11.3311922867388</v>
      </c>
      <c r="C520" s="23" t="n">
        <v>0.12502988989263</v>
      </c>
      <c r="D520" s="23" t="n">
        <v>12.3266297404902</v>
      </c>
      <c r="E520" s="13" t="str">
        <f aca="false">IF(B520&lt;5,"Acidic",IF(B520&lt;9,"Near-neutral","Alkaline"))</f>
        <v>Alkaline</v>
      </c>
    </row>
    <row r="521" customFormat="false" ht="15" hidden="false" customHeight="false" outlineLevel="0" collapsed="false">
      <c r="A521" s="23" t="n">
        <v>7.74387193596798</v>
      </c>
      <c r="B521" s="18" t="n">
        <v>11.3330624462908</v>
      </c>
      <c r="C521" s="23" t="n">
        <v>0.124199473513386</v>
      </c>
      <c r="D521" s="23" t="n">
        <v>12.3266297404902</v>
      </c>
      <c r="E521" s="13" t="str">
        <f aca="false">IF(B521&lt;5,"Acidic",IF(B521&lt;9,"Near-neutral","Alkaline"))</f>
        <v>Alkaline</v>
      </c>
    </row>
    <row r="522" customFormat="false" ht="15" hidden="false" customHeight="false" outlineLevel="0" collapsed="false">
      <c r="A522" s="23" t="n">
        <v>7.75887943971986</v>
      </c>
      <c r="B522" s="18" t="n">
        <v>11.3349201878013</v>
      </c>
      <c r="C522" s="23" t="n">
        <v>0.123379109471784</v>
      </c>
      <c r="D522" s="23" t="n">
        <v>12.3266297404902</v>
      </c>
      <c r="E522" s="13" t="str">
        <f aca="false">IF(B522&lt;5,"Acidic",IF(B522&lt;9,"Near-neutral","Alkaline"))</f>
        <v>Alkaline</v>
      </c>
    </row>
    <row r="523" customFormat="false" ht="15" hidden="false" customHeight="false" outlineLevel="0" collapsed="false">
      <c r="A523" s="23" t="n">
        <v>7.77388694347174</v>
      </c>
      <c r="B523" s="18" t="n">
        <v>11.3367656847736</v>
      </c>
      <c r="C523" s="23" t="n">
        <v>0.122567776706205</v>
      </c>
      <c r="D523" s="23" t="n">
        <v>12.3266297404902</v>
      </c>
      <c r="E523" s="13" t="str">
        <f aca="false">IF(B523&lt;5,"Acidic",IF(B523&lt;9,"Near-neutral","Alkaline"))</f>
        <v>Alkaline</v>
      </c>
    </row>
    <row r="524" customFormat="false" ht="15" hidden="false" customHeight="false" outlineLevel="0" collapsed="false">
      <c r="A524" s="23" t="n">
        <v>7.78889444722361</v>
      </c>
      <c r="B524" s="18" t="n">
        <v>11.338599075159</v>
      </c>
      <c r="C524" s="23" t="n">
        <v>0.121764425753895</v>
      </c>
      <c r="D524" s="23" t="n">
        <v>12.3266297404902</v>
      </c>
      <c r="E524" s="13" t="str">
        <f aca="false">IF(B524&lt;5,"Acidic",IF(B524&lt;9,"Near-neutral","Alkaline"))</f>
        <v>Alkaline</v>
      </c>
    </row>
    <row r="525" customFormat="false" ht="15" hidden="false" customHeight="false" outlineLevel="0" collapsed="false">
      <c r="A525" s="23" t="n">
        <v>7.80390195097549</v>
      </c>
      <c r="B525" s="18" t="n">
        <v>11.3404204811191</v>
      </c>
      <c r="C525" s="23" t="n">
        <v>0.120970732941601</v>
      </c>
      <c r="D525" s="23" t="n">
        <v>12.3266297404902</v>
      </c>
      <c r="E525" s="13" t="str">
        <f aca="false">IF(B525&lt;5,"Acidic",IF(B525&lt;9,"Near-neutral","Alkaline"))</f>
        <v>Alkaline</v>
      </c>
    </row>
    <row r="526" customFormat="false" ht="15" hidden="false" customHeight="false" outlineLevel="0" collapsed="false">
      <c r="A526" s="23" t="n">
        <v>7.81890945472736</v>
      </c>
      <c r="B526" s="18" t="n">
        <v>11.3422300500198</v>
      </c>
      <c r="C526" s="23" t="n">
        <v>0.120185638254498</v>
      </c>
      <c r="D526" s="23" t="n">
        <v>12.3266297404902</v>
      </c>
      <c r="E526" s="13" t="str">
        <f aca="false">IF(B526&lt;5,"Acidic",IF(B526&lt;9,"Near-neutral","Alkaline"))</f>
        <v>Alkaline</v>
      </c>
    </row>
    <row r="527" customFormat="false" ht="15" hidden="false" customHeight="false" outlineLevel="0" collapsed="false">
      <c r="A527" s="23" t="n">
        <v>7.83391695847924</v>
      </c>
      <c r="B527" s="18" t="n">
        <v>11.3440278924834</v>
      </c>
      <c r="C527" s="23" t="n">
        <v>0.119409441891435</v>
      </c>
      <c r="D527" s="23" t="n">
        <v>12.3266297404902</v>
      </c>
      <c r="E527" s="13" t="str">
        <f aca="false">IF(B527&lt;5,"Acidic",IF(B527&lt;9,"Near-neutral","Alkaline"))</f>
        <v>Alkaline</v>
      </c>
    </row>
    <row r="528" customFormat="false" ht="15" hidden="false" customHeight="false" outlineLevel="0" collapsed="false">
      <c r="A528" s="23" t="n">
        <v>7.84892446223112</v>
      </c>
      <c r="B528" s="18" t="n">
        <v>11.3458141650582</v>
      </c>
      <c r="C528" s="23" t="n">
        <v>0.118642444447346</v>
      </c>
      <c r="D528" s="23" t="n">
        <v>12.3266297404902</v>
      </c>
      <c r="E528" s="13" t="str">
        <f aca="false">IF(B528&lt;5,"Acidic",IF(B528&lt;9,"Near-neutral","Alkaline"))</f>
        <v>Alkaline</v>
      </c>
    </row>
    <row r="529" customFormat="false" ht="15" hidden="false" customHeight="false" outlineLevel="0" collapsed="false">
      <c r="A529" s="23" t="n">
        <v>7.86393196598299</v>
      </c>
      <c r="B529" s="18" t="n">
        <v>11.3475889662509</v>
      </c>
      <c r="C529" s="23" t="n">
        <v>0.117882147110436</v>
      </c>
      <c r="D529" s="23" t="n">
        <v>12.3266297404902</v>
      </c>
      <c r="E529" s="13" t="str">
        <f aca="false">IF(B529&lt;5,"Acidic",IF(B529&lt;9,"Near-neutral","Alkaline"))</f>
        <v>Alkaline</v>
      </c>
    </row>
    <row r="530" customFormat="false" ht="15" hidden="false" customHeight="false" outlineLevel="0" collapsed="false">
      <c r="A530" s="23" t="n">
        <v>7.87893946973487</v>
      </c>
      <c r="B530" s="18" t="n">
        <v>11.3493524405062</v>
      </c>
      <c r="C530" s="23" t="n">
        <v>0.117131616768916</v>
      </c>
      <c r="D530" s="23" t="n">
        <v>12.3266297404902</v>
      </c>
      <c r="E530" s="13" t="str">
        <f aca="false">IF(B530&lt;5,"Acidic",IF(B530&lt;9,"Near-neutral","Alkaline"))</f>
        <v>Alkaline</v>
      </c>
    </row>
    <row r="531" customFormat="false" ht="15" hidden="false" customHeight="false" outlineLevel="0" collapsed="false">
      <c r="A531" s="23" t="n">
        <v>7.89394697348674</v>
      </c>
      <c r="B531" s="18" t="n">
        <v>11.3511046945203</v>
      </c>
      <c r="C531" s="23" t="n">
        <v>0.11638833258769</v>
      </c>
      <c r="D531" s="23" t="n">
        <v>12.3266297404902</v>
      </c>
      <c r="E531" s="13" t="str">
        <f aca="false">IF(B531&lt;5,"Acidic",IF(B531&lt;9,"Near-neutral","Alkaline"))</f>
        <v>Alkaline</v>
      </c>
    </row>
    <row r="532" customFormat="false" ht="15" hidden="false" customHeight="false" outlineLevel="0" collapsed="false">
      <c r="A532" s="23" t="n">
        <v>7.90895447723862</v>
      </c>
      <c r="B532" s="18" t="n">
        <v>11.3528458600579</v>
      </c>
      <c r="C532" s="23" t="n">
        <v>0.115652551119183</v>
      </c>
      <c r="D532" s="23" t="n">
        <v>12.3266297404902</v>
      </c>
      <c r="E532" s="13" t="str">
        <f aca="false">IF(B532&lt;5,"Acidic",IF(B532&lt;9,"Near-neutral","Alkaline"))</f>
        <v>Alkaline</v>
      </c>
    </row>
    <row r="533" customFormat="false" ht="15" hidden="false" customHeight="false" outlineLevel="0" collapsed="false">
      <c r="A533" s="23" t="n">
        <v>7.9239619809905</v>
      </c>
      <c r="B533" s="18" t="n">
        <v>11.3545760517707</v>
      </c>
      <c r="C533" s="23" t="n">
        <v>0.114925951798682</v>
      </c>
      <c r="D533" s="23" t="n">
        <v>12.3266297404902</v>
      </c>
      <c r="E533" s="13" t="str">
        <f aca="false">IF(B533&lt;5,"Acidic",IF(B533&lt;9,"Near-neutral","Alkaline"))</f>
        <v>Alkaline</v>
      </c>
    </row>
    <row r="534" customFormat="false" ht="15" hidden="false" customHeight="false" outlineLevel="0" collapsed="false">
      <c r="A534" s="23" t="n">
        <v>7.93896948474237</v>
      </c>
      <c r="B534" s="18" t="n">
        <v>11.3562953881682</v>
      </c>
      <c r="C534" s="23" t="n">
        <v>0.114207386260887</v>
      </c>
      <c r="D534" s="23" t="n">
        <v>12.3266297404902</v>
      </c>
      <c r="E534" s="13" t="str">
        <f aca="false">IF(B534&lt;5,"Acidic",IF(B534&lt;9,"Near-neutral","Alkaline"))</f>
        <v>Alkaline</v>
      </c>
    </row>
    <row r="535" customFormat="false" ht="15" hidden="false" customHeight="false" outlineLevel="0" collapsed="false">
      <c r="A535" s="23" t="n">
        <v>7.95397698849425</v>
      </c>
      <c r="B535" s="18" t="n">
        <v>11.3580039916222</v>
      </c>
      <c r="C535" s="23" t="n">
        <v>0.113494244489971</v>
      </c>
      <c r="D535" s="23" t="n">
        <v>12.3266297404902</v>
      </c>
      <c r="E535" s="13" t="str">
        <f aca="false">IF(B535&lt;5,"Acidic",IF(B535&lt;9,"Near-neutral","Alkaline"))</f>
        <v>Alkaline</v>
      </c>
    </row>
    <row r="536" customFormat="false" ht="15" hidden="false" customHeight="false" outlineLevel="0" collapsed="false">
      <c r="A536" s="23" t="n">
        <v>7.96898449224612</v>
      </c>
      <c r="B536" s="18" t="n">
        <v>11.3597019452533</v>
      </c>
      <c r="C536" s="23" t="n">
        <v>0.112789618069996</v>
      </c>
      <c r="D536" s="23" t="n">
        <v>12.3266297404902</v>
      </c>
      <c r="E536" s="13" t="str">
        <f aca="false">IF(B536&lt;5,"Acidic",IF(B536&lt;9,"Near-neutral","Alkaline"))</f>
        <v>Alkaline</v>
      </c>
    </row>
    <row r="537" customFormat="false" ht="15" hidden="false" customHeight="false" outlineLevel="0" collapsed="false">
      <c r="A537" s="23" t="n">
        <v>7.983991995998</v>
      </c>
      <c r="B537" s="18" t="n">
        <v>11.3613894003083</v>
      </c>
      <c r="C537" s="23" t="n">
        <v>0.112093765041891</v>
      </c>
      <c r="D537" s="23" t="n">
        <v>12.3266297404902</v>
      </c>
      <c r="E537" s="13" t="str">
        <f aca="false">IF(B537&lt;5,"Acidic",IF(B537&lt;9,"Near-neutral","Alkaline"))</f>
        <v>Alkaline</v>
      </c>
    </row>
    <row r="538" customFormat="false" ht="15" hidden="false" customHeight="false" outlineLevel="0" collapsed="false">
      <c r="A538" s="23" t="n">
        <v>7.99899949974988</v>
      </c>
      <c r="B538" s="18" t="n">
        <v>11.3630664687905</v>
      </c>
      <c r="C538" s="23" t="n">
        <v>0.111402592095033</v>
      </c>
      <c r="D538" s="23" t="n">
        <v>12.3266297404902</v>
      </c>
      <c r="E538" s="13" t="str">
        <f aca="false">IF(B538&lt;5,"Acidic",IF(B538&lt;9,"Near-neutral","Alkaline"))</f>
        <v>Alkaline</v>
      </c>
    </row>
    <row r="539" customFormat="false" ht="15" hidden="false" customHeight="false" outlineLevel="0" collapsed="false">
      <c r="A539" s="23" t="n">
        <v>8.01400700350175</v>
      </c>
      <c r="B539" s="18" t="n">
        <v>11.3647332226235</v>
      </c>
      <c r="C539" s="23" t="n">
        <v>0.110722115025851</v>
      </c>
      <c r="D539" s="23" t="n">
        <v>12.3266297404902</v>
      </c>
      <c r="E539" s="13" t="str">
        <f aca="false">IF(B539&lt;5,"Acidic",IF(B539&lt;9,"Near-neutral","Alkaline"))</f>
        <v>Alkaline</v>
      </c>
    </row>
    <row r="540" customFormat="false" ht="15" hidden="false" customHeight="false" outlineLevel="0" collapsed="false">
      <c r="A540" s="23" t="n">
        <v>8.02901450725363</v>
      </c>
      <c r="B540" s="18" t="n">
        <v>11.366389780395</v>
      </c>
      <c r="C540" s="23" t="n">
        <v>0.11004530656885</v>
      </c>
      <c r="D540" s="23" t="n">
        <v>12.3266297404902</v>
      </c>
      <c r="E540" s="13" t="str">
        <f aca="false">IF(B540&lt;5,"Acidic",IF(B540&lt;9,"Near-neutral","Alkaline"))</f>
        <v>Alkaline</v>
      </c>
    </row>
    <row r="541" customFormat="false" ht="15" hidden="false" customHeight="false" outlineLevel="0" collapsed="false">
      <c r="A541" s="23" t="n">
        <v>8.0440220110055</v>
      </c>
      <c r="B541" s="18" t="n">
        <v>11.3680362642414</v>
      </c>
      <c r="C541" s="23" t="n">
        <v>0.109376738110768</v>
      </c>
      <c r="D541" s="23" t="n">
        <v>12.3266297404902</v>
      </c>
      <c r="E541" s="13" t="str">
        <f aca="false">IF(B541&lt;5,"Acidic",IF(B541&lt;9,"Near-neutral","Alkaline"))</f>
        <v>Alkaline</v>
      </c>
    </row>
    <row r="542" customFormat="false" ht="15" hidden="false" customHeight="false" outlineLevel="0" collapsed="false">
      <c r="A542" s="23" t="n">
        <v>8.05902951475738</v>
      </c>
      <c r="B542" s="18" t="n">
        <v>11.3696727557306</v>
      </c>
      <c r="C542" s="23" t="n">
        <v>0.108715173707196</v>
      </c>
      <c r="D542" s="23" t="n">
        <v>12.3266297404902</v>
      </c>
      <c r="E542" s="13" t="str">
        <f aca="false">IF(B542&lt;5,"Acidic",IF(B542&lt;9,"Near-neutral","Alkaline"))</f>
        <v>Alkaline</v>
      </c>
    </row>
    <row r="543" customFormat="false" ht="15" hidden="false" customHeight="false" outlineLevel="0" collapsed="false">
      <c r="A543" s="23" t="n">
        <v>8.07403701850926</v>
      </c>
      <c r="B543" s="18" t="n">
        <v>11.3712993836052</v>
      </c>
      <c r="C543" s="23" t="n">
        <v>0.108060828111434</v>
      </c>
      <c r="D543" s="23" t="n">
        <v>12.3266297404902</v>
      </c>
      <c r="E543" s="13" t="str">
        <f aca="false">IF(B543&lt;5,"Acidic",IF(B543&lt;9,"Near-neutral","Alkaline"))</f>
        <v>Alkaline</v>
      </c>
    </row>
    <row r="544" customFormat="false" ht="15" hidden="false" customHeight="false" outlineLevel="0" collapsed="false">
      <c r="A544" s="23" t="n">
        <v>8.08904452226113</v>
      </c>
      <c r="B544" s="18" t="n">
        <v>11.3729162134879</v>
      </c>
      <c r="C544" s="23" t="n">
        <v>0.107412432569277</v>
      </c>
      <c r="D544" s="23" t="n">
        <v>12.3266297404902</v>
      </c>
      <c r="E544" s="13" t="str">
        <f aca="false">IF(B544&lt;5,"Acidic",IF(B544&lt;9,"Near-neutral","Alkaline"))</f>
        <v>Alkaline</v>
      </c>
    </row>
    <row r="545" customFormat="false" ht="15" hidden="false" customHeight="false" outlineLevel="0" collapsed="false">
      <c r="A545" s="23" t="n">
        <v>8.10405202601301</v>
      </c>
      <c r="B545" s="18" t="n">
        <v>11.37452338049</v>
      </c>
      <c r="C545" s="23" t="n">
        <v>0.106770180185436</v>
      </c>
      <c r="D545" s="23" t="n">
        <v>12.3266297404902</v>
      </c>
      <c r="E545" s="13" t="str">
        <f aca="false">IF(B545&lt;5,"Acidic",IF(B545&lt;9,"Near-neutral","Alkaline"))</f>
        <v>Alkaline</v>
      </c>
    </row>
    <row r="546" customFormat="false" ht="15" hidden="false" customHeight="false" outlineLevel="0" collapsed="false">
      <c r="A546" s="23" t="n">
        <v>8.11905952976488</v>
      </c>
      <c r="B546" s="18" t="n">
        <v>11.3761209561129</v>
      </c>
      <c r="C546" s="23" t="n">
        <v>0.1061342642829</v>
      </c>
      <c r="D546" s="23" t="n">
        <v>12.3266297404902</v>
      </c>
      <c r="E546" s="13" t="str">
        <f aca="false">IF(B546&lt;5,"Acidic",IF(B546&lt;9,"Near-neutral","Alkaline"))</f>
        <v>Alkaline</v>
      </c>
    </row>
    <row r="547" customFormat="false" ht="15" hidden="false" customHeight="false" outlineLevel="0" collapsed="false">
      <c r="A547" s="23" t="n">
        <v>8.13406703351676</v>
      </c>
      <c r="B547" s="18" t="n">
        <v>11.3777090593744</v>
      </c>
      <c r="C547" s="23" t="n">
        <v>0.105506378454152</v>
      </c>
      <c r="D547" s="23" t="n">
        <v>12.3266297404902</v>
      </c>
      <c r="E547" s="13" t="str">
        <f aca="false">IF(B547&lt;5,"Acidic",IF(B547&lt;9,"Near-neutral","Alkaline"))</f>
        <v>Alkaline</v>
      </c>
    </row>
    <row r="548" customFormat="false" ht="15" hidden="false" customHeight="false" outlineLevel="0" collapsed="false">
      <c r="A548" s="23" t="n">
        <v>8.14907453726863</v>
      </c>
      <c r="B548" s="18" t="n">
        <v>11.3792877448648</v>
      </c>
      <c r="C548" s="23" t="n">
        <v>0.104883727082893</v>
      </c>
      <c r="D548" s="23" t="n">
        <v>12.3266297404902</v>
      </c>
      <c r="E548" s="13" t="str">
        <f aca="false">IF(B548&lt;5,"Acidic",IF(B548&lt;9,"Near-neutral","Alkaline"))</f>
        <v>Alkaline</v>
      </c>
    </row>
    <row r="549" customFormat="false" ht="15" hidden="false" customHeight="false" outlineLevel="0" collapsed="false">
      <c r="A549" s="23" t="n">
        <v>8.16408204102051</v>
      </c>
      <c r="B549" s="18" t="n">
        <v>11.3808571599676</v>
      </c>
      <c r="C549" s="23" t="n">
        <v>0.10426799310369</v>
      </c>
      <c r="D549" s="23" t="n">
        <v>12.3266297404902</v>
      </c>
      <c r="E549" s="13" t="str">
        <f aca="false">IF(B549&lt;5,"Acidic",IF(B549&lt;9,"Near-neutral","Alkaline"))</f>
        <v>Alkaline</v>
      </c>
    </row>
    <row r="550" customFormat="false" ht="15" hidden="false" customHeight="false" outlineLevel="0" collapsed="false">
      <c r="A550" s="23" t="n">
        <v>8.17908954477239</v>
      </c>
      <c r="B550" s="18" t="n">
        <v>11.3824173647621</v>
      </c>
      <c r="C550" s="23" t="n">
        <v>0.103656337612733</v>
      </c>
      <c r="D550" s="23" t="n">
        <v>12.3266297404902</v>
      </c>
      <c r="E550" s="13" t="str">
        <f aca="false">IF(B550&lt;5,"Acidic",IF(B550&lt;9,"Near-neutral","Alkaline"))</f>
        <v>Alkaline</v>
      </c>
    </row>
    <row r="551" customFormat="false" ht="15" hidden="false" customHeight="false" outlineLevel="0" collapsed="false">
      <c r="A551" s="23" t="n">
        <v>8.19409704852426</v>
      </c>
      <c r="B551" s="18" t="n">
        <v>11.383968421586</v>
      </c>
      <c r="C551" s="23" t="n">
        <v>0.103051954860234</v>
      </c>
      <c r="D551" s="23" t="n">
        <v>12.3266297404902</v>
      </c>
      <c r="E551" s="13" t="str">
        <f aca="false">IF(B551&lt;5,"Acidic",IF(B551&lt;9,"Near-neutral","Alkaline"))</f>
        <v>Alkaline</v>
      </c>
    </row>
    <row r="552" customFormat="false" ht="15" hidden="false" customHeight="false" outlineLevel="0" collapsed="false">
      <c r="A552" s="23" t="n">
        <v>8.20910455227614</v>
      </c>
      <c r="B552" s="18" t="n">
        <v>11.385510486556</v>
      </c>
      <c r="C552" s="23" t="n">
        <v>0.10245351176502</v>
      </c>
      <c r="D552" s="23" t="n">
        <v>12.3266297404902</v>
      </c>
      <c r="E552" s="13" t="str">
        <f aca="false">IF(B552&lt;5,"Acidic",IF(B552&lt;9,"Near-neutral","Alkaline"))</f>
        <v>Alkaline</v>
      </c>
    </row>
    <row r="553" customFormat="false" ht="15" hidden="false" customHeight="false" outlineLevel="0" collapsed="false">
      <c r="A553" s="23" t="n">
        <v>8.22411205602801</v>
      </c>
      <c r="B553" s="18" t="n">
        <v>11.3870436045512</v>
      </c>
      <c r="C553" s="23" t="n">
        <v>0.101861180906894</v>
      </c>
      <c r="D553" s="23" t="n">
        <v>12.3266297404902</v>
      </c>
      <c r="E553" s="13" t="str">
        <f aca="false">IF(B553&lt;5,"Acidic",IF(B553&lt;9,"Near-neutral","Alkaline"))</f>
        <v>Alkaline</v>
      </c>
    </row>
    <row r="554" customFormat="false" ht="15" hidden="false" customHeight="false" outlineLevel="0" collapsed="false">
      <c r="A554" s="23" t="n">
        <v>8.23911955977989</v>
      </c>
      <c r="B554" s="18" t="n">
        <v>11.3885678684753</v>
      </c>
      <c r="C554" s="23" t="n">
        <v>0.10127513496559</v>
      </c>
      <c r="D554" s="23" t="n">
        <v>12.3266297404902</v>
      </c>
      <c r="E554" s="13" t="str">
        <f aca="false">IF(B554&lt;5,"Acidic",IF(B554&lt;9,"Near-neutral","Alkaline"))</f>
        <v>Alkaline</v>
      </c>
    </row>
    <row r="555" customFormat="false" ht="15" hidden="false" customHeight="false" outlineLevel="0" collapsed="false">
      <c r="A555" s="23" t="n">
        <v>8.25412706353177</v>
      </c>
      <c r="B555" s="18" t="n">
        <v>11.3900833738243</v>
      </c>
      <c r="C555" s="23" t="n">
        <v>0.100692460071514</v>
      </c>
      <c r="D555" s="23" t="n">
        <v>12.3266297404902</v>
      </c>
      <c r="E555" s="13" t="str">
        <f aca="false">IF(B555&lt;5,"Acidic",IF(B555&lt;9,"Near-neutral","Alkaline"))</f>
        <v>Alkaline</v>
      </c>
    </row>
    <row r="556" customFormat="false" ht="15" hidden="false" customHeight="false" outlineLevel="0" collapsed="false">
      <c r="A556" s="23" t="n">
        <v>8.26913456728364</v>
      </c>
      <c r="B556" s="18" t="n">
        <v>11.3915901954868</v>
      </c>
      <c r="C556" s="23" t="n">
        <v>0.100116383565819</v>
      </c>
      <c r="D556" s="23" t="n">
        <v>12.3266297404902</v>
      </c>
      <c r="E556" s="13" t="str">
        <f aca="false">IF(B556&lt;5,"Acidic",IF(B556&lt;9,"Near-neutral","Alkaline"))</f>
        <v>Alkaline</v>
      </c>
    </row>
    <row r="557" customFormat="false" ht="15" hidden="false" customHeight="false" outlineLevel="0" collapsed="false">
      <c r="A557" s="23" t="n">
        <v>8.28414207103552</v>
      </c>
      <c r="B557" s="18" t="n">
        <v>11.3930884106246</v>
      </c>
      <c r="C557" s="23" t="n">
        <v>0.0995486324239892</v>
      </c>
      <c r="D557" s="23" t="n">
        <v>12.3266297404902</v>
      </c>
      <c r="E557" s="13" t="str">
        <f aca="false">IF(B557&lt;5,"Acidic",IF(B557&lt;9,"Near-neutral","Alkaline"))</f>
        <v>Alkaline</v>
      </c>
    </row>
    <row r="558" customFormat="false" ht="15" hidden="false" customHeight="false" outlineLevel="0" collapsed="false">
      <c r="A558" s="23" t="n">
        <v>8.29914957478739</v>
      </c>
      <c r="B558" s="18" t="n">
        <v>11.3945781453983</v>
      </c>
      <c r="C558" s="23" t="n">
        <v>0.0989831636343297</v>
      </c>
      <c r="D558" s="23" t="n">
        <v>12.3266297404902</v>
      </c>
      <c r="E558" s="13" t="str">
        <f aca="false">IF(B558&lt;5,"Acidic",IF(B558&lt;9,"Near-neutral","Alkaline"))</f>
        <v>Alkaline</v>
      </c>
    </row>
    <row r="559" customFormat="false" ht="15" hidden="false" customHeight="false" outlineLevel="0" collapsed="false">
      <c r="A559" s="23" t="n">
        <v>8.31415707853927</v>
      </c>
      <c r="B559" s="18" t="n">
        <v>11.3960594116771</v>
      </c>
      <c r="C559" s="23" t="n">
        <v>0.0984232156043845</v>
      </c>
      <c r="D559" s="23" t="n">
        <v>12.3266297404902</v>
      </c>
      <c r="E559" s="13" t="str">
        <f aca="false">IF(B559&lt;5,"Acidic",IF(B559&lt;9,"Near-neutral","Alkaline"))</f>
        <v>Alkaline</v>
      </c>
    </row>
    <row r="560" customFormat="false" ht="15" hidden="false" customHeight="false" outlineLevel="0" collapsed="false">
      <c r="A560" s="23" t="n">
        <v>8.32916458229115</v>
      </c>
      <c r="B560" s="18" t="n">
        <v>11.3975323402561</v>
      </c>
      <c r="C560" s="23" t="n">
        <v>0.0978689401936208</v>
      </c>
      <c r="D560" s="23" t="n">
        <v>12.3266297404902</v>
      </c>
      <c r="E560" s="13" t="str">
        <f aca="false">IF(B560&lt;5,"Acidic",IF(B560&lt;9,"Near-neutral","Alkaline"))</f>
        <v>Alkaline</v>
      </c>
    </row>
    <row r="561" customFormat="false" ht="15" hidden="false" customHeight="false" outlineLevel="0" collapsed="false">
      <c r="A561" s="23" t="n">
        <v>8.34417208604302</v>
      </c>
      <c r="B561" s="18" t="n">
        <v>11.3989969940451</v>
      </c>
      <c r="C561" s="23" t="n">
        <v>0.0973204893164166</v>
      </c>
      <c r="D561" s="23" t="n">
        <v>12.3266297404902</v>
      </c>
      <c r="E561" s="13" t="str">
        <f aca="false">IF(B561&lt;5,"Acidic",IF(B561&lt;9,"Near-neutral","Alkaline"))</f>
        <v>Alkaline</v>
      </c>
    </row>
    <row r="562" customFormat="false" ht="15" hidden="false" customHeight="false" outlineLevel="0" collapsed="false">
      <c r="A562" s="23" t="n">
        <v>8.3591795897949</v>
      </c>
      <c r="B562" s="18" t="n">
        <v>11.400453437916</v>
      </c>
      <c r="C562" s="23" t="n">
        <v>0.0967764344210309</v>
      </c>
      <c r="D562" s="23" t="n">
        <v>12.3266297404902</v>
      </c>
      <c r="E562" s="13" t="str">
        <f aca="false">IF(B562&lt;5,"Acidic",IF(B562&lt;9,"Near-neutral","Alkaline"))</f>
        <v>Alkaline</v>
      </c>
    </row>
    <row r="563" customFormat="false" ht="15" hidden="false" customHeight="false" outlineLevel="0" collapsed="false">
      <c r="A563" s="23" t="n">
        <v>8.37418709354677</v>
      </c>
      <c r="B563" s="18" t="n">
        <v>11.4019017624636</v>
      </c>
      <c r="C563" s="23" t="n">
        <v>0.0962400779419568</v>
      </c>
      <c r="D563" s="23" t="n">
        <v>12.3266297404902</v>
      </c>
      <c r="E563" s="13" t="str">
        <f aca="false">IF(B563&lt;5,"Acidic",IF(B563&lt;9,"Near-neutral","Alkaline"))</f>
        <v>Alkaline</v>
      </c>
    </row>
    <row r="564" customFormat="false" ht="15" hidden="false" customHeight="false" outlineLevel="0" collapsed="false">
      <c r="A564" s="23" t="n">
        <v>8.38919459729865</v>
      </c>
      <c r="B564" s="18" t="n">
        <v>11.4033420605642</v>
      </c>
      <c r="C564" s="23" t="n">
        <v>0.0957036378258636</v>
      </c>
      <c r="D564" s="23" t="n">
        <v>12.3266297404902</v>
      </c>
      <c r="E564" s="13" t="str">
        <f aca="false">IF(B564&lt;5,"Acidic",IF(B564&lt;9,"Near-neutral","Alkaline"))</f>
        <v>Alkaline</v>
      </c>
    </row>
    <row r="565" customFormat="false" ht="15" hidden="false" customHeight="false" outlineLevel="0" collapsed="false">
      <c r="A565" s="23" t="n">
        <v>8.40420210105053</v>
      </c>
      <c r="B565" s="18" t="n">
        <v>11.404774355626</v>
      </c>
      <c r="C565" s="23" t="n">
        <v>0.0951767597048274</v>
      </c>
      <c r="D565" s="23" t="n">
        <v>12.3266297404902</v>
      </c>
      <c r="E565" s="13" t="str">
        <f aca="false">IF(B565&lt;5,"Acidic",IF(B565&lt;9,"Near-neutral","Alkaline"))</f>
        <v>Alkaline</v>
      </c>
    </row>
    <row r="566" customFormat="false" ht="15" hidden="false" customHeight="false" outlineLevel="0" collapsed="false">
      <c r="A566" s="23" t="n">
        <v>8.4192096048024</v>
      </c>
      <c r="B566" s="18" t="n">
        <v>11.4061987923709</v>
      </c>
      <c r="C566" s="23" t="n">
        <v>0.0946532316282855</v>
      </c>
      <c r="D566" s="23" t="n">
        <v>12.3266297404902</v>
      </c>
      <c r="E566" s="13" t="str">
        <f aca="false">IF(B566&lt;5,"Acidic",IF(B566&lt;9,"Near-neutral","Alkaline"))</f>
        <v>Alkaline</v>
      </c>
    </row>
    <row r="567" customFormat="false" ht="15" hidden="false" customHeight="false" outlineLevel="0" collapsed="false">
      <c r="A567" s="23" t="n">
        <v>8.43421710855428</v>
      </c>
      <c r="B567" s="18" t="n">
        <v>11.4076153980635</v>
      </c>
      <c r="C567" s="23" t="n">
        <v>0.0941331638215388</v>
      </c>
      <c r="D567" s="23" t="n">
        <v>12.3266297404902</v>
      </c>
      <c r="E567" s="13" t="str">
        <f aca="false">IF(B567&lt;5,"Acidic",IF(B567&lt;9,"Near-neutral","Alkaline"))</f>
        <v>Alkaline</v>
      </c>
    </row>
    <row r="568" customFormat="false" ht="15" hidden="false" customHeight="false" outlineLevel="0" collapsed="false">
      <c r="A568" s="23" t="n">
        <v>8.44922461230615</v>
      </c>
      <c r="B568" s="18" t="n">
        <v>11.4090242254618</v>
      </c>
      <c r="C568" s="23" t="n">
        <v>0.0936198904933008</v>
      </c>
      <c r="D568" s="23" t="n">
        <v>12.3266297404902</v>
      </c>
      <c r="E568" s="13" t="str">
        <f aca="false">IF(B568&lt;5,"Acidic",IF(B568&lt;9,"Near-neutral","Alkaline"))</f>
        <v>Alkaline</v>
      </c>
    </row>
    <row r="569" customFormat="false" ht="15" hidden="false" customHeight="false" outlineLevel="0" collapsed="false">
      <c r="A569" s="23" t="n">
        <v>8.46423211605803</v>
      </c>
      <c r="B569" s="18" t="n">
        <v>11.4104254016706</v>
      </c>
      <c r="C569" s="23" t="n">
        <v>0.0931103295002913</v>
      </c>
      <c r="D569" s="23" t="n">
        <v>12.3266297404902</v>
      </c>
      <c r="E569" s="13" t="str">
        <f aca="false">IF(B569&lt;5,"Acidic",IF(B569&lt;9,"Near-neutral","Alkaline"))</f>
        <v>Alkaline</v>
      </c>
    </row>
    <row r="570" customFormat="false" ht="15" hidden="false" customHeight="false" outlineLevel="0" collapsed="false">
      <c r="A570" s="23" t="n">
        <v>8.4792396198099</v>
      </c>
      <c r="B570" s="18" t="n">
        <v>11.4118189348504</v>
      </c>
      <c r="C570" s="23" t="n">
        <v>0.0926045913400913</v>
      </c>
      <c r="D570" s="23" t="n">
        <v>12.3266297404902</v>
      </c>
      <c r="E570" s="13" t="str">
        <f aca="false">IF(B570&lt;5,"Acidic",IF(B570&lt;9,"Near-neutral","Alkaline"))</f>
        <v>Alkaline</v>
      </c>
    </row>
    <row r="571" customFormat="false" ht="15" hidden="false" customHeight="false" outlineLevel="0" collapsed="false">
      <c r="A571" s="23" t="n">
        <v>8.49424712356178</v>
      </c>
      <c r="B571" s="18" t="n">
        <v>11.413204956125</v>
      </c>
      <c r="C571" s="23" t="n">
        <v>0.0921044140770846</v>
      </c>
      <c r="D571" s="23" t="n">
        <v>12.3266297404902</v>
      </c>
      <c r="E571" s="13" t="str">
        <f aca="false">IF(B571&lt;5,"Acidic",IF(B571&lt;9,"Near-neutral","Alkaline"))</f>
        <v>Alkaline</v>
      </c>
    </row>
    <row r="572" customFormat="false" ht="15" hidden="false" customHeight="false" outlineLevel="0" collapsed="false">
      <c r="A572" s="23" t="n">
        <v>8.50925462731366</v>
      </c>
      <c r="B572" s="18" t="n">
        <v>11.4145835013585</v>
      </c>
      <c r="C572" s="23" t="n">
        <v>0.091609929039123</v>
      </c>
      <c r="D572" s="23" t="n">
        <v>12.3266297404902</v>
      </c>
      <c r="E572" s="13" t="str">
        <f aca="false">IF(B572&lt;5,"Acidic",IF(B572&lt;9,"Near-neutral","Alkaline"))</f>
        <v>Alkaline</v>
      </c>
    </row>
    <row r="573" customFormat="false" ht="15" hidden="false" customHeight="false" outlineLevel="0" collapsed="false">
      <c r="A573" s="23" t="n">
        <v>8.52426213106553</v>
      </c>
      <c r="B573" s="18" t="n">
        <v>11.4159546323055</v>
      </c>
      <c r="C573" s="23" t="n">
        <v>0.0911179919662573</v>
      </c>
      <c r="D573" s="23" t="n">
        <v>12.3266297404902</v>
      </c>
      <c r="E573" s="13" t="str">
        <f aca="false">IF(B573&lt;5,"Acidic",IF(B573&lt;9,"Near-neutral","Alkaline"))</f>
        <v>Alkaline</v>
      </c>
    </row>
    <row r="574" customFormat="false" ht="15" hidden="false" customHeight="false" outlineLevel="0" collapsed="false">
      <c r="A574" s="23" t="n">
        <v>8.53926963481741</v>
      </c>
      <c r="B574" s="18" t="n">
        <v>11.4173184123821</v>
      </c>
      <c r="C574" s="23" t="n">
        <v>0.0906303358968899</v>
      </c>
      <c r="D574" s="23" t="n">
        <v>12.3266297404902</v>
      </c>
      <c r="E574" s="13" t="str">
        <f aca="false">IF(B574&lt;5,"Acidic",IF(B574&lt;9,"Near-neutral","Alkaline"))</f>
        <v>Alkaline</v>
      </c>
    </row>
    <row r="575" customFormat="false" ht="15" hidden="false" customHeight="false" outlineLevel="0" collapsed="false">
      <c r="A575" s="23" t="n">
        <v>8.55427713856929</v>
      </c>
      <c r="B575" s="18" t="n">
        <v>11.4186749313614</v>
      </c>
      <c r="C575" s="23" t="n">
        <v>0.090148719654394</v>
      </c>
      <c r="D575" s="23" t="n">
        <v>12.3266297404902</v>
      </c>
      <c r="E575" s="13" t="str">
        <f aca="false">IF(B575&lt;5,"Acidic",IF(B575&lt;9,"Near-neutral","Alkaline"))</f>
        <v>Alkaline</v>
      </c>
    </row>
    <row r="576" customFormat="false" ht="15" hidden="false" customHeight="false" outlineLevel="0" collapsed="false">
      <c r="A576" s="23" t="n">
        <v>8.56928464232116</v>
      </c>
      <c r="B576" s="18" t="n">
        <v>11.4200242314441</v>
      </c>
      <c r="C576" s="23" t="n">
        <v>0.0896699682120925</v>
      </c>
      <c r="D576" s="23" t="n">
        <v>12.3266297404902</v>
      </c>
      <c r="E576" s="13" t="str">
        <f aca="false">IF(B576&lt;5,"Acidic",IF(B576&lt;9,"Near-neutral","Alkaline"))</f>
        <v>Alkaline</v>
      </c>
    </row>
    <row r="577" customFormat="false" ht="15" hidden="false" customHeight="false" outlineLevel="0" collapsed="false">
      <c r="A577" s="23" t="n">
        <v>8.58429214607304</v>
      </c>
      <c r="B577" s="18" t="n">
        <v>11.4213663810343</v>
      </c>
      <c r="C577" s="23" t="n">
        <v>0.0891958301707518</v>
      </c>
      <c r="D577" s="23" t="n">
        <v>12.3266297404902</v>
      </c>
      <c r="E577" s="13" t="str">
        <f aca="false">IF(B577&lt;5,"Acidic",IF(B577&lt;9,"Near-neutral","Alkaline"))</f>
        <v>Alkaline</v>
      </c>
    </row>
    <row r="578" customFormat="false" ht="15" hidden="false" customHeight="false" outlineLevel="0" collapsed="false">
      <c r="A578" s="23" t="n">
        <v>8.59929964982491</v>
      </c>
      <c r="B578" s="18" t="n">
        <v>11.4227014501994</v>
      </c>
      <c r="C578" s="23" t="n">
        <v>0.0887247530142759</v>
      </c>
      <c r="D578" s="23" t="n">
        <v>12.3266297404902</v>
      </c>
      <c r="E578" s="13" t="str">
        <f aca="false">IF(B578&lt;5,"Acidic",IF(B578&lt;9,"Near-neutral","Alkaline"))</f>
        <v>Alkaline</v>
      </c>
    </row>
    <row r="579" customFormat="false" ht="15" hidden="false" customHeight="false" outlineLevel="0" collapsed="false">
      <c r="A579" s="23" t="n">
        <v>8.61430715357679</v>
      </c>
      <c r="B579" s="18" t="n">
        <v>11.4240295106699</v>
      </c>
      <c r="C579" s="23" t="n">
        <v>0.0882618325138083</v>
      </c>
      <c r="D579" s="23" t="n">
        <v>12.3266297404902</v>
      </c>
      <c r="E579" s="13" t="str">
        <f aca="false">IF(B579&lt;5,"Acidic",IF(B579&lt;9,"Near-neutral","Alkaline"))</f>
        <v>Alkaline</v>
      </c>
    </row>
    <row r="580" customFormat="false" ht="15" hidden="false" customHeight="false" outlineLevel="0" collapsed="false">
      <c r="A580" s="23" t="n">
        <v>8.62931465732867</v>
      </c>
      <c r="B580" s="18" t="n">
        <v>11.4253506107624</v>
      </c>
      <c r="C580" s="23" t="n">
        <v>0.0877971791085201</v>
      </c>
      <c r="D580" s="23" t="n">
        <v>12.3266297404902</v>
      </c>
      <c r="E580" s="13" t="str">
        <f aca="false">IF(B580&lt;5,"Acidic",IF(B580&lt;9,"Near-neutral","Alkaline"))</f>
        <v>Alkaline</v>
      </c>
    </row>
    <row r="581" customFormat="false" ht="15" hidden="false" customHeight="false" outlineLevel="0" collapsed="false">
      <c r="A581" s="23" t="n">
        <v>8.64432216108054</v>
      </c>
      <c r="B581" s="18" t="n">
        <v>11.426664800152</v>
      </c>
      <c r="C581" s="23" t="n">
        <v>0.0873408938756484</v>
      </c>
      <c r="D581" s="23" t="n">
        <v>12.3266297404902</v>
      </c>
      <c r="E581" s="13" t="str">
        <f aca="false">IF(B581&lt;5,"Acidic",IF(B581&lt;9,"Near-neutral","Alkaline"))</f>
        <v>Alkaline</v>
      </c>
    </row>
    <row r="582" customFormat="false" ht="15" hidden="false" customHeight="false" outlineLevel="0" collapsed="false">
      <c r="A582" s="23" t="n">
        <v>8.65932966483242</v>
      </c>
      <c r="B582" s="18" t="n">
        <v>11.4279721551017</v>
      </c>
      <c r="C582" s="23" t="n">
        <v>0.0868863936907474</v>
      </c>
      <c r="D582" s="23" t="n">
        <v>12.3266297404902</v>
      </c>
      <c r="E582" s="13" t="str">
        <f aca="false">IF(B582&lt;5,"Acidic",IF(B582&lt;9,"Near-neutral","Alkaline"))</f>
        <v>Alkaline</v>
      </c>
    </row>
    <row r="583" customFormat="false" ht="15" hidden="false" customHeight="false" outlineLevel="0" collapsed="false">
      <c r="A583" s="23" t="n">
        <v>8.67433716858429</v>
      </c>
      <c r="B583" s="18" t="n">
        <v>11.4292727282333</v>
      </c>
      <c r="C583" s="23" t="n">
        <v>0.0864371262493933</v>
      </c>
      <c r="D583" s="23" t="n">
        <v>12.3266297404902</v>
      </c>
      <c r="E583" s="13" t="str">
        <f aca="false">IF(B583&lt;5,"Acidic",IF(B583&lt;9,"Near-neutral","Alkaline"))</f>
        <v>Alkaline</v>
      </c>
    </row>
    <row r="584" customFormat="false" ht="15" hidden="false" customHeight="false" outlineLevel="0" collapsed="false">
      <c r="A584" s="23" t="n">
        <v>8.68934467233617</v>
      </c>
      <c r="B584" s="18" t="n">
        <v>11.4305665735285</v>
      </c>
      <c r="C584" s="23" t="n">
        <v>0.0859915086588217</v>
      </c>
      <c r="D584" s="23" t="n">
        <v>12.3266297404902</v>
      </c>
      <c r="E584" s="13" t="str">
        <f aca="false">IF(B584&lt;5,"Acidic",IF(B584&lt;9,"Near-neutral","Alkaline"))</f>
        <v>Alkaline</v>
      </c>
    </row>
    <row r="585" customFormat="false" ht="15" hidden="false" customHeight="false" outlineLevel="0" collapsed="false">
      <c r="A585" s="23" t="n">
        <v>8.70435217608804</v>
      </c>
      <c r="B585" s="18" t="n">
        <v>11.4318537463293</v>
      </c>
      <c r="C585" s="23" t="n">
        <v>0.0855496315491564</v>
      </c>
      <c r="D585" s="23" t="n">
        <v>12.3266297404902</v>
      </c>
      <c r="E585" s="13" t="str">
        <f aca="false">IF(B585&lt;5,"Acidic",IF(B585&lt;9,"Near-neutral","Alkaline"))</f>
        <v>Alkaline</v>
      </c>
    </row>
    <row r="586" customFormat="false" ht="15" hidden="false" customHeight="false" outlineLevel="0" collapsed="false">
      <c r="A586" s="23" t="n">
        <v>8.71935967983992</v>
      </c>
      <c r="B586" s="18" t="n">
        <v>11.4331343288692</v>
      </c>
      <c r="C586" s="23" t="n">
        <v>0.0851098818861829</v>
      </c>
      <c r="D586" s="23" t="n">
        <v>12.3266297404902</v>
      </c>
      <c r="E586" s="13" t="str">
        <f aca="false">IF(B586&lt;5,"Acidic",IF(B586&lt;9,"Near-neutral","Alkaline"))</f>
        <v>Alkaline</v>
      </c>
    </row>
    <row r="587" customFormat="false" ht="15" hidden="false" customHeight="false" outlineLevel="0" collapsed="false">
      <c r="A587" s="23" t="n">
        <v>8.7343671835918</v>
      </c>
      <c r="B587" s="18" t="n">
        <v>11.4344083538315</v>
      </c>
      <c r="C587" s="23" t="n">
        <v>0.0846757477000892</v>
      </c>
      <c r="D587" s="23" t="n">
        <v>12.3266297404902</v>
      </c>
      <c r="E587" s="13" t="str">
        <f aca="false">IF(B587&lt;5,"Acidic",IF(B587&lt;9,"Near-neutral","Alkaline"))</f>
        <v>Alkaline</v>
      </c>
    </row>
    <row r="588" customFormat="false" ht="15" hidden="false" customHeight="false" outlineLevel="0" collapsed="false">
      <c r="A588" s="23" t="n">
        <v>8.74937468734367</v>
      </c>
      <c r="B588" s="18" t="n">
        <v>11.4356759063208</v>
      </c>
      <c r="C588" s="23" t="n">
        <v>0.0842439123204031</v>
      </c>
      <c r="D588" s="23" t="n">
        <v>12.3266297404902</v>
      </c>
      <c r="E588" s="13" t="str">
        <f aca="false">IF(B588&lt;5,"Acidic",IF(B588&lt;9,"Near-neutral","Alkaline"))</f>
        <v>Alkaline</v>
      </c>
    </row>
    <row r="589" customFormat="false" ht="15" hidden="false" customHeight="false" outlineLevel="0" collapsed="false">
      <c r="A589" s="23" t="n">
        <v>8.76438219109555</v>
      </c>
      <c r="B589" s="18" t="n">
        <v>11.4369369958362</v>
      </c>
      <c r="C589" s="23" t="n">
        <v>0.0838178837497026</v>
      </c>
      <c r="D589" s="23" t="n">
        <v>12.3266297404902</v>
      </c>
      <c r="E589" s="13" t="str">
        <f aca="false">IF(B589&lt;5,"Acidic",IF(B589&lt;9,"Near-neutral","Alkaline"))</f>
        <v>Alkaline</v>
      </c>
    </row>
    <row r="590" customFormat="false" ht="15" hidden="false" customHeight="false" outlineLevel="0" collapsed="false">
      <c r="A590" s="23" t="n">
        <v>8.77938969484742</v>
      </c>
      <c r="B590" s="18" t="n">
        <v>11.4381916842992</v>
      </c>
      <c r="C590" s="23" t="n">
        <v>0.0833943253311418</v>
      </c>
      <c r="D590" s="23" t="n">
        <v>12.3266297404902</v>
      </c>
      <c r="E590" s="13" t="str">
        <f aca="false">IF(B590&lt;5,"Acidic",IF(B590&lt;9,"Near-neutral","Alkaline"))</f>
        <v>Alkaline</v>
      </c>
    </row>
    <row r="591" customFormat="false" ht="15" hidden="false" customHeight="false" outlineLevel="0" collapsed="false">
      <c r="A591" s="23" t="n">
        <v>8.7943971985993</v>
      </c>
      <c r="B591" s="18" t="n">
        <v>11.4394400608964</v>
      </c>
      <c r="C591" s="23" t="n">
        <v>0.0829733078455774</v>
      </c>
      <c r="D591" s="23" t="n">
        <v>12.3266297404902</v>
      </c>
      <c r="E591" s="13" t="str">
        <f aca="false">IF(B591&lt;5,"Acidic",IF(B591&lt;9,"Near-neutral","Alkaline"))</f>
        <v>Alkaline</v>
      </c>
    </row>
    <row r="592" customFormat="false" ht="15" hidden="false" customHeight="false" outlineLevel="0" collapsed="false">
      <c r="A592" s="23" t="n">
        <v>8.80940470235118</v>
      </c>
      <c r="B592" s="18" t="n">
        <v>11.4406821645153</v>
      </c>
      <c r="C592" s="23" t="n">
        <v>0.0825583690834719</v>
      </c>
      <c r="D592" s="23" t="n">
        <v>12.3266297404902</v>
      </c>
      <c r="E592" s="13" t="str">
        <f aca="false">IF(B592&lt;5,"Acidic",IF(B592&lt;9,"Near-neutral","Alkaline"))</f>
        <v>Alkaline</v>
      </c>
    </row>
    <row r="593" customFormat="false" ht="15" hidden="false" customHeight="false" outlineLevel="0" collapsed="false">
      <c r="A593" s="23" t="n">
        <v>8.82441220610305</v>
      </c>
      <c r="B593" s="18" t="n">
        <v>11.4419180351064</v>
      </c>
      <c r="C593" s="23" t="n">
        <v>0.0821426657668098</v>
      </c>
      <c r="D593" s="23" t="n">
        <v>12.3266297404902</v>
      </c>
      <c r="E593" s="13" t="str">
        <f aca="false">IF(B593&lt;5,"Acidic",IF(B593&lt;9,"Near-neutral","Alkaline"))</f>
        <v>Alkaline</v>
      </c>
    </row>
    <row r="594" customFormat="false" ht="15" hidden="false" customHeight="false" outlineLevel="0" collapsed="false">
      <c r="A594" s="23" t="n">
        <v>8.83941970985493</v>
      </c>
      <c r="B594" s="18" t="n">
        <v>11.4431477136832</v>
      </c>
      <c r="C594" s="23" t="n">
        <v>0.0817332026487065</v>
      </c>
      <c r="D594" s="23" t="n">
        <v>12.3266297404902</v>
      </c>
      <c r="E594" s="13" t="str">
        <f aca="false">IF(B594&lt;5,"Acidic",IF(B594&lt;9,"Near-neutral","Alkaline"))</f>
        <v>Alkaline</v>
      </c>
    </row>
    <row r="595" customFormat="false" ht="15" hidden="false" customHeight="false" outlineLevel="0" collapsed="false">
      <c r="A595" s="23" t="n">
        <v>8.85442721360681</v>
      </c>
      <c r="B595" s="18" t="n">
        <v>11.4443712685234</v>
      </c>
      <c r="C595" s="23" t="n">
        <v>0.0813283417420507</v>
      </c>
      <c r="D595" s="23" t="n">
        <v>12.3266297404902</v>
      </c>
      <c r="E595" s="13" t="str">
        <f aca="false">IF(B595&lt;5,"Acidic",IF(B595&lt;9,"Near-neutral","Alkaline"))</f>
        <v>Alkaline</v>
      </c>
    </row>
    <row r="596" customFormat="false" ht="15" hidden="false" customHeight="false" outlineLevel="0" collapsed="false">
      <c r="A596" s="23" t="n">
        <v>8.86943471735868</v>
      </c>
      <c r="B596" s="18" t="n">
        <v>11.4455887692633</v>
      </c>
      <c r="C596" s="23" t="n">
        <v>0.080924667280101</v>
      </c>
      <c r="D596" s="23" t="n">
        <v>12.3266297404902</v>
      </c>
      <c r="E596" s="13" t="str">
        <f aca="false">IF(B596&lt;5,"Acidic",IF(B596&lt;9,"Near-neutral","Alkaline"))</f>
        <v>Alkaline</v>
      </c>
    </row>
    <row r="597" customFormat="false" ht="15" hidden="false" customHeight="false" outlineLevel="0" collapsed="false">
      <c r="A597" s="23" t="n">
        <v>8.88444222111056</v>
      </c>
      <c r="B597" s="18" t="n">
        <v>11.4468002342037</v>
      </c>
      <c r="C597" s="23" t="n">
        <v>0.0805239885736455</v>
      </c>
      <c r="D597" s="23" t="n">
        <v>12.3266297404902</v>
      </c>
      <c r="E597" s="13" t="str">
        <f aca="false">IF(B597&lt;5,"Acidic",IF(B597&lt;9,"Near-neutral","Alkaline"))</f>
        <v>Alkaline</v>
      </c>
    </row>
    <row r="598" customFormat="false" ht="15" hidden="false" customHeight="false" outlineLevel="0" collapsed="false">
      <c r="A598" s="23" t="n">
        <v>8.89944972486243</v>
      </c>
      <c r="B598" s="18" t="n">
        <v>11.4480057352552</v>
      </c>
      <c r="C598" s="23" t="n">
        <v>0.0801281394243461</v>
      </c>
      <c r="D598" s="23" t="n">
        <v>12.3266297404902</v>
      </c>
      <c r="E598" s="13" t="str">
        <f aca="false">IF(B598&lt;5,"Acidic",IF(B598&lt;9,"Near-neutral","Alkaline"))</f>
        <v>Alkaline</v>
      </c>
    </row>
    <row r="599" customFormat="false" ht="15" hidden="false" customHeight="false" outlineLevel="0" collapsed="false">
      <c r="A599" s="23" t="n">
        <v>8.91445722861431</v>
      </c>
      <c r="B599" s="18" t="n">
        <v>11.4492052926998</v>
      </c>
      <c r="C599" s="23" t="n">
        <v>0.0797336747335748</v>
      </c>
      <c r="D599" s="23" t="n">
        <v>12.3266297404902</v>
      </c>
      <c r="E599" s="13" t="str">
        <f aca="false">IF(B599&lt;5,"Acidic",IF(B599&lt;9,"Near-neutral","Alkaline"))</f>
        <v>Alkaline</v>
      </c>
    </row>
    <row r="600" customFormat="false" ht="15" hidden="false" customHeight="false" outlineLevel="0" collapsed="false">
      <c r="A600" s="23" t="n">
        <v>8.92946473236618</v>
      </c>
      <c r="B600" s="18" t="n">
        <v>11.4503989807227</v>
      </c>
      <c r="C600" s="23" t="n">
        <v>0.0793441911432637</v>
      </c>
      <c r="D600" s="23" t="n">
        <v>12.3266297404902</v>
      </c>
      <c r="E600" s="13" t="str">
        <f aca="false">IF(B600&lt;5,"Acidic",IF(B600&lt;9,"Near-neutral","Alkaline"))</f>
        <v>Alkaline</v>
      </c>
    </row>
    <row r="601" customFormat="false" ht="15" hidden="false" customHeight="false" outlineLevel="0" collapsed="false">
      <c r="A601" s="23" t="n">
        <v>8.94447223611806</v>
      </c>
      <c r="B601" s="18" t="n">
        <v>11.4515868215873</v>
      </c>
      <c r="C601" s="23" t="n">
        <v>0.0789597789450909</v>
      </c>
      <c r="D601" s="23" t="n">
        <v>12.3266297404902</v>
      </c>
      <c r="E601" s="13" t="str">
        <f aca="false">IF(B601&lt;5,"Acidic",IF(B601&lt;9,"Near-neutral","Alkaline"))</f>
        <v>Alkaline</v>
      </c>
    </row>
    <row r="602" customFormat="false" ht="15" hidden="false" customHeight="false" outlineLevel="0" collapsed="false">
      <c r="A602" s="23" t="n">
        <v>8.95947973986994</v>
      </c>
      <c r="B602" s="18" t="n">
        <v>11.4527688917525</v>
      </c>
      <c r="C602" s="23" t="n">
        <v>0.0785733992225914</v>
      </c>
      <c r="D602" s="23" t="n">
        <v>12.3266297404902</v>
      </c>
      <c r="E602" s="13" t="str">
        <f aca="false">IF(B602&lt;5,"Acidic",IF(B602&lt;9,"Near-neutral","Alkaline"))</f>
        <v>Alkaline</v>
      </c>
    </row>
    <row r="603" customFormat="false" ht="15" hidden="false" customHeight="false" outlineLevel="0" collapsed="false">
      <c r="A603" s="23" t="n">
        <v>8.97448724362181</v>
      </c>
      <c r="B603" s="18" t="n">
        <v>11.4539452154634</v>
      </c>
      <c r="C603" s="23" t="n">
        <v>0.0781922132385944</v>
      </c>
      <c r="D603" s="23" t="n">
        <v>12.3266297404902</v>
      </c>
      <c r="E603" s="13" t="str">
        <f aca="false">IF(B603&lt;5,"Acidic",IF(B603&lt;9,"Near-neutral","Alkaline"))</f>
        <v>Alkaline</v>
      </c>
    </row>
    <row r="604" customFormat="false" ht="15" hidden="false" customHeight="false" outlineLevel="0" collapsed="false">
      <c r="A604" s="23" t="n">
        <v>8.98949474737369</v>
      </c>
      <c r="B604" s="18" t="n">
        <v>11.4551158714504</v>
      </c>
      <c r="C604" s="23" t="n">
        <v>0.0778145192471129</v>
      </c>
      <c r="D604" s="23" t="n">
        <v>12.3266297404902</v>
      </c>
      <c r="E604" s="13" t="str">
        <f aca="false">IF(B604&lt;5,"Acidic",IF(B604&lt;9,"Near-neutral","Alkaline"))</f>
        <v>Alkaline</v>
      </c>
    </row>
    <row r="605" customFormat="false" ht="15" hidden="false" customHeight="false" outlineLevel="0" collapsed="false">
      <c r="A605" s="23" t="n">
        <v>9.00450225112556</v>
      </c>
      <c r="B605" s="18" t="n">
        <v>11.4562808590114</v>
      </c>
      <c r="C605" s="23" t="n">
        <v>0.0774421847678468</v>
      </c>
      <c r="D605" s="23" t="n">
        <v>12.3266297404902</v>
      </c>
      <c r="E605" s="13" t="str">
        <f aca="false">IF(B605&lt;5,"Acidic",IF(B605&lt;9,"Near-neutral","Alkaline"))</f>
        <v>Alkaline</v>
      </c>
    </row>
    <row r="606" customFormat="false" ht="15" hidden="false" customHeight="false" outlineLevel="0" collapsed="false">
      <c r="A606" s="23" t="n">
        <v>9.01950975487744</v>
      </c>
      <c r="B606" s="18" t="n">
        <v>11.4574402859299</v>
      </c>
      <c r="C606" s="23" t="n">
        <v>0.0770680937414454</v>
      </c>
      <c r="D606" s="23" t="n">
        <v>12.3266297404902</v>
      </c>
      <c r="E606" s="13" t="str">
        <f aca="false">IF(B606&lt;5,"Acidic",IF(B606&lt;9,"Near-neutral","Alkaline"))</f>
        <v>Alkaline</v>
      </c>
    </row>
    <row r="607" customFormat="false" ht="15" hidden="false" customHeight="false" outlineLevel="0" collapsed="false">
      <c r="A607" s="23" t="n">
        <v>9.03451725862932</v>
      </c>
      <c r="B607" s="18" t="n">
        <v>11.4585941262676</v>
      </c>
      <c r="C607" s="23" t="n">
        <v>0.0767012908539755</v>
      </c>
      <c r="D607" s="23" t="n">
        <v>12.3266297404902</v>
      </c>
      <c r="E607" s="13" t="str">
        <f aca="false">IF(B607&lt;5,"Acidic",IF(B607&lt;9,"Near-neutral","Alkaline"))</f>
        <v>Alkaline</v>
      </c>
    </row>
    <row r="608" customFormat="false" ht="15" hidden="false" customHeight="false" outlineLevel="0" collapsed="false">
      <c r="A608" s="23" t="n">
        <v>9.04952476238119</v>
      </c>
      <c r="B608" s="18" t="n">
        <v>11.4597424357163</v>
      </c>
      <c r="C608" s="23" t="n">
        <v>0.0763328298072565</v>
      </c>
      <c r="D608" s="23" t="n">
        <v>12.3266297404902</v>
      </c>
      <c r="E608" s="13" t="str">
        <f aca="false">IF(B608&lt;5,"Acidic",IF(B608&lt;9,"Near-neutral","Alkaline"))</f>
        <v>Alkaline</v>
      </c>
    </row>
    <row r="609" customFormat="false" ht="15" hidden="false" customHeight="false" outlineLevel="0" collapsed="false">
      <c r="A609" s="23" t="n">
        <v>9.06453226613307</v>
      </c>
      <c r="B609" s="18" t="n">
        <v>11.4608852982454</v>
      </c>
      <c r="C609" s="23" t="n">
        <v>0.0759718031365537</v>
      </c>
      <c r="D609" s="23" t="n">
        <v>12.3266297404902</v>
      </c>
      <c r="E609" s="13" t="str">
        <f aca="false">IF(B609&lt;5,"Acidic",IF(B609&lt;9,"Near-neutral","Alkaline"))</f>
        <v>Alkaline</v>
      </c>
    </row>
    <row r="610" customFormat="false" ht="15" hidden="false" customHeight="false" outlineLevel="0" collapsed="false">
      <c r="A610" s="23" t="n">
        <v>9.07953976988494</v>
      </c>
      <c r="B610" s="18" t="n">
        <v>11.4620227173108</v>
      </c>
      <c r="C610" s="23" t="n">
        <v>0.0756110373201864</v>
      </c>
      <c r="D610" s="23" t="n">
        <v>12.3266297404902</v>
      </c>
      <c r="E610" s="13" t="str">
        <f aca="false">IF(B610&lt;5,"Acidic",IF(B610&lt;9,"Near-neutral","Alkaline"))</f>
        <v>Alkaline</v>
      </c>
    </row>
    <row r="611" customFormat="false" ht="15" hidden="false" customHeight="false" outlineLevel="0" collapsed="false">
      <c r="A611" s="23" t="n">
        <v>9.09454727363682</v>
      </c>
      <c r="B611" s="18" t="n">
        <v>11.4631547515735</v>
      </c>
      <c r="C611" s="23" t="n">
        <v>0.0752542155682932</v>
      </c>
      <c r="D611" s="23" t="n">
        <v>12.3266297404902</v>
      </c>
      <c r="E611" s="13" t="str">
        <f aca="false">IF(B611&lt;5,"Acidic",IF(B611&lt;9,"Near-neutral","Alkaline"))</f>
        <v>Alkaline</v>
      </c>
    </row>
    <row r="612" customFormat="false" ht="15" hidden="false" customHeight="false" outlineLevel="0" collapsed="false">
      <c r="A612" s="23" t="n">
        <v>9.1095547773887</v>
      </c>
      <c r="B612" s="18" t="n">
        <v>11.4642814607539</v>
      </c>
      <c r="C612" s="23" t="n">
        <v>0.0748977483867748</v>
      </c>
      <c r="D612" s="23" t="n">
        <v>12.3266297404902</v>
      </c>
      <c r="E612" s="13" t="str">
        <f aca="false">IF(B612&lt;5,"Acidic",IF(B612&lt;9,"Near-neutral","Alkaline"))</f>
        <v>Alkaline</v>
      </c>
    </row>
    <row r="613" customFormat="false" ht="15" hidden="false" customHeight="false" outlineLevel="0" collapsed="false">
      <c r="A613" s="23" t="n">
        <v>9.12456228114057</v>
      </c>
      <c r="B613" s="18" t="n">
        <v>11.4654028781314</v>
      </c>
      <c r="C613" s="23" t="n">
        <v>0.0745490075172484</v>
      </c>
      <c r="D613" s="23" t="n">
        <v>12.3266297404902</v>
      </c>
      <c r="E613" s="13" t="str">
        <f aca="false">IF(B613&lt;5,"Acidic",IF(B613&lt;9,"Near-neutral","Alkaline"))</f>
        <v>Alkaline</v>
      </c>
    </row>
    <row r="614" customFormat="false" ht="15" hidden="false" customHeight="false" outlineLevel="0" collapsed="false">
      <c r="A614" s="23" t="n">
        <v>9.13956978489245</v>
      </c>
      <c r="B614" s="18" t="n">
        <v>11.4665190101889</v>
      </c>
      <c r="C614" s="23" t="n">
        <v>0.0741970643816785</v>
      </c>
      <c r="D614" s="23" t="n">
        <v>12.3266297404902</v>
      </c>
      <c r="E614" s="13" t="str">
        <f aca="false">IF(B614&lt;5,"Acidic",IF(B614&lt;9,"Near-neutral","Alkaline"))</f>
        <v>Alkaline</v>
      </c>
    </row>
    <row r="615" customFormat="false" ht="15" hidden="false" customHeight="false" outlineLevel="0" collapsed="false">
      <c r="A615" s="23" t="n">
        <v>9.15457728864432</v>
      </c>
      <c r="B615" s="18" t="n">
        <v>11.4676299468247</v>
      </c>
      <c r="C615" s="23" t="n">
        <v>0.0738511349054534</v>
      </c>
      <c r="D615" s="23" t="n">
        <v>12.3266297404902</v>
      </c>
      <c r="E615" s="13" t="str">
        <f aca="false">IF(B615&lt;5,"Acidic",IF(B615&lt;9,"Near-neutral","Alkaline"))</f>
        <v>Alkaline</v>
      </c>
    </row>
    <row r="616" customFormat="false" ht="15" hidden="false" customHeight="false" outlineLevel="0" collapsed="false">
      <c r="A616" s="23" t="n">
        <v>9.1695847923962</v>
      </c>
      <c r="B616" s="18" t="n">
        <v>11.4687356961412</v>
      </c>
      <c r="C616" s="23" t="n">
        <v>0.0735094594473367</v>
      </c>
      <c r="D616" s="23" t="n">
        <v>12.3266297404902</v>
      </c>
      <c r="E616" s="13" t="str">
        <f aca="false">IF(B616&lt;5,"Acidic",IF(B616&lt;9,"Near-neutral","Alkaline"))</f>
        <v>Alkaline</v>
      </c>
    </row>
    <row r="617" customFormat="false" ht="15" hidden="false" customHeight="false" outlineLevel="0" collapsed="false">
      <c r="A617" s="23" t="n">
        <v>9.18459229614807</v>
      </c>
      <c r="B617" s="18" t="n">
        <v>11.469836294515</v>
      </c>
      <c r="C617" s="23" t="n">
        <v>0.0731665476918124</v>
      </c>
      <c r="D617" s="23" t="n">
        <v>12.3266297404902</v>
      </c>
      <c r="E617" s="13" t="str">
        <f aca="false">IF(B617&lt;5,"Acidic",IF(B617&lt;9,"Near-neutral","Alkaline"))</f>
        <v>Alkaline</v>
      </c>
    </row>
    <row r="618" customFormat="false" ht="15" hidden="false" customHeight="false" outlineLevel="0" collapsed="false">
      <c r="A618" s="23" t="n">
        <v>9.19959979989995</v>
      </c>
      <c r="B618" s="18" t="n">
        <v>11.4709318069491</v>
      </c>
      <c r="C618" s="23" t="n">
        <v>0.0728279883923051</v>
      </c>
      <c r="D618" s="23" t="n">
        <v>12.3266297404902</v>
      </c>
      <c r="E618" s="13" t="str">
        <f aca="false">IF(B618&lt;5,"Acidic",IF(B618&lt;9,"Near-neutral","Alkaline"))</f>
        <v>Alkaline</v>
      </c>
    </row>
    <row r="619" customFormat="false" ht="15" hidden="false" customHeight="false" outlineLevel="0" collapsed="false">
      <c r="A619" s="23" t="n">
        <v>9.21460730365183</v>
      </c>
      <c r="B619" s="18" t="n">
        <v>11.4720222436565</v>
      </c>
      <c r="C619" s="23" t="n">
        <v>0.0724919889325975</v>
      </c>
      <c r="D619" s="23" t="n">
        <v>12.3266297404902</v>
      </c>
      <c r="E619" s="13" t="str">
        <f aca="false">IF(B619&lt;5,"Acidic",IF(B619&lt;9,"Near-neutral","Alkaline"))</f>
        <v>Alkaline</v>
      </c>
    </row>
    <row r="620" customFormat="false" ht="15" hidden="false" customHeight="false" outlineLevel="0" collapsed="false">
      <c r="A620" s="23" t="n">
        <v>9.2296148074037</v>
      </c>
      <c r="B620" s="18" t="n">
        <v>11.4731076993195</v>
      </c>
      <c r="C620" s="23" t="n">
        <v>0.0721586008436361</v>
      </c>
      <c r="D620" s="23" t="n">
        <v>12.3266297404902</v>
      </c>
      <c r="E620" s="13" t="str">
        <f aca="false">IF(B620&lt;5,"Acidic",IF(B620&lt;9,"Near-neutral","Alkaline"))</f>
        <v>Alkaline</v>
      </c>
    </row>
    <row r="621" customFormat="false" ht="15" hidden="false" customHeight="false" outlineLevel="0" collapsed="false">
      <c r="A621" s="23" t="n">
        <v>9.24462231115558</v>
      </c>
      <c r="B621" s="18" t="n">
        <v>11.4741881296439</v>
      </c>
      <c r="C621" s="23" t="n">
        <v>0.071829747793231</v>
      </c>
      <c r="D621" s="23" t="n">
        <v>12.3266297404902</v>
      </c>
      <c r="E621" s="13" t="str">
        <f aca="false">IF(B621&lt;5,"Acidic",IF(B621&lt;9,"Near-neutral","Alkaline"))</f>
        <v>Alkaline</v>
      </c>
    </row>
    <row r="622" customFormat="false" ht="15" hidden="false" customHeight="false" outlineLevel="0" collapsed="false">
      <c r="A622" s="23" t="n">
        <v>9.25962981490745</v>
      </c>
      <c r="B622" s="18" t="n">
        <v>11.4752636027967</v>
      </c>
      <c r="C622" s="23" t="n">
        <v>0.0714998694212454</v>
      </c>
      <c r="D622" s="23" t="n">
        <v>12.3266297404902</v>
      </c>
      <c r="E622" s="13" t="str">
        <f aca="false">IF(B622&lt;5,"Acidic",IF(B622&lt;9,"Near-neutral","Alkaline"))</f>
        <v>Alkaline</v>
      </c>
    </row>
    <row r="623" customFormat="false" ht="15" hidden="false" customHeight="false" outlineLevel="0" collapsed="false">
      <c r="A623" s="23" t="n">
        <v>9.27463731865933</v>
      </c>
      <c r="B623" s="18" t="n">
        <v>11.4763341879963</v>
      </c>
      <c r="C623" s="23" t="n">
        <v>0.0711727429722942</v>
      </c>
      <c r="D623" s="23" t="n">
        <v>12.3266297404902</v>
      </c>
      <c r="E623" s="13" t="str">
        <f aca="false">IF(B623&lt;5,"Acidic",IF(B623&lt;9,"Near-neutral","Alkaline"))</f>
        <v>Alkaline</v>
      </c>
    </row>
    <row r="624" customFormat="false" ht="15" hidden="false" customHeight="false" outlineLevel="0" collapsed="false">
      <c r="A624" s="23" t="n">
        <v>9.28964482241121</v>
      </c>
      <c r="B624" s="18" t="n">
        <v>11.4773998989711</v>
      </c>
      <c r="C624" s="23" t="n">
        <v>0.0708503059478289</v>
      </c>
      <c r="D624" s="23" t="n">
        <v>12.3266297404902</v>
      </c>
      <c r="E624" s="13" t="str">
        <f aca="false">IF(B624&lt;5,"Acidic",IF(B624&lt;9,"Near-neutral","Alkaline"))</f>
        <v>Alkaline</v>
      </c>
    </row>
    <row r="625" customFormat="false" ht="15" hidden="false" customHeight="false" outlineLevel="0" collapsed="false">
      <c r="A625" s="23" t="n">
        <v>9.30465232616308</v>
      </c>
      <c r="B625" s="18" t="n">
        <v>11.4784607782826</v>
      </c>
      <c r="C625" s="23" t="n">
        <v>0.070530737570607</v>
      </c>
      <c r="D625" s="23" t="n">
        <v>12.3266297404902</v>
      </c>
      <c r="E625" s="13" t="str">
        <f aca="false">IF(B625&lt;5,"Acidic",IF(B625&lt;9,"Near-neutral","Alkaline"))</f>
        <v>Alkaline</v>
      </c>
    </row>
    <row r="626" customFormat="false" ht="15" hidden="false" customHeight="false" outlineLevel="0" collapsed="false">
      <c r="A626" s="23" t="n">
        <v>9.31965982991496</v>
      </c>
      <c r="B626" s="18" t="n">
        <v>11.4795168692638</v>
      </c>
      <c r="C626" s="23" t="n">
        <v>0.0702102987427224</v>
      </c>
      <c r="D626" s="23" t="n">
        <v>12.3266297404902</v>
      </c>
      <c r="E626" s="13" t="str">
        <f aca="false">IF(B626&lt;5,"Acidic",IF(B626&lt;9,"Near-neutral","Alkaline"))</f>
        <v>Alkaline</v>
      </c>
    </row>
    <row r="627" customFormat="false" ht="15" hidden="false" customHeight="false" outlineLevel="0" collapsed="false">
      <c r="A627" s="23" t="n">
        <v>9.33466733366683</v>
      </c>
      <c r="B627" s="18" t="n">
        <v>11.4805681590643</v>
      </c>
      <c r="C627" s="23" t="n">
        <v>0.0698928036964617</v>
      </c>
      <c r="D627" s="23" t="n">
        <v>12.3266297404902</v>
      </c>
      <c r="E627" s="13" t="str">
        <f aca="false">IF(B627&lt;5,"Acidic",IF(B627&lt;9,"Near-neutral","Alkaline"))</f>
        <v>Alkaline</v>
      </c>
    </row>
    <row r="628" customFormat="false" ht="15" hidden="false" customHeight="false" outlineLevel="0" collapsed="false">
      <c r="A628" s="23" t="n">
        <v>9.34967483741871</v>
      </c>
      <c r="B628" s="18" t="n">
        <v>11.4816147492364</v>
      </c>
      <c r="C628" s="23" t="n">
        <v>0.0695821125391376</v>
      </c>
      <c r="D628" s="23" t="n">
        <v>12.3266297404902</v>
      </c>
      <c r="E628" s="13" t="str">
        <f aca="false">IF(B628&lt;5,"Acidic",IF(B628&lt;9,"Near-neutral","Alkaline"))</f>
        <v>Alkaline</v>
      </c>
    </row>
    <row r="629" customFormat="false" ht="15" hidden="false" customHeight="false" outlineLevel="0" collapsed="false">
      <c r="A629" s="23" t="n">
        <v>9.36468234117059</v>
      </c>
      <c r="B629" s="18" t="n">
        <v>11.4826566281951</v>
      </c>
      <c r="C629" s="23" t="n">
        <v>0.0692668594566612</v>
      </c>
      <c r="D629" s="23" t="n">
        <v>12.3266297404902</v>
      </c>
      <c r="E629" s="13" t="str">
        <f aca="false">IF(B629&lt;5,"Acidic",IF(B629&lt;9,"Near-neutral","Alkaline"))</f>
        <v>Alkaline</v>
      </c>
    </row>
    <row r="630" customFormat="false" ht="15" hidden="false" customHeight="false" outlineLevel="0" collapsed="false">
      <c r="A630" s="23" t="n">
        <v>9.37968984492246</v>
      </c>
      <c r="B630" s="18" t="n">
        <v>11.4836938419412</v>
      </c>
      <c r="C630" s="23" t="n">
        <v>0.0689604171633391</v>
      </c>
      <c r="D630" s="23" t="n">
        <v>12.3266297404902</v>
      </c>
      <c r="E630" s="13" t="str">
        <f aca="false">IF(B630&lt;5,"Acidic",IF(B630&lt;9,"Near-neutral","Alkaline"))</f>
        <v>Alkaline</v>
      </c>
    </row>
    <row r="631" customFormat="false" ht="15" hidden="false" customHeight="false" outlineLevel="0" collapsed="false">
      <c r="A631" s="23" t="n">
        <v>9.39469734867434</v>
      </c>
      <c r="B631" s="18" t="n">
        <v>11.4847264372448</v>
      </c>
      <c r="C631" s="23" t="n">
        <v>0.0686513832728224</v>
      </c>
      <c r="D631" s="23" t="n">
        <v>12.3266297404902</v>
      </c>
      <c r="E631" s="13" t="str">
        <f aca="false">IF(B631&lt;5,"Acidic",IF(B631&lt;9,"Near-neutral","Alkaline"))</f>
        <v>Alkaline</v>
      </c>
    </row>
    <row r="632" customFormat="false" ht="15" hidden="false" customHeight="false" outlineLevel="0" collapsed="false">
      <c r="A632" s="23" t="n">
        <v>9.40970485242621</v>
      </c>
      <c r="B632" s="18" t="n">
        <v>11.4857544616443</v>
      </c>
      <c r="C632" s="23" t="n">
        <v>0.0683474447207573</v>
      </c>
      <c r="D632" s="23" t="n">
        <v>12.3266297404902</v>
      </c>
      <c r="E632" s="13" t="str">
        <f aca="false">IF(B632&lt;5,"Acidic",IF(B632&lt;9,"Near-neutral","Alkaline"))</f>
        <v>Alkaline</v>
      </c>
    </row>
    <row r="633" customFormat="false" ht="15" hidden="false" customHeight="false" outlineLevel="0" collapsed="false">
      <c r="A633" s="23" t="n">
        <v>9.42471235617809</v>
      </c>
      <c r="B633" s="18" t="n">
        <v>11.486777876784</v>
      </c>
      <c r="C633" s="23" t="n">
        <v>0.0680448165840062</v>
      </c>
      <c r="D633" s="23" t="n">
        <v>12.3266297404902</v>
      </c>
      <c r="E633" s="13" t="str">
        <f aca="false">IF(B633&lt;5,"Acidic",IF(B633&lt;9,"Near-neutral","Alkaline"))</f>
        <v>Alkaline</v>
      </c>
    </row>
    <row r="634" customFormat="false" ht="15" hidden="false" customHeight="false" outlineLevel="0" collapsed="false">
      <c r="A634" s="23" t="n">
        <v>9.43971985992997</v>
      </c>
      <c r="B634" s="18" t="n">
        <v>11.4877968179894</v>
      </c>
      <c r="C634" s="23" t="n">
        <v>0.0677435318402786</v>
      </c>
      <c r="D634" s="23" t="n">
        <v>12.3266297404902</v>
      </c>
      <c r="E634" s="13" t="str">
        <f aca="false">IF(B634&lt;5,"Acidic",IF(B634&lt;9,"Near-neutral","Alkaline"))</f>
        <v>Alkaline</v>
      </c>
    </row>
    <row r="635" customFormat="false" ht="15" hidden="false" customHeight="false" outlineLevel="0" collapsed="false">
      <c r="A635" s="23" t="n">
        <v>9.45472736368184</v>
      </c>
      <c r="B635" s="18" t="n">
        <v>11.4888112190081</v>
      </c>
      <c r="C635" s="23" t="n">
        <v>0.0674455596121106</v>
      </c>
      <c r="D635" s="23" t="n">
        <v>12.3266297404902</v>
      </c>
      <c r="E635" s="13" t="str">
        <f aca="false">IF(B635&lt;5,"Acidic",IF(B635&lt;9,"Near-neutral","Alkaline"))</f>
        <v>Alkaline</v>
      </c>
    </row>
    <row r="636" customFormat="false" ht="15" hidden="false" customHeight="false" outlineLevel="0" collapsed="false">
      <c r="A636" s="23" t="n">
        <v>9.46973486743372</v>
      </c>
      <c r="B636" s="18" t="n">
        <v>11.4898212169016</v>
      </c>
      <c r="C636" s="23" t="n">
        <v>0.06715095090658</v>
      </c>
      <c r="D636" s="23" t="n">
        <v>12.3266297404902</v>
      </c>
      <c r="E636" s="13" t="str">
        <f aca="false">IF(B636&lt;5,"Acidic",IF(B636&lt;9,"Near-neutral","Alkaline"))</f>
        <v>Alkaline</v>
      </c>
    </row>
    <row r="637" customFormat="false" ht="15" hidden="false" customHeight="false" outlineLevel="0" collapsed="false">
      <c r="A637" s="23" t="n">
        <v>9.48474237118559</v>
      </c>
      <c r="B637" s="18" t="n">
        <v>11.4908267462037</v>
      </c>
      <c r="C637" s="23" t="n">
        <v>0.0668539213251052</v>
      </c>
      <c r="D637" s="23" t="n">
        <v>12.3266297404902</v>
      </c>
      <c r="E637" s="13" t="str">
        <f aca="false">IF(B637&lt;5,"Acidic",IF(B637&lt;9,"Near-neutral","Alkaline"))</f>
        <v>Alkaline</v>
      </c>
    </row>
    <row r="638" customFormat="false" ht="15" hidden="false" customHeight="false" outlineLevel="0" collapsed="false">
      <c r="A638" s="23" t="n">
        <v>9.49974987493747</v>
      </c>
      <c r="B638" s="18" t="n">
        <v>11.4918278580334</v>
      </c>
      <c r="C638" s="23" t="n">
        <v>0.0665642159059416</v>
      </c>
      <c r="D638" s="23" t="n">
        <v>12.3266297404902</v>
      </c>
      <c r="E638" s="13" t="str">
        <f aca="false">IF(B638&lt;5,"Acidic",IF(B638&lt;9,"Near-neutral","Alkaline"))</f>
        <v>Alkaline</v>
      </c>
    </row>
    <row r="639" customFormat="false" ht="15" hidden="false" customHeight="false" outlineLevel="0" collapsed="false">
      <c r="A639" s="23" t="n">
        <v>9.51475737868934</v>
      </c>
      <c r="B639" s="18" t="n">
        <v>11.4928246335664</v>
      </c>
      <c r="C639" s="23" t="n">
        <v>0.0662741051042985</v>
      </c>
      <c r="D639" s="23" t="n">
        <v>12.3266297404902</v>
      </c>
      <c r="E639" s="13" t="str">
        <f aca="false">IF(B639&lt;5,"Acidic",IF(B639&lt;9,"Near-neutral","Alkaline"))</f>
        <v>Alkaline</v>
      </c>
    </row>
    <row r="640" customFormat="false" ht="15" hidden="false" customHeight="false" outlineLevel="0" collapsed="false">
      <c r="A640" s="23" t="n">
        <v>9.52976488244122</v>
      </c>
      <c r="B640" s="18" t="n">
        <v>11.4938170669325</v>
      </c>
      <c r="C640" s="23" t="n">
        <v>0.0659855624845704</v>
      </c>
      <c r="D640" s="23" t="n">
        <v>12.3266297404902</v>
      </c>
      <c r="E640" s="13" t="str">
        <f aca="false">IF(B640&lt;5,"Acidic",IF(B640&lt;9,"Near-neutral","Alkaline"))</f>
        <v>Alkaline</v>
      </c>
    </row>
    <row r="641" customFormat="false" ht="15" hidden="false" customHeight="false" outlineLevel="0" collapsed="false">
      <c r="A641" s="23" t="n">
        <v>9.5447723861931</v>
      </c>
      <c r="B641" s="18" t="n">
        <v>11.4948052113393</v>
      </c>
      <c r="C641" s="23" t="n">
        <v>0.0657005839626663</v>
      </c>
      <c r="D641" s="23" t="n">
        <v>12.3266297404902</v>
      </c>
      <c r="E641" s="13" t="str">
        <f aca="false">IF(B641&lt;5,"Acidic",IF(B641&lt;9,"Near-neutral","Alkaline"))</f>
        <v>Alkaline</v>
      </c>
    </row>
    <row r="642" customFormat="false" ht="15" hidden="false" customHeight="false" outlineLevel="0" collapsed="false">
      <c r="A642" s="23" t="n">
        <v>9.55977988994497</v>
      </c>
      <c r="B642" s="18" t="n">
        <v>11.4957890617707</v>
      </c>
      <c r="C642" s="23" t="n">
        <v>0.0654152854265249</v>
      </c>
      <c r="D642" s="23" t="n">
        <v>12.3266297404902</v>
      </c>
      <c r="E642" s="13" t="str">
        <f aca="false">IF(B642&lt;5,"Acidic",IF(B642&lt;9,"Near-neutral","Alkaline"))</f>
        <v>Alkaline</v>
      </c>
    </row>
    <row r="643" customFormat="false" ht="15" hidden="false" customHeight="false" outlineLevel="0" collapsed="false">
      <c r="A643" s="23" t="n">
        <v>9.57478739369685</v>
      </c>
      <c r="B643" s="18" t="n">
        <v>11.4967687021154</v>
      </c>
      <c r="C643" s="23" t="n">
        <v>0.0651355975687693</v>
      </c>
      <c r="D643" s="23" t="n">
        <v>12.3266297404902</v>
      </c>
      <c r="E643" s="13" t="str">
        <f aca="false">IF(B643&lt;5,"Acidic",IF(B643&lt;9,"Near-neutral","Alkaline"))</f>
        <v>Alkaline</v>
      </c>
    </row>
    <row r="644" customFormat="false" ht="15" hidden="false" customHeight="false" outlineLevel="0" collapsed="false">
      <c r="A644" s="23" t="n">
        <v>9.58979489744873</v>
      </c>
      <c r="B644" s="18" t="n">
        <v>11.4977440987853</v>
      </c>
      <c r="C644" s="23" t="n">
        <v>0.064853683635647</v>
      </c>
      <c r="D644" s="23" t="n">
        <v>12.3266297404902</v>
      </c>
      <c r="E644" s="13" t="str">
        <f aca="false">IF(B644&lt;5,"Acidic",IF(B644&lt;9,"Near-neutral","Alkaline"))</f>
        <v>Alkaline</v>
      </c>
    </row>
    <row r="645" customFormat="false" ht="15" hidden="false" customHeight="false" outlineLevel="0" collapsed="false">
      <c r="A645" s="23" t="n">
        <v>9.6048024012006</v>
      </c>
      <c r="B645" s="18" t="n">
        <v>11.4987153072304</v>
      </c>
      <c r="C645" s="23" t="n">
        <v>0.0645774638651346</v>
      </c>
      <c r="D645" s="23" t="n">
        <v>12.3266297404902</v>
      </c>
      <c r="E645" s="13" t="str">
        <f aca="false">IF(B645&lt;5,"Acidic",IF(B645&lt;9,"Near-neutral","Alkaline"))</f>
        <v>Alkaline</v>
      </c>
    </row>
    <row r="646" customFormat="false" ht="15" hidden="false" customHeight="false" outlineLevel="0" collapsed="false">
      <c r="A646" s="23" t="n">
        <v>9.61980990495248</v>
      </c>
      <c r="B646" s="18" t="n">
        <v>11.4996823836595</v>
      </c>
      <c r="C646" s="23" t="n">
        <v>0.0643010511462308</v>
      </c>
      <c r="D646" s="23" t="n">
        <v>12.3266297404902</v>
      </c>
      <c r="E646" s="13" t="str">
        <f aca="false">IF(B646&lt;5,"Acidic",IF(B646&lt;9,"Near-neutral","Alkaline"))</f>
        <v>Alkaline</v>
      </c>
    </row>
    <row r="647" customFormat="false" ht="15" hidden="false" customHeight="false" outlineLevel="0" collapsed="false">
      <c r="A647" s="23" t="n">
        <v>9.63481740870435</v>
      </c>
      <c r="B647" s="18" t="n">
        <v>11.50064532539</v>
      </c>
      <c r="C647" s="23" t="n">
        <v>0.0640284396592961</v>
      </c>
      <c r="D647" s="23" t="n">
        <v>12.3266297404902</v>
      </c>
      <c r="E647" s="13" t="str">
        <f aca="false">IF(B647&lt;5,"Acidic",IF(B647&lt;9,"Near-neutral","Alkaline"))</f>
        <v>Alkaline</v>
      </c>
    </row>
    <row r="648" customFormat="false" ht="15" hidden="false" customHeight="false" outlineLevel="0" collapsed="false">
      <c r="A648" s="23" t="n">
        <v>9.64982491245623</v>
      </c>
      <c r="B648" s="18" t="n">
        <v>11.501604159858</v>
      </c>
      <c r="C648" s="23" t="n">
        <v>0.0637536981578251</v>
      </c>
      <c r="D648" s="23" t="n">
        <v>12.3266297404902</v>
      </c>
      <c r="E648" s="13" t="str">
        <f aca="false">IF(B648&lt;5,"Acidic",IF(B648&lt;9,"Near-neutral","Alkaline"))</f>
        <v>Alkaline</v>
      </c>
    </row>
    <row r="649" customFormat="false" ht="15" hidden="false" customHeight="false" outlineLevel="0" collapsed="false">
      <c r="A649" s="23" t="n">
        <v>9.66483241620811</v>
      </c>
      <c r="B649" s="18" t="n">
        <v>11.5025589449481</v>
      </c>
      <c r="C649" s="23" t="n">
        <v>0.0634848173879163</v>
      </c>
      <c r="D649" s="23" t="n">
        <v>12.3266297404902</v>
      </c>
      <c r="E649" s="13" t="str">
        <f aca="false">IF(B649&lt;5,"Acidic",IF(B649&lt;9,"Near-neutral","Alkaline"))</f>
        <v>Alkaline</v>
      </c>
    </row>
    <row r="650" customFormat="false" ht="15" hidden="false" customHeight="false" outlineLevel="0" collapsed="false">
      <c r="A650" s="23" t="n">
        <v>9.67983991995998</v>
      </c>
      <c r="B650" s="18" t="n">
        <v>11.5035096792565</v>
      </c>
      <c r="C650" s="23" t="n">
        <v>0.0632158572786921</v>
      </c>
      <c r="D650" s="23" t="n">
        <v>12.3266297404902</v>
      </c>
      <c r="E650" s="13" t="str">
        <f aca="false">IF(B650&lt;5,"Acidic",IF(B650&lt;9,"Near-neutral","Alkaline"))</f>
        <v>Alkaline</v>
      </c>
    </row>
    <row r="651" customFormat="false" ht="15" hidden="false" customHeight="false" outlineLevel="0" collapsed="false">
      <c r="A651" s="23" t="n">
        <v>9.69484742371186</v>
      </c>
      <c r="B651" s="18" t="n">
        <v>11.5044563916955</v>
      </c>
      <c r="C651" s="23" t="n">
        <v>0.0629528540574711</v>
      </c>
      <c r="D651" s="23" t="n">
        <v>12.3266297404902</v>
      </c>
      <c r="E651" s="13" t="str">
        <f aca="false">IF(B651&lt;5,"Acidic",IF(B651&lt;9,"Near-neutral","Alkaline"))</f>
        <v>Alkaline</v>
      </c>
    </row>
    <row r="652" customFormat="false" ht="15" hidden="false" customHeight="false" outlineLevel="0" collapsed="false">
      <c r="A652" s="23" t="n">
        <v>9.70985492746373</v>
      </c>
      <c r="B652" s="18" t="n">
        <v>11.5053991418216</v>
      </c>
      <c r="C652" s="23" t="n">
        <v>0.0626838072532792</v>
      </c>
      <c r="D652" s="23" t="n">
        <v>12.3266297404902</v>
      </c>
      <c r="E652" s="13" t="str">
        <f aca="false">IF(B652&lt;5,"Acidic",IF(B652&lt;9,"Near-neutral","Alkaline"))</f>
        <v>Alkaline</v>
      </c>
    </row>
    <row r="653" customFormat="false" ht="15" hidden="false" customHeight="false" outlineLevel="0" collapsed="false">
      <c r="A653" s="23" t="n">
        <v>9.72486243121561</v>
      </c>
      <c r="B653" s="18" t="n">
        <v>11.5063379295079</v>
      </c>
      <c r="C653" s="23" t="n">
        <v>0.0624248054338068</v>
      </c>
      <c r="D653" s="23" t="n">
        <v>12.3266297404902</v>
      </c>
      <c r="E653" s="13" t="str">
        <f aca="false">IF(B653&lt;5,"Acidic",IF(B653&lt;9,"Near-neutral","Alkaline"))</f>
        <v>Alkaline</v>
      </c>
    </row>
    <row r="654" customFormat="false" ht="15" hidden="false" customHeight="false" outlineLevel="0" collapsed="false">
      <c r="A654" s="23" t="n">
        <v>9.73986993496748</v>
      </c>
      <c r="B654" s="18" t="n">
        <v>11.5072727851398</v>
      </c>
      <c r="C654" s="23" t="n">
        <v>0.0621597906118723</v>
      </c>
      <c r="D654" s="23" t="n">
        <v>12.3266297404902</v>
      </c>
      <c r="E654" s="13" t="str">
        <f aca="false">IF(B654&lt;5,"Acidic",IF(B654&lt;9,"Near-neutral","Alkaline"))</f>
        <v>Alkaline</v>
      </c>
    </row>
    <row r="655" customFormat="false" ht="15" hidden="false" customHeight="false" outlineLevel="0" collapsed="false">
      <c r="A655" s="23" t="n">
        <v>9.75487743871936</v>
      </c>
      <c r="B655" s="18" t="n">
        <v>11.5082037395931</v>
      </c>
      <c r="C655" s="23" t="n">
        <v>0.0619049208578417</v>
      </c>
      <c r="D655" s="23" t="n">
        <v>12.3266297404902</v>
      </c>
      <c r="E655" s="13" t="str">
        <f aca="false">IF(B655&lt;5,"Acidic",IF(B655&lt;9,"Near-neutral","Alkaline"))</f>
        <v>Alkaline</v>
      </c>
    </row>
    <row r="656" customFormat="false" ht="15" hidden="false" customHeight="false" outlineLevel="0" collapsed="false">
      <c r="A656" s="23" t="n">
        <v>9.76988494247124</v>
      </c>
      <c r="B656" s="18" t="n">
        <v>11.5091307938206</v>
      </c>
      <c r="C656" s="23" t="n">
        <v>0.0616440686958413</v>
      </c>
      <c r="D656" s="23" t="n">
        <v>12.3266297404902</v>
      </c>
      <c r="E656" s="13" t="str">
        <f aca="false">IF(B656&lt;5,"Acidic",IF(B656&lt;9,"Near-neutral","Alkaline"))</f>
        <v>Alkaline</v>
      </c>
    </row>
    <row r="657" customFormat="false" ht="15" hidden="false" customHeight="false" outlineLevel="0" collapsed="false">
      <c r="A657" s="23" t="n">
        <v>9.78489244622311</v>
      </c>
      <c r="B657" s="18" t="n">
        <v>11.5100540099603</v>
      </c>
      <c r="C657" s="23" t="n">
        <v>0.0613893954757714</v>
      </c>
      <c r="D657" s="23" t="n">
        <v>12.3266297404902</v>
      </c>
      <c r="E657" s="13" t="str">
        <f aca="false">IF(B657&lt;5,"Acidic",IF(B657&lt;9,"Near-neutral","Alkaline"))</f>
        <v>Alkaline</v>
      </c>
    </row>
    <row r="658" customFormat="false" ht="15" hidden="false" customHeight="false" outlineLevel="0" collapsed="false">
      <c r="A658" s="23" t="n">
        <v>9.79989994997499</v>
      </c>
      <c r="B658" s="18" t="n">
        <v>11.510973420356</v>
      </c>
      <c r="C658" s="23" t="n">
        <v>0.0611368937094312</v>
      </c>
      <c r="D658" s="23" t="n">
        <v>12.3266297404902</v>
      </c>
      <c r="E658" s="13" t="str">
        <f aca="false">IF(B658&lt;5,"Acidic",IF(B658&lt;9,"Near-neutral","Alkaline"))</f>
        <v>Alkaline</v>
      </c>
    </row>
    <row r="659" customFormat="false" ht="15" hidden="false" customHeight="false" outlineLevel="0" collapsed="false">
      <c r="A659" s="23" t="n">
        <v>9.81490745372686</v>
      </c>
      <c r="B659" s="18" t="n">
        <v>11.5118889966268</v>
      </c>
      <c r="C659" s="23" t="n">
        <v>0.060882512789135</v>
      </c>
      <c r="D659" s="23" t="n">
        <v>12.3266297404902</v>
      </c>
      <c r="E659" s="13" t="str">
        <f aca="false">IF(B659&lt;5,"Acidic",IF(B659&lt;9,"Near-neutral","Alkaline"))</f>
        <v>Alkaline</v>
      </c>
    </row>
    <row r="660" customFormat="false" ht="15" hidden="false" customHeight="false" outlineLevel="0" collapsed="false">
      <c r="A660" s="23" t="n">
        <v>9.82991495747874</v>
      </c>
      <c r="B660" s="18" t="n">
        <v>11.512800833048</v>
      </c>
      <c r="C660" s="23" t="n">
        <v>0.0606323884405811</v>
      </c>
      <c r="D660" s="23" t="n">
        <v>12.3266297404902</v>
      </c>
      <c r="E660" s="13" t="str">
        <f aca="false">IF(B660&lt;5,"Acidic",IF(B660&lt;9,"Near-neutral","Alkaline"))</f>
        <v>Alkaline</v>
      </c>
    </row>
    <row r="661" customFormat="false" ht="15" hidden="false" customHeight="false" outlineLevel="0" collapsed="false">
      <c r="A661" s="23" t="n">
        <v>9.84492246123062</v>
      </c>
      <c r="B661" s="18" t="n">
        <v>11.5137089019565</v>
      </c>
      <c r="C661" s="23" t="n">
        <v>0.0603845201706008</v>
      </c>
      <c r="D661" s="23" t="n">
        <v>12.3266297404902</v>
      </c>
      <c r="E661" s="13" t="str">
        <f aca="false">IF(B661&lt;5,"Acidic",IF(B661&lt;9,"Near-neutral","Alkaline"))</f>
        <v>Alkaline</v>
      </c>
    </row>
    <row r="662" customFormat="false" ht="15" hidden="false" customHeight="false" outlineLevel="0" collapsed="false">
      <c r="A662" s="23" t="n">
        <v>9.85992996498249</v>
      </c>
      <c r="B662" s="18" t="n">
        <v>11.5146132680606</v>
      </c>
      <c r="C662" s="23" t="n">
        <v>0.0601368860311595</v>
      </c>
      <c r="D662" s="23" t="n">
        <v>12.3266297404902</v>
      </c>
      <c r="E662" s="13" t="str">
        <f aca="false">IF(B662&lt;5,"Acidic",IF(B662&lt;9,"Near-neutral","Alkaline"))</f>
        <v>Alkaline</v>
      </c>
    </row>
    <row r="663" customFormat="false" ht="15" hidden="false" customHeight="false" outlineLevel="0" collapsed="false">
      <c r="A663" s="23" t="n">
        <v>9.87493746873437</v>
      </c>
      <c r="B663" s="18" t="n">
        <v>11.5155139042223</v>
      </c>
      <c r="C663" s="23" t="n">
        <v>0.0598895013800984</v>
      </c>
      <c r="D663" s="23" t="n">
        <v>12.3266297404902</v>
      </c>
      <c r="E663" s="13" t="str">
        <f aca="false">IF(B663&lt;5,"Acidic",IF(B663&lt;9,"Near-neutral","Alkaline"))</f>
        <v>Alkaline</v>
      </c>
    </row>
    <row r="664" customFormat="false" ht="15" hidden="false" customHeight="false" outlineLevel="0" collapsed="false">
      <c r="A664" s="23" t="n">
        <v>9.88994497248624</v>
      </c>
      <c r="B664" s="18" t="n">
        <v>11.516410876059</v>
      </c>
      <c r="C664" s="23" t="n">
        <v>0.0596485702565133</v>
      </c>
      <c r="D664" s="23" t="n">
        <v>12.3266297404902</v>
      </c>
      <c r="E664" s="13" t="str">
        <f aca="false">IF(B664&lt;5,"Acidic",IF(B664&lt;9,"Near-neutral","Alkaline"))</f>
        <v>Alkaline</v>
      </c>
    </row>
    <row r="665" customFormat="false" ht="15" hidden="false" customHeight="false" outlineLevel="0" collapsed="false">
      <c r="A665" s="23" t="n">
        <v>9.90495247623812</v>
      </c>
      <c r="B665" s="18" t="n">
        <v>11.5173042189389</v>
      </c>
      <c r="C665" s="23" t="n">
        <v>0.0594038233602987</v>
      </c>
      <c r="D665" s="23" t="n">
        <v>12.3266297404902</v>
      </c>
      <c r="E665" s="13" t="str">
        <f aca="false">IF(B665&lt;5,"Acidic",IF(B665&lt;9,"Near-neutral","Alkaline"))</f>
        <v>Alkaline</v>
      </c>
    </row>
    <row r="666" customFormat="false" ht="15" hidden="false" customHeight="false" outlineLevel="0" collapsed="false">
      <c r="A666" s="23" t="n">
        <v>9.91995997999</v>
      </c>
      <c r="B666" s="18" t="n">
        <v>11.5181939066071</v>
      </c>
      <c r="C666" s="23" t="n">
        <v>0.0591635275617364</v>
      </c>
      <c r="D666" s="23" t="n">
        <v>12.3266297404902</v>
      </c>
      <c r="E666" s="13" t="str">
        <f aca="false">IF(B666&lt;5,"Acidic",IF(B666&lt;9,"Near-neutral","Alkaline"))</f>
        <v>Alkaline</v>
      </c>
    </row>
    <row r="667" customFormat="false" ht="15" hidden="false" customHeight="false" outlineLevel="0" collapsed="false">
      <c r="A667" s="23" t="n">
        <v>9.93496748374187</v>
      </c>
      <c r="B667" s="18" t="n">
        <v>11.5190800372552</v>
      </c>
      <c r="C667" s="23" t="n">
        <v>0.0589235809384263</v>
      </c>
      <c r="D667" s="23" t="n">
        <v>12.3266297404902</v>
      </c>
      <c r="E667" s="13" t="str">
        <f aca="false">IF(B667&lt;5,"Acidic",IF(B667&lt;9,"Near-neutral","Alkaline"))</f>
        <v>Alkaline</v>
      </c>
    </row>
    <row r="668" customFormat="false" ht="15" hidden="false" customHeight="false" outlineLevel="0" collapsed="false">
      <c r="A668" s="23" t="n">
        <v>9.94997498749375</v>
      </c>
      <c r="B668" s="18" t="n">
        <v>11.5199625541623</v>
      </c>
      <c r="C668" s="23" t="n">
        <v>0.0586860786515899</v>
      </c>
      <c r="D668" s="23" t="n">
        <v>12.3266297404902</v>
      </c>
      <c r="E668" s="13" t="str">
        <f aca="false">IF(B668&lt;5,"Acidic",IF(B668&lt;9,"Near-neutral","Alkaline"))</f>
        <v>Alkaline</v>
      </c>
    </row>
    <row r="669" customFormat="false" ht="15" hidden="false" customHeight="false" outlineLevel="0" collapsed="false">
      <c r="A669" s="23" t="n">
        <v>9.96498249124562</v>
      </c>
      <c r="B669" s="18" t="n">
        <v>11.5208415253075</v>
      </c>
      <c r="C669" s="23" t="n">
        <v>0.0584510529257614</v>
      </c>
      <c r="D669" s="23" t="n">
        <v>12.3266297404902</v>
      </c>
      <c r="E669" s="13" t="str">
        <f aca="false">IF(B669&lt;5,"Acidic",IF(B669&lt;9,"Near-neutral","Alkaline"))</f>
        <v>Alkaline</v>
      </c>
    </row>
    <row r="670" customFormat="false" ht="15" hidden="false" customHeight="false" outlineLevel="0" collapsed="false">
      <c r="A670" s="23" t="n">
        <v>9.9799899949975</v>
      </c>
      <c r="B670" s="18" t="n">
        <v>11.5217169567923</v>
      </c>
      <c r="C670" s="23" t="n">
        <v>0.0582185359285177</v>
      </c>
      <c r="D670" s="23" t="n">
        <v>12.3266297404902</v>
      </c>
      <c r="E670" s="13" t="str">
        <f aca="false">IF(B670&lt;5,"Acidic",IF(B670&lt;9,"Near-neutral","Alkaline"))</f>
        <v>Alkaline</v>
      </c>
    </row>
    <row r="671" customFormat="false" ht="15" hidden="false" customHeight="false" outlineLevel="0" collapsed="false">
      <c r="A671" s="23" t="n">
        <v>9.99499749874938</v>
      </c>
      <c r="B671" s="18" t="n">
        <v>11.5225888863186</v>
      </c>
      <c r="C671" s="23" t="n">
        <v>0.0579822826413192</v>
      </c>
      <c r="D671" s="23" t="n">
        <v>12.3266297404902</v>
      </c>
      <c r="E671" s="13" t="str">
        <f aca="false">IF(B671&lt;5,"Acidic",IF(B671&lt;9,"Near-neutral","Alkaline"))</f>
        <v>Alkaline</v>
      </c>
    </row>
    <row r="672" customFormat="false" ht="15" hidden="false" customHeight="false" outlineLevel="0" collapsed="false">
      <c r="A672" s="23" t="n">
        <v>10.0100050025013</v>
      </c>
      <c r="B672" s="18" t="n">
        <v>11.5234573206378</v>
      </c>
      <c r="C672" s="23" t="n">
        <v>0.0577506611774652</v>
      </c>
      <c r="D672" s="23" t="n">
        <v>12.3266297404902</v>
      </c>
      <c r="E672" s="13" t="str">
        <f aca="false">IF(B672&lt;5,"Acidic",IF(B672&lt;9,"Near-neutral","Alkaline"))</f>
        <v>Alkaline</v>
      </c>
    </row>
    <row r="673" customFormat="false" ht="15" hidden="false" customHeight="false" outlineLevel="0" collapsed="false">
      <c r="A673" s="23" t="n">
        <v>10.0250125062531</v>
      </c>
      <c r="B673" s="18" t="n">
        <v>11.5243222982274</v>
      </c>
      <c r="C673" s="23" t="n">
        <v>0.0575237203620418</v>
      </c>
      <c r="D673" s="23" t="n">
        <v>12.3266297404902</v>
      </c>
      <c r="E673" s="13" t="str">
        <f aca="false">IF(B673&lt;5,"Acidic",IF(B673&lt;9,"Near-neutral","Alkaline"))</f>
        <v>Alkaline</v>
      </c>
    </row>
    <row r="674" customFormat="false" ht="15" hidden="false" customHeight="false" outlineLevel="0" collapsed="false">
      <c r="A674" s="23" t="n">
        <v>10.040020010005</v>
      </c>
      <c r="B674" s="18" t="n">
        <v>11.5251838580458</v>
      </c>
      <c r="C674" s="23" t="n">
        <v>0.0572930893124521</v>
      </c>
      <c r="D674" s="23" t="n">
        <v>12.3266297404902</v>
      </c>
      <c r="E674" s="13" t="str">
        <f aca="false">IF(B674&lt;5,"Acidic",IF(B674&lt;9,"Near-neutral","Alkaline"))</f>
        <v>Alkaline</v>
      </c>
    </row>
    <row r="675" customFormat="false" ht="15" hidden="false" customHeight="false" outlineLevel="0" collapsed="false">
      <c r="A675" s="23" t="n">
        <v>10.0550275137569</v>
      </c>
      <c r="B675" s="18" t="n">
        <v>11.5260419762911</v>
      </c>
      <c r="C675" s="23" t="n">
        <v>0.0570650772183399</v>
      </c>
      <c r="D675" s="23" t="n">
        <v>12.3266297404902</v>
      </c>
      <c r="E675" s="13" t="str">
        <f aca="false">IF(B675&lt;5,"Acidic",IF(B675&lt;9,"Near-neutral","Alkaline"))</f>
        <v>Alkaline</v>
      </c>
    </row>
    <row r="676" customFormat="false" ht="15" hidden="false" customHeight="false" outlineLevel="0" collapsed="false">
      <c r="A676" s="23" t="n">
        <v>10.0700350175088</v>
      </c>
      <c r="B676" s="18" t="n">
        <v>11.5268966925073</v>
      </c>
      <c r="C676" s="23" t="n">
        <v>0.0568418292690467</v>
      </c>
      <c r="D676" s="23" t="n">
        <v>12.3266297404902</v>
      </c>
      <c r="E676" s="13" t="str">
        <f aca="false">IF(B676&lt;5,"Acidic",IF(B676&lt;9,"Near-neutral","Alkaline"))</f>
        <v>Alkaline</v>
      </c>
    </row>
    <row r="677" customFormat="false" ht="15" hidden="false" customHeight="false" outlineLevel="0" collapsed="false">
      <c r="A677" s="23" t="n">
        <v>10.0850425212606</v>
      </c>
      <c r="B677" s="18" t="n">
        <v>11.5277480467183</v>
      </c>
      <c r="C677" s="23" t="n">
        <v>0.0566170419577929</v>
      </c>
      <c r="D677" s="23" t="n">
        <v>12.3266297404902</v>
      </c>
      <c r="E677" s="13" t="str">
        <f aca="false">IF(B677&lt;5,"Acidic",IF(B677&lt;9,"Near-neutral","Alkaline"))</f>
        <v>Alkaline</v>
      </c>
    </row>
    <row r="678" customFormat="false" ht="15" hidden="false" customHeight="false" outlineLevel="0" collapsed="false">
      <c r="A678" s="23" t="n">
        <v>10.1000500250125</v>
      </c>
      <c r="B678" s="18" t="n">
        <v>11.5285960476198</v>
      </c>
      <c r="C678" s="23" t="n">
        <v>0.0563928355186363</v>
      </c>
      <c r="D678" s="23" t="n">
        <v>12.3266297404902</v>
      </c>
      <c r="E678" s="13" t="str">
        <f aca="false">IF(B678&lt;5,"Acidic",IF(B678&lt;9,"Near-neutral","Alkaline"))</f>
        <v>Alkaline</v>
      </c>
    </row>
    <row r="679" customFormat="false" ht="15" hidden="false" customHeight="false" outlineLevel="0" collapsed="false">
      <c r="A679" s="23" t="n">
        <v>10.1150575287644</v>
      </c>
      <c r="B679" s="18" t="n">
        <v>11.5294407360062</v>
      </c>
      <c r="C679" s="23" t="n">
        <v>0.056173476473532</v>
      </c>
      <c r="D679" s="23" t="n">
        <v>12.3266297404902</v>
      </c>
      <c r="E679" s="13" t="str">
        <f aca="false">IF(B679&lt;5,"Acidic",IF(B679&lt;9,"Near-neutral","Alkaline"))</f>
        <v>Alkaline</v>
      </c>
    </row>
    <row r="680" customFormat="false" ht="15" hidden="false" customHeight="false" outlineLevel="0" collapsed="false">
      <c r="A680" s="23" t="n">
        <v>10.1300650325163</v>
      </c>
      <c r="B680" s="18" t="n">
        <v>11.5302820892882</v>
      </c>
      <c r="C680" s="23" t="n">
        <v>0.055952624013571</v>
      </c>
      <c r="D680" s="23" t="n">
        <v>12.3266297404902</v>
      </c>
      <c r="E680" s="13" t="str">
        <f aca="false">IF(B680&lt;5,"Acidic",IF(B680&lt;9,"Near-neutral","Alkaline"))</f>
        <v>Alkaline</v>
      </c>
    </row>
    <row r="681" customFormat="false" ht="15" hidden="false" customHeight="false" outlineLevel="0" collapsed="false">
      <c r="A681" s="23" t="n">
        <v>10.1450725362681</v>
      </c>
      <c r="B681" s="18" t="n">
        <v>11.5311201488438</v>
      </c>
      <c r="C681" s="23" t="n">
        <v>0.0557345446022737</v>
      </c>
      <c r="D681" s="23" t="n">
        <v>12.3266297404902</v>
      </c>
      <c r="E681" s="13" t="str">
        <f aca="false">IF(B681&lt;5,"Acidic",IF(B681&lt;9,"Near-neutral","Alkaline"))</f>
        <v>Alkaline</v>
      </c>
    </row>
    <row r="682" customFormat="false" ht="15" hidden="false" customHeight="false" outlineLevel="0" collapsed="false">
      <c r="A682" s="23" t="n">
        <v>10.16008004002</v>
      </c>
      <c r="B682" s="18" t="n">
        <v>11.5319549565281</v>
      </c>
      <c r="C682" s="23" t="n">
        <v>0.0555149941729951</v>
      </c>
      <c r="D682" s="23" t="n">
        <v>12.3266297404902</v>
      </c>
      <c r="E682" s="13" t="str">
        <f aca="false">IF(B682&lt;5,"Acidic",IF(B682&lt;9,"Near-neutral","Alkaline"))</f>
        <v>Alkaline</v>
      </c>
    </row>
    <row r="683" customFormat="false" ht="15" hidden="false" customHeight="false" outlineLevel="0" collapsed="false">
      <c r="A683" s="23" t="n">
        <v>10.1750875437719</v>
      </c>
      <c r="B683" s="18" t="n">
        <v>11.5327864904411</v>
      </c>
      <c r="C683" s="23" t="n">
        <v>0.0553025396238809</v>
      </c>
      <c r="D683" s="23" t="n">
        <v>12.3266297404902</v>
      </c>
      <c r="E683" s="13" t="str">
        <f aca="false">IF(B683&lt;5,"Acidic",IF(B683&lt;9,"Near-neutral","Alkaline"))</f>
        <v>Alkaline</v>
      </c>
    </row>
    <row r="684" customFormat="false" ht="15" hidden="false" customHeight="false" outlineLevel="0" collapsed="false">
      <c r="A684" s="23" t="n">
        <v>10.1900950475238</v>
      </c>
      <c r="B684" s="18" t="n">
        <v>11.5336148251965</v>
      </c>
      <c r="C684" s="23" t="n">
        <v>0.0550865149384663</v>
      </c>
      <c r="D684" s="23" t="n">
        <v>12.3266297404902</v>
      </c>
      <c r="E684" s="13" t="str">
        <f aca="false">IF(B684&lt;5,"Acidic",IF(B684&lt;9,"Near-neutral","Alkaline"))</f>
        <v>Alkaline</v>
      </c>
    </row>
    <row r="685" customFormat="false" ht="15" hidden="false" customHeight="false" outlineLevel="0" collapsed="false">
      <c r="A685" s="23" t="n">
        <v>10.2051025512756</v>
      </c>
      <c r="B685" s="18" t="n">
        <v>11.5344399394146</v>
      </c>
      <c r="C685" s="23" t="n">
        <v>0.0548755033217958</v>
      </c>
      <c r="D685" s="23" t="n">
        <v>12.3266297404902</v>
      </c>
      <c r="E685" s="13" t="str">
        <f aca="false">IF(B685&lt;5,"Acidic",IF(B685&lt;9,"Near-neutral","Alkaline"))</f>
        <v>Alkaline</v>
      </c>
    </row>
    <row r="686" customFormat="false" ht="15" hidden="false" customHeight="false" outlineLevel="0" collapsed="false">
      <c r="A686" s="23" t="n">
        <v>10.2201100550275</v>
      </c>
      <c r="B686" s="18" t="n">
        <v>11.5352618762978</v>
      </c>
      <c r="C686" s="23" t="n">
        <v>0.0546609357814987</v>
      </c>
      <c r="D686" s="23" t="n">
        <v>12.3266297404902</v>
      </c>
      <c r="E686" s="13" t="str">
        <f aca="false">IF(B686&lt;5,"Acidic",IF(B686&lt;9,"Near-neutral","Alkaline"))</f>
        <v>Alkaline</v>
      </c>
    </row>
    <row r="687" customFormat="false" ht="15" hidden="false" customHeight="false" outlineLevel="0" collapsed="false">
      <c r="A687" s="23" t="n">
        <v>10.2351175587794</v>
      </c>
      <c r="B687" s="18" t="n">
        <v>11.5360806471622</v>
      </c>
      <c r="C687" s="23" t="n">
        <v>0.0544514281510828</v>
      </c>
      <c r="D687" s="23" t="n">
        <v>12.3266297404902</v>
      </c>
      <c r="E687" s="13" t="str">
        <f aca="false">IF(B687&lt;5,"Acidic",IF(B687&lt;9,"Near-neutral","Alkaline"))</f>
        <v>Alkaline</v>
      </c>
    </row>
    <row r="688" customFormat="false" ht="15" hidden="false" customHeight="false" outlineLevel="0" collapsed="false">
      <c r="A688" s="23" t="n">
        <v>10.2501250625313</v>
      </c>
      <c r="B688" s="18" t="n">
        <v>11.5368962635527</v>
      </c>
      <c r="C688" s="23" t="n">
        <v>0.0542427035205719</v>
      </c>
      <c r="D688" s="23" t="n">
        <v>12.3266297404902</v>
      </c>
      <c r="E688" s="13" t="str">
        <f aca="false">IF(B688&lt;5,"Acidic",IF(B688&lt;9,"Near-neutral","Alkaline"))</f>
        <v>Alkaline</v>
      </c>
    </row>
    <row r="689" customFormat="false" ht="15" hidden="false" customHeight="false" outlineLevel="0" collapsed="false">
      <c r="A689" s="23" t="n">
        <v>10.2651325662831</v>
      </c>
      <c r="B689" s="18" t="n">
        <v>11.5377087372431</v>
      </c>
      <c r="C689" s="23" t="n">
        <v>0.0540347771225243</v>
      </c>
      <c r="D689" s="23" t="n">
        <v>12.3266297404902</v>
      </c>
      <c r="E689" s="13" t="str">
        <f aca="false">IF(B689&lt;5,"Acidic",IF(B689&lt;9,"Near-neutral","Alkaline"))</f>
        <v>Alkaline</v>
      </c>
    </row>
    <row r="690" customFormat="false" ht="15" hidden="false" customHeight="false" outlineLevel="0" collapsed="false">
      <c r="A690" s="23" t="n">
        <v>10.280140070035</v>
      </c>
      <c r="B690" s="18" t="n">
        <v>11.5385181127783</v>
      </c>
      <c r="C690" s="23" t="n">
        <v>0.0538298345798012</v>
      </c>
      <c r="D690" s="23" t="n">
        <v>12.3266297404902</v>
      </c>
      <c r="E690" s="13" t="str">
        <f aca="false">IF(B690&lt;5,"Acidic",IF(B690&lt;9,"Near-neutral","Alkaline"))</f>
        <v>Alkaline</v>
      </c>
    </row>
    <row r="691" customFormat="false" ht="15" hidden="false" customHeight="false" outlineLevel="0" collapsed="false">
      <c r="A691" s="23" t="n">
        <v>10.2951475737869</v>
      </c>
      <c r="B691" s="18" t="n">
        <v>11.5393244025713</v>
      </c>
      <c r="C691" s="23" t="n">
        <v>0.0536213839809534</v>
      </c>
      <c r="D691" s="23" t="n">
        <v>12.3266297404902</v>
      </c>
      <c r="E691" s="13" t="str">
        <f aca="false">IF(B691&lt;5,"Acidic",IF(B691&lt;9,"Near-neutral","Alkaline"))</f>
        <v>Alkaline</v>
      </c>
    </row>
    <row r="692" customFormat="false" ht="15" hidden="false" customHeight="false" outlineLevel="0" collapsed="false">
      <c r="A692" s="23" t="n">
        <v>10.3101550775388</v>
      </c>
      <c r="B692" s="18" t="n">
        <v>11.5401276192638</v>
      </c>
      <c r="C692" s="23" t="n">
        <v>0.0534203005340714</v>
      </c>
      <c r="D692" s="23" t="n">
        <v>12.3266297404902</v>
      </c>
      <c r="E692" s="13" t="str">
        <f aca="false">IF(B692&lt;5,"Acidic",IF(B692&lt;9,"Near-neutral","Alkaline"))</f>
        <v>Alkaline</v>
      </c>
    </row>
    <row r="693" customFormat="false" ht="15" hidden="false" customHeight="false" outlineLevel="0" collapsed="false">
      <c r="A693" s="23" t="n">
        <v>10.3251625812907</v>
      </c>
      <c r="B693" s="18" t="n">
        <v>11.5409277757254</v>
      </c>
      <c r="C693" s="23" t="n">
        <v>0.0532157354181209</v>
      </c>
      <c r="D693" s="23" t="n">
        <v>12.3266297404902</v>
      </c>
      <c r="E693" s="13" t="str">
        <f aca="false">IF(B693&lt;5,"Acidic",IF(B693&lt;9,"Near-neutral","Alkaline"))</f>
        <v>Alkaline</v>
      </c>
    </row>
    <row r="694" customFormat="false" ht="15" hidden="false" customHeight="false" outlineLevel="0" collapsed="false">
      <c r="A694" s="23" t="n">
        <v>10.3401700850425</v>
      </c>
      <c r="B694" s="18" t="n">
        <v>11.5417249178369</v>
      </c>
      <c r="C694" s="23" t="n">
        <v>0.0530164175280561</v>
      </c>
      <c r="D694" s="23" t="n">
        <v>12.3266297404902</v>
      </c>
      <c r="E694" s="13" t="str">
        <f aca="false">IF(B694&lt;5,"Acidic",IF(B694&lt;9,"Near-neutral","Alkaline"))</f>
        <v>Alkaline</v>
      </c>
    </row>
    <row r="695" customFormat="false" ht="15" hidden="false" customHeight="false" outlineLevel="0" collapsed="false">
      <c r="A695" s="23" t="n">
        <v>10.3551775887944</v>
      </c>
      <c r="B695" s="18" t="n">
        <v>11.5425190591044</v>
      </c>
      <c r="C695" s="23" t="n">
        <v>0.0528136322822093</v>
      </c>
      <c r="D695" s="23" t="n">
        <v>12.3266297404902</v>
      </c>
      <c r="E695" s="13" t="str">
        <f aca="false">IF(B695&lt;5,"Acidic",IF(B695&lt;9,"Near-neutral","Alkaline"))</f>
        <v>Alkaline</v>
      </c>
    </row>
    <row r="696" customFormat="false" ht="15" hidden="false" customHeight="false" outlineLevel="0" collapsed="false">
      <c r="A696" s="23" t="n">
        <v>10.3701850925463</v>
      </c>
      <c r="B696" s="18" t="n">
        <v>11.5433101474553</v>
      </c>
      <c r="C696" s="23" t="n">
        <v>0.0526161406116898</v>
      </c>
      <c r="D696" s="23" t="n">
        <v>12.3266297404902</v>
      </c>
      <c r="E696" s="13" t="str">
        <f aca="false">IF(B696&lt;5,"Acidic",IF(B696&lt;9,"Near-neutral","Alkaline"))</f>
        <v>Alkaline</v>
      </c>
    </row>
    <row r="697" customFormat="false" ht="15" hidden="false" customHeight="false" outlineLevel="0" collapsed="false">
      <c r="A697" s="23" t="n">
        <v>10.3851925962982</v>
      </c>
      <c r="B697" s="18" t="n">
        <v>11.5440983283424</v>
      </c>
      <c r="C697" s="23" t="n">
        <v>0.0524173943437063</v>
      </c>
      <c r="D697" s="23" t="n">
        <v>12.3266297404902</v>
      </c>
      <c r="E697" s="13" t="str">
        <f aca="false">IF(B697&lt;5,"Acidic",IF(B697&lt;9,"Near-neutral","Alkaline"))</f>
        <v>Alkaline</v>
      </c>
    </row>
    <row r="698" customFormat="false" ht="15" hidden="false" customHeight="false" outlineLevel="0" collapsed="false">
      <c r="A698" s="23" t="n">
        <v>10.40020010005</v>
      </c>
      <c r="B698" s="18" t="n">
        <v>11.5448835172447</v>
      </c>
      <c r="C698" s="23" t="n">
        <v>0.0522217974520345</v>
      </c>
      <c r="D698" s="23" t="n">
        <v>12.3266297404902</v>
      </c>
      <c r="E698" s="13" t="str">
        <f aca="false">IF(B698&lt;5,"Acidic",IF(B698&lt;9,"Near-neutral","Alkaline"))</f>
        <v>Alkaline</v>
      </c>
    </row>
    <row r="699" customFormat="false" ht="15" hidden="false" customHeight="false" outlineLevel="0" collapsed="false">
      <c r="A699" s="23" t="n">
        <v>10.4152076038019</v>
      </c>
      <c r="B699" s="18" t="n">
        <v>11.5456657283986</v>
      </c>
      <c r="C699" s="23" t="n">
        <v>0.0520271745989476</v>
      </c>
      <c r="D699" s="23" t="n">
        <v>12.3266297404902</v>
      </c>
      <c r="E699" s="13" t="str">
        <f aca="false">IF(B699&lt;5,"Acidic",IF(B699&lt;9,"Near-neutral","Alkaline"))</f>
        <v>Alkaline</v>
      </c>
    </row>
    <row r="700" customFormat="false" ht="15" hidden="false" customHeight="false" outlineLevel="0" collapsed="false">
      <c r="A700" s="23" t="n">
        <v>10.4302151075538</v>
      </c>
      <c r="B700" s="18" t="n">
        <v>11.5464450756916</v>
      </c>
      <c r="C700" s="23" t="n">
        <v>0.0518313305836955</v>
      </c>
      <c r="D700" s="23" t="n">
        <v>12.3266297404902</v>
      </c>
      <c r="E700" s="13" t="str">
        <f aca="false">IF(B700&lt;5,"Acidic",IF(B700&lt;9,"Near-neutral","Alkaline"))</f>
        <v>Alkaline</v>
      </c>
    </row>
    <row r="701" customFormat="false" ht="15" hidden="false" customHeight="false" outlineLevel="0" collapsed="false">
      <c r="A701" s="23" t="n">
        <v>10.4452226113057</v>
      </c>
      <c r="B701" s="18" t="n">
        <v>11.5472214747467</v>
      </c>
      <c r="C701" s="23" t="n">
        <v>0.0516386931782336</v>
      </c>
      <c r="D701" s="23" t="n">
        <v>12.3266297404902</v>
      </c>
      <c r="E701" s="13" t="str">
        <f aca="false">IF(B701&lt;5,"Acidic",IF(B701&lt;9,"Near-neutral","Alkaline"))</f>
        <v>Alkaline</v>
      </c>
    </row>
    <row r="702" customFormat="false" ht="15" hidden="false" customHeight="false" outlineLevel="0" collapsed="false">
      <c r="A702" s="23" t="n">
        <v>10.4602301150575</v>
      </c>
      <c r="B702" s="18" t="n">
        <v>11.5479950070012</v>
      </c>
      <c r="C702" s="23" t="n">
        <v>0.0514470750808869</v>
      </c>
      <c r="D702" s="23" t="n">
        <v>12.3266297404902</v>
      </c>
      <c r="E702" s="13" t="str">
        <f aca="false">IF(B702&lt;5,"Acidic",IF(B702&lt;9,"Near-neutral","Alkaline"))</f>
        <v>Alkaline</v>
      </c>
    </row>
    <row r="703" customFormat="false" ht="15" hidden="false" customHeight="false" outlineLevel="0" collapsed="false">
      <c r="A703" s="23" t="n">
        <v>10.4752376188094</v>
      </c>
      <c r="B703" s="18" t="n">
        <v>11.5487656546351</v>
      </c>
      <c r="C703" s="23" t="n">
        <v>0.0512564913515234</v>
      </c>
      <c r="D703" s="23" t="n">
        <v>12.3266297404902</v>
      </c>
      <c r="E703" s="13" t="str">
        <f aca="false">IF(B703&lt;5,"Acidic",IF(B703&lt;9,"Near-neutral","Alkaline"))</f>
        <v>Alkaline</v>
      </c>
    </row>
    <row r="704" customFormat="false" ht="15" hidden="false" customHeight="false" outlineLevel="0" collapsed="false">
      <c r="A704" s="23" t="n">
        <v>10.4902451225613</v>
      </c>
      <c r="B704" s="18" t="n">
        <v>11.5495334331961</v>
      </c>
      <c r="C704" s="23" t="n">
        <v>0.0510647310018157</v>
      </c>
      <c r="D704" s="23" t="n">
        <v>12.3266297404902</v>
      </c>
      <c r="E704" s="13" t="str">
        <f aca="false">IF(B704&lt;5,"Acidic",IF(B704&lt;9,"Near-neutral","Alkaline"))</f>
        <v>Alkaline</v>
      </c>
    </row>
    <row r="705" customFormat="false" ht="15" hidden="false" customHeight="false" outlineLevel="0" collapsed="false">
      <c r="A705" s="23" t="n">
        <v>10.5052526263132</v>
      </c>
      <c r="B705" s="18" t="n">
        <v>11.5502984253315</v>
      </c>
      <c r="C705" s="23" t="n">
        <v>0.0508784832618403</v>
      </c>
      <c r="D705" s="23" t="n">
        <v>12.3266297404902</v>
      </c>
      <c r="E705" s="13" t="str">
        <f aca="false">IF(B705&lt;5,"Acidic",IF(B705&lt;9,"Near-neutral","Alkaline"))</f>
        <v>Alkaline</v>
      </c>
    </row>
    <row r="706" customFormat="false" ht="15" hidden="false" customHeight="false" outlineLevel="0" collapsed="false">
      <c r="A706" s="23" t="n">
        <v>10.520260130065</v>
      </c>
      <c r="B706" s="18" t="n">
        <v>11.5510605469071</v>
      </c>
      <c r="C706" s="23" t="n">
        <v>0.0506910928838806</v>
      </c>
      <c r="D706" s="23" t="n">
        <v>12.3266297404902</v>
      </c>
      <c r="E706" s="13" t="str">
        <f aca="false">IF(B706&lt;5,"Acidic",IF(B706&lt;9,"Near-neutral","Alkaline"))</f>
        <v>Alkaline</v>
      </c>
    </row>
    <row r="707" customFormat="false" ht="15" hidden="false" customHeight="false" outlineLevel="0" collapsed="false">
      <c r="A707" s="23" t="n">
        <v>10.5352676338169</v>
      </c>
      <c r="B707" s="18" t="n">
        <v>11.55181988108</v>
      </c>
      <c r="C707" s="23" t="n">
        <v>0.0505025592220818</v>
      </c>
      <c r="D707" s="23" t="n">
        <v>12.3266297404902</v>
      </c>
      <c r="E707" s="13" t="str">
        <f aca="false">IF(B707&lt;5,"Acidic",IF(B707&lt;9,"Near-neutral","Alkaline"))</f>
        <v>Alkaline</v>
      </c>
    </row>
    <row r="708" customFormat="false" ht="15" hidden="false" customHeight="false" outlineLevel="0" collapsed="false">
      <c r="A708" s="23" t="n">
        <v>10.5502751375688</v>
      </c>
      <c r="B708" s="18" t="n">
        <v>11.552576444476</v>
      </c>
      <c r="C708" s="23" t="n">
        <v>0.0503196066722467</v>
      </c>
      <c r="D708" s="23" t="n">
        <v>12.3266297404902</v>
      </c>
      <c r="E708" s="13" t="str">
        <f aca="false">IF(B708&lt;5,"Acidic",IF(B708&lt;9,"Near-neutral","Alkaline"))</f>
        <v>Alkaline</v>
      </c>
    </row>
    <row r="709" customFormat="false" ht="15" hidden="false" customHeight="false" outlineLevel="0" collapsed="false">
      <c r="A709" s="23" t="n">
        <v>10.5652826413207</v>
      </c>
      <c r="B709" s="18" t="n">
        <v>11.5533302202748</v>
      </c>
      <c r="C709" s="23" t="n">
        <v>0.0501355447098604</v>
      </c>
      <c r="D709" s="23" t="n">
        <v>12.3266297404902</v>
      </c>
      <c r="E709" s="13" t="str">
        <f aca="false">IF(B709&lt;5,"Acidic",IF(B709&lt;9,"Near-neutral","Alkaline"))</f>
        <v>Alkaline</v>
      </c>
    </row>
    <row r="710" customFormat="false" ht="15" hidden="false" customHeight="false" outlineLevel="0" collapsed="false">
      <c r="A710" s="23" t="n">
        <v>10.5802901450725</v>
      </c>
      <c r="B710" s="18" t="n">
        <v>11.5540812591057</v>
      </c>
      <c r="C710" s="23" t="n">
        <v>0.0499503727327237</v>
      </c>
      <c r="D710" s="23" t="n">
        <v>12.3266297404902</v>
      </c>
      <c r="E710" s="13" t="str">
        <f aca="false">IF(B710&lt;5,"Acidic",IF(B710&lt;9,"Near-neutral","Alkaline"))</f>
        <v>Alkaline</v>
      </c>
    </row>
    <row r="711" customFormat="false" ht="15" hidden="false" customHeight="false" outlineLevel="0" collapsed="false">
      <c r="A711" s="23" t="n">
        <v>10.5952976488244</v>
      </c>
      <c r="B711" s="18" t="n">
        <v>11.5548295444806</v>
      </c>
      <c r="C711" s="23" t="n">
        <v>0.0497708500915906</v>
      </c>
      <c r="D711" s="23" t="n">
        <v>12.3266297404902</v>
      </c>
      <c r="E711" s="13" t="str">
        <f aca="false">IF(B711&lt;5,"Acidic",IF(B711&lt;9,"Near-neutral","Alkaline"))</f>
        <v>Alkaline</v>
      </c>
    </row>
    <row r="712" customFormat="false" ht="15" hidden="false" customHeight="false" outlineLevel="0" collapsed="false">
      <c r="A712" s="23" t="n">
        <v>10.6103051525763</v>
      </c>
      <c r="B712" s="18" t="n">
        <v>11.5555750937484</v>
      </c>
      <c r="C712" s="23" t="n">
        <v>0.0495902511836448</v>
      </c>
      <c r="D712" s="23" t="n">
        <v>12.3266297404902</v>
      </c>
      <c r="E712" s="13" t="str">
        <f aca="false">IF(B712&lt;5,"Acidic",IF(B712&lt;9,"Near-neutral","Alkaline"))</f>
        <v>Alkaline</v>
      </c>
    </row>
    <row r="713" customFormat="false" ht="15" hidden="false" customHeight="false" outlineLevel="0" collapsed="false">
      <c r="A713" s="23" t="n">
        <v>10.6253126563282</v>
      </c>
      <c r="B713" s="18" t="n">
        <v>11.5563179583855</v>
      </c>
      <c r="C713" s="23" t="n">
        <v>0.0494085754421576</v>
      </c>
      <c r="D713" s="23" t="n">
        <v>12.3266297404902</v>
      </c>
      <c r="E713" s="13" t="str">
        <f aca="false">IF(B713&lt;5,"Acidic",IF(B713&lt;9,"Near-neutral","Alkaline"))</f>
        <v>Alkaline</v>
      </c>
    </row>
    <row r="714" customFormat="false" ht="15" hidden="false" customHeight="false" outlineLevel="0" collapsed="false">
      <c r="A714" s="23" t="n">
        <v>10.64032016008</v>
      </c>
      <c r="B714" s="18" t="n">
        <v>11.5570581224012</v>
      </c>
      <c r="C714" s="23" t="n">
        <v>0.0492303520964015</v>
      </c>
      <c r="D714" s="23" t="n">
        <v>12.3266297404902</v>
      </c>
      <c r="E714" s="13" t="str">
        <f aca="false">IF(B714&lt;5,"Acidic",IF(B714&lt;9,"Near-neutral","Alkaline"))</f>
        <v>Alkaline</v>
      </c>
    </row>
    <row r="715" customFormat="false" ht="15" hidden="false" customHeight="false" outlineLevel="0" collapsed="false">
      <c r="A715" s="23" t="n">
        <v>10.6553276638319</v>
      </c>
      <c r="B715" s="18" t="n">
        <v>11.5577956038158</v>
      </c>
      <c r="C715" s="23" t="n">
        <v>0.0490533427158653</v>
      </c>
      <c r="D715" s="23" t="n">
        <v>12.3266297404902</v>
      </c>
      <c r="E715" s="13" t="str">
        <f aca="false">IF(B715&lt;5,"Acidic",IF(B715&lt;9,"Near-neutral","Alkaline"))</f>
        <v>Alkaline</v>
      </c>
    </row>
    <row r="716" customFormat="false" ht="15" hidden="false" customHeight="false" outlineLevel="0" collapsed="false">
      <c r="A716" s="23" t="n">
        <v>10.6703351675838</v>
      </c>
      <c r="B716" s="18" t="n">
        <v>11.5585304549494</v>
      </c>
      <c r="C716" s="23" t="n">
        <v>0.04887756214805</v>
      </c>
      <c r="D716" s="23" t="n">
        <v>12.3266297404902</v>
      </c>
      <c r="E716" s="13" t="str">
        <f aca="false">IF(B716&lt;5,"Acidic",IF(B716&lt;9,"Near-neutral","Alkaline"))</f>
        <v>Alkaline</v>
      </c>
    </row>
    <row r="717" customFormat="false" ht="15" hidden="false" customHeight="false" outlineLevel="0" collapsed="false">
      <c r="A717" s="23" t="n">
        <v>10.6853426713357</v>
      </c>
      <c r="B717" s="18" t="n">
        <v>11.559262626173</v>
      </c>
      <c r="C717" s="23" t="n">
        <v>0.0486984724693684</v>
      </c>
      <c r="D717" s="23" t="n">
        <v>12.3266297404902</v>
      </c>
      <c r="E717" s="13" t="str">
        <f aca="false">IF(B717&lt;5,"Acidic",IF(B717&lt;9,"Near-neutral","Alkaline"))</f>
        <v>Alkaline</v>
      </c>
    </row>
    <row r="718" customFormat="false" ht="15" hidden="false" customHeight="false" outlineLevel="0" collapsed="false">
      <c r="A718" s="23" t="n">
        <v>10.7003501750875</v>
      </c>
      <c r="B718" s="18" t="n">
        <v>11.5599922043862</v>
      </c>
      <c r="C718" s="23" t="n">
        <v>0.048527458900935</v>
      </c>
      <c r="D718" s="23" t="n">
        <v>12.3266297404902</v>
      </c>
      <c r="E718" s="13" t="str">
        <f aca="false">IF(B718&lt;5,"Acidic",IF(B718&lt;9,"Near-neutral","Alkaline"))</f>
        <v>Alkaline</v>
      </c>
    </row>
    <row r="719" customFormat="false" ht="15" hidden="false" customHeight="false" outlineLevel="0" collapsed="false">
      <c r="A719" s="23" t="n">
        <v>10.7153576788394</v>
      </c>
      <c r="B719" s="18" t="n">
        <v>11.5607191744238</v>
      </c>
      <c r="C719" s="23" t="n">
        <v>0.0483508780176862</v>
      </c>
      <c r="D719" s="23" t="n">
        <v>12.3266297404902</v>
      </c>
      <c r="E719" s="13" t="str">
        <f aca="false">IF(B719&lt;5,"Acidic",IF(B719&lt;9,"Near-neutral","Alkaline"))</f>
        <v>Alkaline</v>
      </c>
    </row>
    <row r="720" customFormat="false" ht="15" hidden="false" customHeight="false" outlineLevel="0" collapsed="false">
      <c r="A720" s="23" t="n">
        <v>10.7303651825913</v>
      </c>
      <c r="B720" s="18" t="n">
        <v>11.5614434868074</v>
      </c>
      <c r="C720" s="23" t="n">
        <v>0.0481801379407898</v>
      </c>
      <c r="D720" s="23" t="n">
        <v>12.3266297404902</v>
      </c>
      <c r="E720" s="13" t="str">
        <f aca="false">IF(B720&lt;5,"Acidic",IF(B720&lt;9,"Near-neutral","Alkaline"))</f>
        <v>Alkaline</v>
      </c>
    </row>
    <row r="721" customFormat="false" ht="15" hidden="false" customHeight="false" outlineLevel="0" collapsed="false">
      <c r="A721" s="23" t="n">
        <v>10.7453726863432</v>
      </c>
      <c r="B721" s="18" t="n">
        <v>11.5621652636384</v>
      </c>
      <c r="C721" s="23" t="n">
        <v>0.0480084090436321</v>
      </c>
      <c r="D721" s="23" t="n">
        <v>12.3266297404902</v>
      </c>
      <c r="E721" s="13" t="str">
        <f aca="false">IF(B721&lt;5,"Acidic",IF(B721&lt;9,"Near-neutral","Alkaline"))</f>
        <v>Alkaline</v>
      </c>
    </row>
    <row r="722" customFormat="false" ht="15" hidden="false" customHeight="false" outlineLevel="0" collapsed="false">
      <c r="A722" s="23" t="n">
        <v>10.7603801900951</v>
      </c>
      <c r="B722" s="18" t="n">
        <v>11.562884455825</v>
      </c>
      <c r="C722" s="23" t="n">
        <v>0.0478379862800011</v>
      </c>
      <c r="D722" s="23" t="n">
        <v>12.3266297404902</v>
      </c>
      <c r="E722" s="13" t="str">
        <f aca="false">IF(B722&lt;5,"Acidic",IF(B722&lt;9,"Near-neutral","Alkaline"))</f>
        <v>Alkaline</v>
      </c>
    </row>
    <row r="723" customFormat="false" ht="15" hidden="false" customHeight="false" outlineLevel="0" collapsed="false">
      <c r="A723" s="23" t="n">
        <v>10.7753876938469</v>
      </c>
      <c r="B723" s="18" t="n">
        <v>11.5636011174708</v>
      </c>
      <c r="C723" s="23" t="n">
        <v>0.0476665851949747</v>
      </c>
      <c r="D723" s="23" t="n">
        <v>12.3266297404902</v>
      </c>
      <c r="E723" s="13" t="str">
        <f aca="false">IF(B723&lt;5,"Acidic",IF(B723&lt;9,"Near-neutral","Alkaline"))</f>
        <v>Alkaline</v>
      </c>
    </row>
    <row r="724" customFormat="false" ht="15" hidden="false" customHeight="false" outlineLevel="0" collapsed="false">
      <c r="A724" s="23" t="n">
        <v>10.7903951975988</v>
      </c>
      <c r="B724" s="18" t="n">
        <v>11.5643151995277</v>
      </c>
      <c r="C724" s="23" t="n">
        <v>0.0474988113204518</v>
      </c>
      <c r="D724" s="23" t="n">
        <v>12.3266297404902</v>
      </c>
      <c r="E724" s="13" t="str">
        <f aca="false">IF(B724&lt;5,"Acidic",IF(B724&lt;9,"Near-neutral","Alkaline"))</f>
        <v>Alkaline</v>
      </c>
    </row>
    <row r="725" customFormat="false" ht="15" hidden="false" customHeight="false" outlineLevel="0" collapsed="false">
      <c r="A725" s="23" t="n">
        <v>10.8054027013507</v>
      </c>
      <c r="B725" s="18" t="n">
        <v>11.5650267910747</v>
      </c>
      <c r="C725" s="23" t="n">
        <v>0.0473323877274652</v>
      </c>
      <c r="D725" s="23" t="n">
        <v>12.3266297404902</v>
      </c>
      <c r="E725" s="13" t="str">
        <f aca="false">IF(B725&lt;5,"Acidic",IF(B725&lt;9,"Near-neutral","Alkaline"))</f>
        <v>Alkaline</v>
      </c>
    </row>
    <row r="726" customFormat="false" ht="15" hidden="false" customHeight="false" outlineLevel="0" collapsed="false">
      <c r="A726" s="23" t="n">
        <v>10.8204102051026</v>
      </c>
      <c r="B726" s="18" t="n">
        <v>11.565735843278</v>
      </c>
      <c r="C726" s="23" t="n">
        <v>0.047162708077849</v>
      </c>
      <c r="D726" s="23" t="n">
        <v>12.3266297404902</v>
      </c>
      <c r="E726" s="13" t="str">
        <f aca="false">IF(B726&lt;5,"Acidic",IF(B726&lt;9,"Near-neutral","Alkaline"))</f>
        <v>Alkaline</v>
      </c>
    </row>
    <row r="727" customFormat="false" ht="15" hidden="false" customHeight="false" outlineLevel="0" collapsed="false">
      <c r="A727" s="23" t="n">
        <v>10.8354177088544</v>
      </c>
      <c r="B727" s="18" t="n">
        <v>11.5664424458838</v>
      </c>
      <c r="C727" s="23" t="n">
        <v>0.046999013973732</v>
      </c>
      <c r="D727" s="23" t="n">
        <v>12.3266297404902</v>
      </c>
      <c r="E727" s="13" t="str">
        <f aca="false">IF(B727&lt;5,"Acidic",IF(B727&lt;9,"Near-neutral","Alkaline"))</f>
        <v>Alkaline</v>
      </c>
    </row>
    <row r="728" customFormat="false" ht="15" hidden="false" customHeight="false" outlineLevel="0" collapsed="false">
      <c r="A728" s="23" t="n">
        <v>10.8504252126063</v>
      </c>
      <c r="B728" s="18" t="n">
        <v>11.5671465155128</v>
      </c>
      <c r="C728" s="23" t="n">
        <v>0.0468320780856857</v>
      </c>
      <c r="D728" s="23" t="n">
        <v>12.3266297404902</v>
      </c>
      <c r="E728" s="13" t="str">
        <f aca="false">IF(B728&lt;5,"Acidic",IF(B728&lt;9,"Near-neutral","Alkaline"))</f>
        <v>Alkaline</v>
      </c>
    </row>
    <row r="729" customFormat="false" ht="15" hidden="false" customHeight="false" outlineLevel="0" collapsed="false">
      <c r="A729" s="23" t="n">
        <v>10.8654327163582</v>
      </c>
      <c r="B729" s="18" t="n">
        <v>11.5678481424072</v>
      </c>
      <c r="C729" s="23" t="n">
        <v>0.0466711720343938</v>
      </c>
      <c r="D729" s="23" t="n">
        <v>12.3266297404902</v>
      </c>
      <c r="E729" s="13" t="str">
        <f aca="false">IF(B729&lt;5,"Acidic",IF(B729&lt;9,"Near-neutral","Alkaline"))</f>
        <v>Alkaline</v>
      </c>
    </row>
    <row r="730" customFormat="false" ht="15" hidden="false" customHeight="false" outlineLevel="0" collapsed="false">
      <c r="A730" s="23" t="n">
        <v>10.8804402201101</v>
      </c>
      <c r="B730" s="18" t="n">
        <v>11.5685473128635</v>
      </c>
      <c r="C730" s="23" t="n">
        <v>0.0465047129433742</v>
      </c>
      <c r="D730" s="23" t="n">
        <v>12.3266297404902</v>
      </c>
      <c r="E730" s="13" t="str">
        <f aca="false">IF(B730&lt;5,"Acidic",IF(B730&lt;9,"Near-neutral","Alkaline"))</f>
        <v>Alkaline</v>
      </c>
    </row>
    <row r="731" customFormat="false" ht="15" hidden="false" customHeight="false" outlineLevel="0" collapsed="false">
      <c r="A731" s="23" t="n">
        <v>10.8954477238619</v>
      </c>
      <c r="B731" s="18" t="n">
        <v>11.5692440481004</v>
      </c>
      <c r="C731" s="23" t="n">
        <v>0.0463466458368202</v>
      </c>
      <c r="D731" s="23" t="n">
        <v>12.3266297404902</v>
      </c>
      <c r="E731" s="13" t="str">
        <f aca="false">IF(B731&lt;5,"Acidic",IF(B731&lt;9,"Near-neutral","Alkaline"))</f>
        <v>Alkaline</v>
      </c>
    </row>
    <row r="732" customFormat="false" ht="15" hidden="false" customHeight="false" outlineLevel="0" collapsed="false">
      <c r="A732" s="23" t="n">
        <v>10.9104552276138</v>
      </c>
      <c r="B732" s="18" t="n">
        <v>11.5699383345717</v>
      </c>
      <c r="C732" s="23" t="n">
        <v>0.046180699506067</v>
      </c>
      <c r="D732" s="23" t="n">
        <v>12.3266297404902</v>
      </c>
      <c r="E732" s="13" t="str">
        <f aca="false">IF(B732&lt;5,"Acidic",IF(B732&lt;9,"Near-neutral","Alkaline"))</f>
        <v>Alkaline</v>
      </c>
    </row>
    <row r="733" customFormat="false" ht="15" hidden="false" customHeight="false" outlineLevel="0" collapsed="false">
      <c r="A733" s="23" t="n">
        <v>10.9254627313657</v>
      </c>
      <c r="B733" s="18" t="n">
        <v>11.5706302288049</v>
      </c>
      <c r="C733" s="23" t="n">
        <v>0.0460231854718813</v>
      </c>
      <c r="D733" s="23" t="n">
        <v>12.3266297404902</v>
      </c>
      <c r="E733" s="13" t="str">
        <f aca="false">IF(B733&lt;5,"Acidic",IF(B733&lt;9,"Near-neutral","Alkaline"))</f>
        <v>Alkaline</v>
      </c>
    </row>
    <row r="734" customFormat="false" ht="15" hidden="false" customHeight="false" outlineLevel="0" collapsed="false">
      <c r="A734" s="23" t="n">
        <v>10.9404702351176</v>
      </c>
      <c r="B734" s="18" t="n">
        <v>11.5713197175788</v>
      </c>
      <c r="C734" s="23" t="n">
        <v>0.0458648014387109</v>
      </c>
      <c r="D734" s="23" t="n">
        <v>12.3266297404902</v>
      </c>
      <c r="E734" s="13" t="str">
        <f aca="false">IF(B734&lt;5,"Acidic",IF(B734&lt;9,"Near-neutral","Alkaline"))</f>
        <v>Alkaline</v>
      </c>
    </row>
    <row r="735" customFormat="false" ht="15" hidden="false" customHeight="false" outlineLevel="0" collapsed="false">
      <c r="A735" s="23" t="n">
        <v>10.9554777388694</v>
      </c>
      <c r="B735" s="18" t="n">
        <v>11.5720067876674</v>
      </c>
      <c r="C735" s="23" t="n">
        <v>0.0457032030168421</v>
      </c>
      <c r="D735" s="23" t="n">
        <v>12.3266297404902</v>
      </c>
      <c r="E735" s="13" t="str">
        <f aca="false">IF(B735&lt;5,"Acidic",IF(B735&lt;9,"Near-neutral","Alkaline"))</f>
        <v>Alkaline</v>
      </c>
    </row>
    <row r="736" customFormat="false" ht="15" hidden="false" customHeight="false" outlineLevel="0" collapsed="false">
      <c r="A736" s="23" t="n">
        <v>10.9704852426213</v>
      </c>
      <c r="B736" s="18" t="n">
        <v>11.5726915314581</v>
      </c>
      <c r="C736" s="23" t="n">
        <v>0.0455454183370421</v>
      </c>
      <c r="D736" s="23" t="n">
        <v>12.3266297404902</v>
      </c>
      <c r="E736" s="13" t="str">
        <f aca="false">IF(B736&lt;5,"Acidic",IF(B736&lt;9,"Near-neutral","Alkaline"))</f>
        <v>Alkaline</v>
      </c>
    </row>
    <row r="737" customFormat="false" ht="15" hidden="false" customHeight="false" outlineLevel="0" collapsed="false">
      <c r="A737" s="23" t="n">
        <v>10.9854927463732</v>
      </c>
      <c r="B737" s="18" t="n">
        <v>11.573373900954</v>
      </c>
      <c r="C737" s="23" t="n">
        <v>0.0453914766557091</v>
      </c>
      <c r="D737" s="23" t="n">
        <v>12.3266297404902</v>
      </c>
      <c r="E737" s="13" t="str">
        <f aca="false">IF(B737&lt;5,"Acidic",IF(B737&lt;9,"Near-neutral","Alkaline"))</f>
        <v>Alkaline</v>
      </c>
    </row>
    <row r="738" customFormat="false" ht="15" hidden="false" customHeight="false" outlineLevel="0" collapsed="false">
      <c r="A738" s="23" t="n">
        <v>11.0005002501251</v>
      </c>
      <c r="B738" s="18" t="n">
        <v>11.5740538832485</v>
      </c>
      <c r="C738" s="23" t="n">
        <v>0.0452343418327246</v>
      </c>
      <c r="D738" s="23" t="n">
        <v>12.3266297404902</v>
      </c>
      <c r="E738" s="13" t="str">
        <f aca="false">IF(B738&lt;5,"Acidic",IF(B738&lt;9,"Near-neutral","Alkaline"))</f>
        <v>Alkaline</v>
      </c>
    </row>
    <row r="739" customFormat="false" ht="15" hidden="false" customHeight="false" outlineLevel="0" collapsed="false">
      <c r="A739" s="23" t="n">
        <v>11.0155077538769</v>
      </c>
      <c r="B739" s="18" t="n">
        <v>11.5747315715465</v>
      </c>
      <c r="C739" s="23" t="n">
        <v>0.0450763576375266</v>
      </c>
      <c r="D739" s="23" t="n">
        <v>12.3266297404902</v>
      </c>
      <c r="E739" s="13" t="str">
        <f aca="false">IF(B739&lt;5,"Acidic",IF(B739&lt;9,"Near-neutral","Alkaline"))</f>
        <v>Alkaline</v>
      </c>
    </row>
    <row r="740" customFormat="false" ht="15" hidden="false" customHeight="false" outlineLevel="0" collapsed="false">
      <c r="A740" s="23" t="n">
        <v>11.0305152576288</v>
      </c>
      <c r="B740" s="18" t="n">
        <v>11.5754069534299</v>
      </c>
      <c r="C740" s="23" t="n">
        <v>0.0449246111390949</v>
      </c>
      <c r="D740" s="23" t="n">
        <v>12.3266297404902</v>
      </c>
      <c r="E740" s="13" t="str">
        <f aca="false">IF(B740&lt;5,"Acidic",IF(B740&lt;9,"Near-neutral","Alkaline"))</f>
        <v>Alkaline</v>
      </c>
    </row>
    <row r="741" customFormat="false" ht="15" hidden="false" customHeight="false" outlineLevel="0" collapsed="false">
      <c r="A741" s="23" t="n">
        <v>11.0455227613807</v>
      </c>
      <c r="B741" s="18" t="n">
        <v>11.5760799809945</v>
      </c>
      <c r="C741" s="23" t="n">
        <v>0.0447720477520761</v>
      </c>
      <c r="D741" s="23" t="n">
        <v>12.3266297404902</v>
      </c>
      <c r="E741" s="13" t="str">
        <f aca="false">IF(B741&lt;5,"Acidic",IF(B741&lt;9,"Near-neutral","Alkaline"))</f>
        <v>Alkaline</v>
      </c>
    </row>
    <row r="742" customFormat="false" ht="15" hidden="false" customHeight="false" outlineLevel="0" collapsed="false">
      <c r="A742" s="23" t="n">
        <v>11.0605302651326</v>
      </c>
      <c r="B742" s="18" t="n">
        <v>11.576750748259</v>
      </c>
      <c r="C742" s="23" t="n">
        <v>0.0446186671906617</v>
      </c>
      <c r="D742" s="23" t="n">
        <v>12.3266297404902</v>
      </c>
      <c r="E742" s="13" t="str">
        <f aca="false">IF(B742&lt;5,"Acidic",IF(B742&lt;9,"Near-neutral","Alkaline"))</f>
        <v>Alkaline</v>
      </c>
    </row>
    <row r="743" customFormat="false" ht="15" hidden="false" customHeight="false" outlineLevel="0" collapsed="false">
      <c r="A743" s="23" t="n">
        <v>11.0755377688844</v>
      </c>
      <c r="B743" s="18" t="n">
        <v>11.5774192431221</v>
      </c>
      <c r="C743" s="23" t="n">
        <v>0.0444668425919872</v>
      </c>
      <c r="D743" s="23" t="n">
        <v>12.3266297404902</v>
      </c>
      <c r="E743" s="13" t="str">
        <f aca="false">IF(B743&lt;5,"Acidic",IF(B743&lt;9,"Near-neutral","Alkaline"))</f>
        <v>Alkaline</v>
      </c>
    </row>
    <row r="744" customFormat="false" ht="15" hidden="false" customHeight="false" outlineLevel="0" collapsed="false">
      <c r="A744" s="23" t="n">
        <v>11.0905452726363</v>
      </c>
      <c r="B744" s="18" t="n">
        <v>11.5780854178326</v>
      </c>
      <c r="C744" s="23" t="n">
        <v>0.0443165882903713</v>
      </c>
      <c r="D744" s="23" t="n">
        <v>12.3266297404902</v>
      </c>
      <c r="E744" s="13" t="str">
        <f aca="false">IF(B744&lt;5,"Acidic",IF(B744&lt;9,"Near-neutral","Alkaline"))</f>
        <v>Alkaline</v>
      </c>
    </row>
    <row r="745" customFormat="false" ht="15" hidden="false" customHeight="false" outlineLevel="0" collapsed="false">
      <c r="A745" s="23" t="n">
        <v>11.1055527763882</v>
      </c>
      <c r="B745" s="18" t="n">
        <v>11.5787493672196</v>
      </c>
      <c r="C745" s="23" t="n">
        <v>0.0441631572753067</v>
      </c>
      <c r="D745" s="23" t="n">
        <v>12.3266297404902</v>
      </c>
      <c r="E745" s="13" t="str">
        <f aca="false">IF(B745&lt;5,"Acidic",IF(B745&lt;9,"Near-neutral","Alkaline"))</f>
        <v>Alkaline</v>
      </c>
    </row>
    <row r="746" customFormat="false" ht="15" hidden="false" customHeight="false" outlineLevel="0" collapsed="false">
      <c r="A746" s="23" t="n">
        <v>11.1205602801401</v>
      </c>
      <c r="B746" s="18" t="n">
        <v>11.579411043743</v>
      </c>
      <c r="C746" s="23" t="n">
        <v>0.0440184562228296</v>
      </c>
      <c r="D746" s="23" t="n">
        <v>12.3266297404902</v>
      </c>
      <c r="E746" s="13" t="str">
        <f aca="false">IF(B746&lt;5,"Acidic",IF(B746&lt;9,"Near-neutral","Alkaline"))</f>
        <v>Alkaline</v>
      </c>
    </row>
    <row r="747" customFormat="false" ht="15" hidden="false" customHeight="false" outlineLevel="0" collapsed="false">
      <c r="A747" s="23" t="n">
        <v>11.135567783892</v>
      </c>
      <c r="B747" s="18" t="n">
        <v>11.5800705070696</v>
      </c>
      <c r="C747" s="23" t="n">
        <v>0.0438682154724575</v>
      </c>
      <c r="D747" s="23" t="n">
        <v>12.3266297404902</v>
      </c>
      <c r="E747" s="13" t="str">
        <f aca="false">IF(B747&lt;5,"Acidic",IF(B747&lt;9,"Near-neutral","Alkaline"))</f>
        <v>Alkaline</v>
      </c>
    </row>
    <row r="748" customFormat="false" ht="15" hidden="false" customHeight="false" outlineLevel="0" collapsed="false">
      <c r="A748" s="23" t="n">
        <v>11.1505752876438</v>
      </c>
      <c r="B748" s="18" t="n">
        <v>11.5807277455704</v>
      </c>
      <c r="C748" s="23" t="n">
        <v>0.0437195803820032</v>
      </c>
      <c r="D748" s="23" t="n">
        <v>12.3266297404902</v>
      </c>
      <c r="E748" s="13" t="str">
        <f aca="false">IF(B748&lt;5,"Acidic",IF(B748&lt;9,"Near-neutral","Alkaline"))</f>
        <v>Alkaline</v>
      </c>
    </row>
    <row r="749" customFormat="false" ht="15" hidden="false" customHeight="false" outlineLevel="0" collapsed="false">
      <c r="A749" s="23" t="n">
        <v>11.1655827913957</v>
      </c>
      <c r="B749" s="18" t="n">
        <v>11.5813827835307</v>
      </c>
      <c r="C749" s="23" t="n">
        <v>0.0435725651981329</v>
      </c>
      <c r="D749" s="23" t="n">
        <v>12.3266297404902</v>
      </c>
      <c r="E749" s="13" t="str">
        <f aca="false">IF(B749&lt;5,"Acidic",IF(B749&lt;9,"Near-neutral","Alkaline"))</f>
        <v>Alkaline</v>
      </c>
    </row>
    <row r="750" customFormat="false" ht="15" hidden="false" customHeight="false" outlineLevel="0" collapsed="false">
      <c r="A750" s="23" t="n">
        <v>11.1805902951476</v>
      </c>
      <c r="B750" s="18" t="n">
        <v>11.5820356094772</v>
      </c>
      <c r="C750" s="23" t="n">
        <v>0.0434271841339751</v>
      </c>
      <c r="D750" s="23" t="n">
        <v>12.3266297404902</v>
      </c>
      <c r="E750" s="13" t="str">
        <f aca="false">IF(B750&lt;5,"Acidic",IF(B750&lt;9,"Near-neutral","Alkaline"))</f>
        <v>Alkaline</v>
      </c>
    </row>
    <row r="751" customFormat="false" ht="15" hidden="false" customHeight="false" outlineLevel="0" collapsed="false">
      <c r="A751" s="23" t="n">
        <v>11.1955977988995</v>
      </c>
      <c r="B751" s="18" t="n">
        <v>11.5826862479594</v>
      </c>
      <c r="C751" s="23" t="n">
        <v>0.0432810490692646</v>
      </c>
      <c r="D751" s="23" t="n">
        <v>12.3266297404902</v>
      </c>
      <c r="E751" s="13" t="str">
        <f aca="false">IF(B751&lt;5,"Acidic",IF(B751&lt;9,"Near-neutral","Alkaline"))</f>
        <v>Alkaline</v>
      </c>
    </row>
    <row r="752" customFormat="false" ht="15" hidden="false" customHeight="false" outlineLevel="0" collapsed="false">
      <c r="A752" s="23" t="n">
        <v>11.2106053026513</v>
      </c>
      <c r="B752" s="18" t="n">
        <v>11.5833346876602</v>
      </c>
      <c r="C752" s="23" t="n">
        <v>0.0431365656941125</v>
      </c>
      <c r="D752" s="23" t="n">
        <v>12.3266297404902</v>
      </c>
      <c r="E752" s="13" t="str">
        <f aca="false">IF(B752&lt;5,"Acidic",IF(B752&lt;9,"Near-neutral","Alkaline"))</f>
        <v>Alkaline</v>
      </c>
    </row>
    <row r="753" customFormat="false" ht="15" hidden="false" customHeight="false" outlineLevel="0" collapsed="false">
      <c r="A753" s="23" t="n">
        <v>11.2256128064032</v>
      </c>
      <c r="B753" s="18" t="n">
        <v>11.583981025659</v>
      </c>
      <c r="C753" s="23" t="n">
        <v>0.0429937481561638</v>
      </c>
      <c r="D753" s="23" t="n">
        <v>12.3266297404902</v>
      </c>
      <c r="E753" s="13" t="str">
        <f aca="false">IF(B753&lt;5,"Acidic",IF(B753&lt;9,"Near-neutral","Alkaline"))</f>
        <v>Alkaline</v>
      </c>
    </row>
    <row r="754" customFormat="false" ht="15" hidden="false" customHeight="false" outlineLevel="0" collapsed="false">
      <c r="A754" s="23" t="n">
        <v>11.2406203101551</v>
      </c>
      <c r="B754" s="18" t="n">
        <v>11.5846251425564</v>
      </c>
      <c r="C754" s="23" t="n">
        <v>0.0428501975386553</v>
      </c>
      <c r="D754" s="23" t="n">
        <v>12.3266297404902</v>
      </c>
      <c r="E754" s="13" t="str">
        <f aca="false">IF(B754&lt;5,"Acidic",IF(B754&lt;9,"Near-neutral","Alkaline"))</f>
        <v>Alkaline</v>
      </c>
    </row>
    <row r="755" customFormat="false" ht="15" hidden="false" customHeight="false" outlineLevel="0" collapsed="false">
      <c r="A755" s="23" t="n">
        <v>11.255627813907</v>
      </c>
      <c r="B755" s="18" t="n">
        <v>11.5852671719889</v>
      </c>
      <c r="C755" s="23" t="n">
        <v>0.0427083302557776</v>
      </c>
      <c r="D755" s="23" t="n">
        <v>12.3266297404902</v>
      </c>
      <c r="E755" s="13" t="str">
        <f aca="false">IF(B755&lt;5,"Acidic",IF(B755&lt;9,"Near-neutral","Alkaline"))</f>
        <v>Alkaline</v>
      </c>
    </row>
    <row r="756" customFormat="false" ht="15" hidden="false" customHeight="false" outlineLevel="0" collapsed="false">
      <c r="A756" s="23" t="n">
        <v>11.2706353176588</v>
      </c>
      <c r="B756" s="18" t="n">
        <v>11.5859070306845</v>
      </c>
      <c r="C756" s="23" t="n">
        <v>0.0425657402373645</v>
      </c>
      <c r="D756" s="23" t="n">
        <v>12.3266297404902</v>
      </c>
      <c r="E756" s="13" t="str">
        <f aca="false">IF(B756&lt;5,"Acidic",IF(B756&lt;9,"Near-neutral","Alkaline"))</f>
        <v>Alkaline</v>
      </c>
    </row>
    <row r="757" customFormat="false" ht="15" hidden="false" customHeight="false" outlineLevel="0" collapsed="false">
      <c r="A757" s="23" t="n">
        <v>11.2856428214107</v>
      </c>
      <c r="B757" s="18" t="n">
        <v>11.5865448166765</v>
      </c>
      <c r="C757" s="23" t="n">
        <v>0.0424272747263785</v>
      </c>
      <c r="D757" s="23" t="n">
        <v>12.3266297404902</v>
      </c>
      <c r="E757" s="13" t="str">
        <f aca="false">IF(B757&lt;5,"Acidic",IF(B757&lt;9,"Near-neutral","Alkaline"))</f>
        <v>Alkaline</v>
      </c>
    </row>
    <row r="758" customFormat="false" ht="15" hidden="false" customHeight="false" outlineLevel="0" collapsed="false">
      <c r="A758" s="23" t="n">
        <v>11.3006503251626</v>
      </c>
      <c r="B758" s="18" t="n">
        <v>11.5871804466339</v>
      </c>
      <c r="C758" s="23" t="n">
        <v>0.0422856802116485</v>
      </c>
      <c r="D758" s="23" t="n">
        <v>12.3266297404902</v>
      </c>
      <c r="E758" s="13" t="str">
        <f aca="false">IF(B758&lt;5,"Acidic",IF(B758&lt;9,"Near-neutral","Alkaline"))</f>
        <v>Alkaline</v>
      </c>
    </row>
    <row r="759" customFormat="false" ht="15" hidden="false" customHeight="false" outlineLevel="0" collapsed="false">
      <c r="A759" s="23" t="n">
        <v>11.3156578289145</v>
      </c>
      <c r="B759" s="18" t="n">
        <v>11.5878140190651</v>
      </c>
      <c r="C759" s="23" t="n">
        <v>0.0421458039282925</v>
      </c>
      <c r="D759" s="23" t="n">
        <v>12.3266297404902</v>
      </c>
      <c r="E759" s="13" t="str">
        <f aca="false">IF(B759&lt;5,"Acidic",IF(B759&lt;9,"Near-neutral","Alkaline"))</f>
        <v>Alkaline</v>
      </c>
    </row>
    <row r="760" customFormat="false" ht="15" hidden="false" customHeight="false" outlineLevel="0" collapsed="false">
      <c r="A760" s="23" t="n">
        <v>11.3306653326663</v>
      </c>
      <c r="B760" s="18" t="n">
        <v>11.5884454870876</v>
      </c>
      <c r="C760" s="23" t="n">
        <v>0.0420076598888954</v>
      </c>
      <c r="D760" s="23" t="n">
        <v>12.3266297404902</v>
      </c>
      <c r="E760" s="13" t="str">
        <f aca="false">IF(B760&lt;5,"Acidic",IF(B760&lt;9,"Near-neutral","Alkaline"))</f>
        <v>Alkaline</v>
      </c>
    </row>
    <row r="761" customFormat="false" ht="15" hidden="false" customHeight="false" outlineLevel="0" collapsed="false">
      <c r="A761" s="23" t="n">
        <v>11.3456728364182</v>
      </c>
      <c r="B761" s="18" t="n">
        <v>11.5890748767235</v>
      </c>
      <c r="C761" s="23" t="n">
        <v>0.0418712620689803</v>
      </c>
      <c r="D761" s="23" t="n">
        <v>12.3266297404902</v>
      </c>
      <c r="E761" s="13" t="str">
        <f aca="false">IF(B761&lt;5,"Acidic",IF(B761&lt;9,"Near-neutral","Alkaline"))</f>
        <v>Alkaline</v>
      </c>
    </row>
    <row r="762" customFormat="false" ht="15" hidden="false" customHeight="false" outlineLevel="0" collapsed="false">
      <c r="A762" s="23" t="n">
        <v>11.3606803401701</v>
      </c>
      <c r="B762" s="18" t="n">
        <v>11.5897022142044</v>
      </c>
      <c r="C762" s="23" t="n">
        <v>0.0417317416935248</v>
      </c>
      <c r="D762" s="23" t="n">
        <v>12.3266297404902</v>
      </c>
      <c r="E762" s="13" t="str">
        <f aca="false">IF(B762&lt;5,"Acidic",IF(B762&lt;9,"Near-neutral","Alkaline"))</f>
        <v>Alkaline</v>
      </c>
    </row>
    <row r="763" customFormat="false" ht="15" hidden="false" customHeight="false" outlineLevel="0" collapsed="false">
      <c r="A763" s="23" t="n">
        <v>11.375687843922</v>
      </c>
      <c r="B763" s="18" t="n">
        <v>11.5903274893064</v>
      </c>
      <c r="C763" s="23" t="n">
        <v>0.0415988640430669</v>
      </c>
      <c r="D763" s="23" t="n">
        <v>12.3266297404902</v>
      </c>
      <c r="E763" s="13" t="str">
        <f aca="false">IF(B763&lt;5,"Acidic",IF(B763&lt;9,"Near-neutral","Alkaline"))</f>
        <v>Alkaline</v>
      </c>
    </row>
    <row r="764" customFormat="false" ht="15" hidden="false" customHeight="false" outlineLevel="0" collapsed="false">
      <c r="A764" s="23" t="n">
        <v>11.3906953476738</v>
      </c>
      <c r="B764" s="18" t="n">
        <v>11.5909507285208</v>
      </c>
      <c r="C764" s="23" t="n">
        <v>0.0414579808585813</v>
      </c>
      <c r="D764" s="23" t="n">
        <v>12.3266297404902</v>
      </c>
      <c r="E764" s="13" t="str">
        <f aca="false">IF(B764&lt;5,"Acidic",IF(B764&lt;9,"Near-neutral","Alkaline"))</f>
        <v>Alkaline</v>
      </c>
    </row>
    <row r="765" customFormat="false" ht="15" hidden="false" customHeight="false" outlineLevel="0" collapsed="false">
      <c r="A765" s="23" t="n">
        <v>11.4057028514257</v>
      </c>
      <c r="B765" s="18" t="n">
        <v>11.5915719585482</v>
      </c>
      <c r="C765" s="23" t="n">
        <v>0.0413286649642259</v>
      </c>
      <c r="D765" s="23" t="n">
        <v>12.3266297404902</v>
      </c>
      <c r="E765" s="13" t="str">
        <f aca="false">IF(B765&lt;5,"Acidic",IF(B765&lt;9,"Near-neutral","Alkaline"))</f>
        <v>Alkaline</v>
      </c>
    </row>
    <row r="766" customFormat="false" ht="15" hidden="false" customHeight="false" outlineLevel="0" collapsed="false">
      <c r="A766" s="23" t="n">
        <v>11.4207103551776</v>
      </c>
      <c r="B766" s="18" t="n">
        <v>11.5921911694739</v>
      </c>
      <c r="C766" s="23" t="n">
        <v>0.041191343260607</v>
      </c>
      <c r="D766" s="23" t="n">
        <v>12.3266297404902</v>
      </c>
      <c r="E766" s="13" t="str">
        <f aca="false">IF(B766&lt;5,"Acidic",IF(B766&lt;9,"Near-neutral","Alkaline"))</f>
        <v>Alkaline</v>
      </c>
    </row>
    <row r="767" customFormat="false" ht="15" hidden="false" customHeight="false" outlineLevel="0" collapsed="false">
      <c r="A767" s="23" t="n">
        <v>11.4357178589295</v>
      </c>
      <c r="B767" s="18" t="n">
        <v>11.5928083145066</v>
      </c>
      <c r="C767" s="23" t="n">
        <v>0.0410582679761546</v>
      </c>
      <c r="D767" s="23" t="n">
        <v>12.3266297404902</v>
      </c>
      <c r="E767" s="13" t="str">
        <f aca="false">IF(B767&lt;5,"Acidic",IF(B767&lt;9,"Near-neutral","Alkaline"))</f>
        <v>Alkaline</v>
      </c>
    </row>
    <row r="768" customFormat="false" ht="15" hidden="false" customHeight="false" outlineLevel="0" collapsed="false">
      <c r="A768" s="23" t="n">
        <v>11.4507253626813</v>
      </c>
      <c r="B768" s="18" t="n">
        <v>11.593423531281</v>
      </c>
      <c r="C768" s="23" t="n">
        <v>0.0409245422322329</v>
      </c>
      <c r="D768" s="23" t="n">
        <v>12.3266297404902</v>
      </c>
      <c r="E768" s="13" t="str">
        <f aca="false">IF(B768&lt;5,"Acidic",IF(B768&lt;9,"Near-neutral","Alkaline"))</f>
        <v>Alkaline</v>
      </c>
    </row>
    <row r="769" customFormat="false" ht="15" hidden="false" customHeight="false" outlineLevel="0" collapsed="false">
      <c r="A769" s="23" t="n">
        <v>11.4657328664332</v>
      </c>
      <c r="B769" s="18" t="n">
        <v>11.5940366624296</v>
      </c>
      <c r="C769" s="23" t="n">
        <v>0.0407901659235677</v>
      </c>
      <c r="D769" s="23" t="n">
        <v>12.3266297404902</v>
      </c>
      <c r="E769" s="13" t="str">
        <f aca="false">IF(B769&lt;5,"Acidic",IF(B769&lt;9,"Near-neutral","Alkaline"))</f>
        <v>Alkaline</v>
      </c>
    </row>
    <row r="770" customFormat="false" ht="15" hidden="false" customHeight="false" outlineLevel="0" collapsed="false">
      <c r="A770" s="23" t="n">
        <v>11.4807403701851</v>
      </c>
      <c r="B770" s="18" t="n">
        <v>11.5946479200654</v>
      </c>
      <c r="C770" s="23" t="n">
        <v>0.0406650160557547</v>
      </c>
      <c r="D770" s="23" t="n">
        <v>12.3266297404902</v>
      </c>
      <c r="E770" s="13" t="str">
        <f aca="false">IF(B770&lt;5,"Acidic",IF(B770&lt;9,"Near-neutral","Alkaline"))</f>
        <v>Alkaline</v>
      </c>
    </row>
    <row r="771" customFormat="false" ht="15" hidden="false" customHeight="false" outlineLevel="0" collapsed="false">
      <c r="A771" s="23" t="n">
        <v>11.495747873937</v>
      </c>
      <c r="B771" s="18" t="n">
        <v>11.595257146713</v>
      </c>
      <c r="C771" s="23" t="n">
        <v>0.0405293660846837</v>
      </c>
      <c r="D771" s="23" t="n">
        <v>12.3266297404902</v>
      </c>
      <c r="E771" s="13" t="str">
        <f aca="false">IF(B771&lt;5,"Acidic",IF(B771&lt;9,"Near-neutral","Alkaline"))</f>
        <v>Alkaline</v>
      </c>
    </row>
    <row r="772" customFormat="false" ht="15" hidden="false" customHeight="false" outlineLevel="0" collapsed="false">
      <c r="A772" s="23" t="n">
        <v>11.5107553776889</v>
      </c>
      <c r="B772" s="18" t="n">
        <v>11.5958644068767</v>
      </c>
      <c r="C772" s="23" t="n">
        <v>0.0404029700508772</v>
      </c>
      <c r="D772" s="23" t="n">
        <v>12.3266297404902</v>
      </c>
      <c r="E772" s="13" t="str">
        <f aca="false">IF(B772&lt;5,"Acidic",IF(B772&lt;9,"Near-neutral","Alkaline"))</f>
        <v>Alkaline</v>
      </c>
    </row>
    <row r="773" customFormat="false" ht="15" hidden="false" customHeight="false" outlineLevel="0" collapsed="false">
      <c r="A773" s="23" t="n">
        <v>11.5257628814407</v>
      </c>
      <c r="B773" s="18" t="n">
        <v>11.5964697654752</v>
      </c>
      <c r="C773" s="23" t="n">
        <v>0.0402660460340485</v>
      </c>
      <c r="D773" s="23" t="n">
        <v>12.3266297404902</v>
      </c>
      <c r="E773" s="13" t="str">
        <f aca="false">IF(B773&lt;5,"Acidic",IF(B773&lt;9,"Near-neutral","Alkaline"))</f>
        <v>Alkaline</v>
      </c>
    </row>
    <row r="774" customFormat="false" ht="15" hidden="false" customHeight="false" outlineLevel="0" collapsed="false">
      <c r="A774" s="23" t="n">
        <v>11.5407703851926</v>
      </c>
      <c r="B774" s="18" t="n">
        <v>11.5970732133613</v>
      </c>
      <c r="C774" s="23" t="n">
        <v>0.0401433696000595</v>
      </c>
      <c r="D774" s="23" t="n">
        <v>12.3266297404902</v>
      </c>
      <c r="E774" s="13" t="str">
        <f aca="false">IF(B774&lt;5,"Acidic",IF(B774&lt;9,"Near-neutral","Alkaline"))</f>
        <v>Alkaline</v>
      </c>
    </row>
    <row r="775" customFormat="false" ht="15" hidden="false" customHeight="false" outlineLevel="0" collapsed="false">
      <c r="A775" s="23" t="n">
        <v>11.5557778889445</v>
      </c>
      <c r="B775" s="18" t="n">
        <v>11.5976746668051</v>
      </c>
      <c r="C775" s="23" t="n">
        <v>0.0400151311383752</v>
      </c>
      <c r="D775" s="23" t="n">
        <v>12.3266297404902</v>
      </c>
      <c r="E775" s="13" t="str">
        <f aca="false">IF(B775&lt;5,"Acidic",IF(B775&lt;9,"Near-neutral","Alkaline"))</f>
        <v>Alkaline</v>
      </c>
    </row>
    <row r="776" customFormat="false" ht="15" hidden="false" customHeight="false" outlineLevel="0" collapsed="false">
      <c r="A776" s="23" t="n">
        <v>11.5707853926964</v>
      </c>
      <c r="B776" s="18" t="n">
        <v>11.5982741910313</v>
      </c>
      <c r="C776" s="23" t="n">
        <v>0.0398862829329119</v>
      </c>
      <c r="D776" s="23" t="n">
        <v>12.3266297404902</v>
      </c>
      <c r="E776" s="13" t="str">
        <f aca="false">IF(B776&lt;5,"Acidic",IF(B776&lt;9,"Near-neutral","Alkaline"))</f>
        <v>Alkaline</v>
      </c>
    </row>
    <row r="777" customFormat="false" ht="15" hidden="false" customHeight="false" outlineLevel="0" collapsed="false">
      <c r="A777" s="23" t="n">
        <v>11.5857928964482</v>
      </c>
      <c r="B777" s="18" t="n">
        <v>11.5988718516759</v>
      </c>
      <c r="C777" s="23" t="n">
        <v>0.0397568249162532</v>
      </c>
      <c r="D777" s="23" t="n">
        <v>12.3266297404902</v>
      </c>
      <c r="E777" s="13" t="str">
        <f aca="false">IF(B777&lt;5,"Acidic",IF(B777&lt;9,"Near-neutral","Alkaline"))</f>
        <v>Alkaline</v>
      </c>
    </row>
    <row r="778" customFormat="false" ht="15" hidden="false" customHeight="false" outlineLevel="0" collapsed="false">
      <c r="A778" s="23" t="n">
        <v>11.6008004002001</v>
      </c>
      <c r="B778" s="18" t="n">
        <v>11.5994675650054</v>
      </c>
      <c r="C778" s="23" t="n">
        <v>0.0396367441753682</v>
      </c>
      <c r="D778" s="23" t="n">
        <v>12.3266297404902</v>
      </c>
      <c r="E778" s="13" t="str">
        <f aca="false">IF(B778&lt;5,"Acidic",IF(B778&lt;9,"Near-neutral","Alkaline"))</f>
        <v>Alkaline</v>
      </c>
    </row>
    <row r="779" customFormat="false" ht="15" hidden="false" customHeight="false" outlineLevel="0" collapsed="false">
      <c r="A779" s="23" t="n">
        <v>11.615807903952</v>
      </c>
      <c r="B779" s="18" t="n">
        <v>11.6000613968589</v>
      </c>
      <c r="C779" s="23" t="n">
        <v>0.0395060937080416</v>
      </c>
      <c r="D779" s="23" t="n">
        <v>12.3266297404902</v>
      </c>
      <c r="E779" s="13" t="str">
        <f aca="false">IF(B779&lt;5,"Acidic",IF(B779&lt;9,"Near-neutral","Alkaline"))</f>
        <v>Alkaline</v>
      </c>
    </row>
    <row r="780" customFormat="false" ht="15" hidden="false" customHeight="false" outlineLevel="0" collapsed="false">
      <c r="A780" s="23" t="n">
        <v>11.6308154077039</v>
      </c>
      <c r="B780" s="18" t="n">
        <v>11.6006534134848</v>
      </c>
      <c r="C780" s="23" t="n">
        <v>0.0393848476803669</v>
      </c>
      <c r="D780" s="23" t="n">
        <v>12.3266297404902</v>
      </c>
      <c r="E780" s="13" t="str">
        <f aca="false">IF(B780&lt;5,"Acidic",IF(B780&lt;9,"Near-neutral","Alkaline"))</f>
        <v>Alkaline</v>
      </c>
    </row>
    <row r="781" customFormat="false" ht="15" hidden="false" customHeight="false" outlineLevel="0" collapsed="false">
      <c r="A781" s="23" t="n">
        <v>11.6458229114557</v>
      </c>
      <c r="B781" s="18" t="n">
        <v>11.6012435311456</v>
      </c>
      <c r="C781" s="23" t="n">
        <v>0.0392580185024372</v>
      </c>
      <c r="D781" s="23" t="n">
        <v>12.3266297404902</v>
      </c>
      <c r="E781" s="13" t="str">
        <f aca="false">IF(B781&lt;5,"Acidic",IF(B781&lt;9,"Near-neutral","Alkaline"))</f>
        <v>Alkaline</v>
      </c>
    </row>
    <row r="782" customFormat="false" ht="15" hidden="false" customHeight="false" outlineLevel="0" collapsed="false">
      <c r="A782" s="23" t="n">
        <v>11.6608304152076</v>
      </c>
      <c r="B782" s="18" t="n">
        <v>11.6018317409926</v>
      </c>
      <c r="C782" s="23" t="n">
        <v>0.0391356204886506</v>
      </c>
      <c r="D782" s="23" t="n">
        <v>12.3266297404902</v>
      </c>
      <c r="E782" s="13" t="str">
        <f aca="false">IF(B782&lt;5,"Acidic",IF(B782&lt;9,"Near-neutral","Alkaline"))</f>
        <v>Alkaline</v>
      </c>
    </row>
    <row r="783" customFormat="false" ht="15" hidden="false" customHeight="false" outlineLevel="0" collapsed="false">
      <c r="A783" s="23" t="n">
        <v>11.6758379189595</v>
      </c>
      <c r="B783" s="18" t="n">
        <v>11.6024181095774</v>
      </c>
      <c r="C783" s="23" t="n">
        <v>0.0390076256090879</v>
      </c>
      <c r="D783" s="23" t="n">
        <v>12.3266297404902</v>
      </c>
      <c r="E783" s="13" t="str">
        <f aca="false">IF(B783&lt;5,"Acidic",IF(B783&lt;9,"Near-neutral","Alkaline"))</f>
        <v>Alkaline</v>
      </c>
    </row>
    <row r="784" customFormat="false" ht="15" hidden="false" customHeight="false" outlineLevel="0" collapsed="false">
      <c r="A784" s="23" t="n">
        <v>11.6908454227114</v>
      </c>
      <c r="B784" s="18" t="n">
        <v>11.6030027038576</v>
      </c>
      <c r="C784" s="23" t="n">
        <v>0.0388891096994257</v>
      </c>
      <c r="D784" s="23" t="n">
        <v>12.3266297404902</v>
      </c>
      <c r="E784" s="13" t="str">
        <f aca="false">IF(B784&lt;5,"Acidic",IF(B784&lt;9,"Near-neutral","Alkaline"))</f>
        <v>Alkaline</v>
      </c>
    </row>
    <row r="785" customFormat="false" ht="15" hidden="false" customHeight="false" outlineLevel="0" collapsed="false">
      <c r="A785" s="23" t="n">
        <v>11.7058529264632</v>
      </c>
      <c r="B785" s="18" t="n">
        <v>11.6035853643858</v>
      </c>
      <c r="C785" s="23" t="n">
        <v>0.0387700446491408</v>
      </c>
      <c r="D785" s="23" t="n">
        <v>12.3266297404902</v>
      </c>
      <c r="E785" s="13" t="str">
        <f aca="false">IF(B785&lt;5,"Acidic",IF(B785&lt;9,"Near-neutral","Alkaline"))</f>
        <v>Alkaline</v>
      </c>
    </row>
    <row r="786" customFormat="false" ht="15" hidden="false" customHeight="false" outlineLevel="0" collapsed="false">
      <c r="A786" s="23" t="n">
        <v>11.7208604302151</v>
      </c>
      <c r="B786" s="18" t="n">
        <v>11.6041663094255</v>
      </c>
      <c r="C786" s="23" t="n">
        <v>0.0386453825594799</v>
      </c>
      <c r="D786" s="23" t="n">
        <v>12.3266297404902</v>
      </c>
      <c r="E786" s="13" t="str">
        <f aca="false">IF(B786&lt;5,"Acidic",IF(B786&lt;9,"Near-neutral","Alkaline"))</f>
        <v>Alkaline</v>
      </c>
    </row>
    <row r="787" customFormat="false" ht="15" hidden="false" customHeight="false" outlineLevel="0" collapsed="false">
      <c r="A787" s="23" t="n">
        <v>11.735867933967</v>
      </c>
      <c r="B787" s="18" t="n">
        <v>11.6047453036208</v>
      </c>
      <c r="C787" s="23" t="n">
        <v>0.038525205502765</v>
      </c>
      <c r="D787" s="23" t="n">
        <v>12.3266297404902</v>
      </c>
      <c r="E787" s="13" t="str">
        <f aca="false">IF(B787&lt;5,"Acidic",IF(B787&lt;9,"Near-neutral","Alkaline"))</f>
        <v>Alkaline</v>
      </c>
    </row>
    <row r="788" customFormat="false" ht="15" hidden="false" customHeight="false" outlineLevel="0" collapsed="false">
      <c r="A788" s="23" t="n">
        <v>11.7508754377189</v>
      </c>
      <c r="B788" s="18" t="n">
        <v>11.605322565841</v>
      </c>
      <c r="C788" s="23" t="n">
        <v>0.038399417868618</v>
      </c>
      <c r="D788" s="23" t="n">
        <v>12.3266297404902</v>
      </c>
      <c r="E788" s="13" t="str">
        <f aca="false">IF(B788&lt;5,"Acidic",IF(B788&lt;9,"Near-neutral","Alkaline"))</f>
        <v>Alkaline</v>
      </c>
    </row>
    <row r="789" customFormat="false" ht="15" hidden="false" customHeight="false" outlineLevel="0" collapsed="false">
      <c r="A789" s="23" t="n">
        <v>11.7658829414707</v>
      </c>
      <c r="B789" s="18" t="n">
        <v>11.6058980881439</v>
      </c>
      <c r="C789" s="23" t="n">
        <v>0.0382882645637892</v>
      </c>
      <c r="D789" s="23" t="n">
        <v>12.3266297404902</v>
      </c>
      <c r="E789" s="13" t="str">
        <f aca="false">IF(B789&lt;5,"Acidic",IF(B789&lt;9,"Near-neutral","Alkaline"))</f>
        <v>Alkaline</v>
      </c>
    </row>
    <row r="790" customFormat="false" ht="15" hidden="false" customHeight="false" outlineLevel="0" collapsed="false">
      <c r="A790" s="23" t="n">
        <v>11.7808904452226</v>
      </c>
      <c r="B790" s="18" t="n">
        <v>11.6064717103713</v>
      </c>
      <c r="C790" s="23" t="n">
        <v>0.0381664527728844</v>
      </c>
      <c r="D790" s="23" t="n">
        <v>12.3266297404902</v>
      </c>
      <c r="E790" s="13" t="str">
        <f aca="false">IF(B790&lt;5,"Acidic",IF(B790&lt;9,"Near-neutral","Alkaline"))</f>
        <v>Alkaline</v>
      </c>
    </row>
    <row r="791" customFormat="false" ht="15" hidden="false" customHeight="false" outlineLevel="0" collapsed="false">
      <c r="A791" s="23" t="n">
        <v>11.7958979489745</v>
      </c>
      <c r="B791" s="18" t="n">
        <v>11.6070436525994</v>
      </c>
      <c r="C791" s="23" t="n">
        <v>0.0380491728442394</v>
      </c>
      <c r="D791" s="23" t="n">
        <v>12.3266297404902</v>
      </c>
      <c r="E791" s="13" t="str">
        <f aca="false">IF(B791&lt;5,"Acidic",IF(B791&lt;9,"Near-neutral","Alkaline"))</f>
        <v>Alkaline</v>
      </c>
    </row>
    <row r="792" customFormat="false" ht="15" hidden="false" customHeight="false" outlineLevel="0" collapsed="false">
      <c r="A792" s="23" t="n">
        <v>11.8109054527264</v>
      </c>
      <c r="B792" s="18" t="n">
        <v>11.6076137545683</v>
      </c>
      <c r="C792" s="23" t="n">
        <v>0.037931363485427</v>
      </c>
      <c r="D792" s="23" t="n">
        <v>12.3266297404902</v>
      </c>
      <c r="E792" s="13" t="str">
        <f aca="false">IF(B792&lt;5,"Acidic",IF(B792&lt;9,"Near-neutral","Alkaline"))</f>
        <v>Alkaline</v>
      </c>
    </row>
    <row r="793" customFormat="false" ht="15" hidden="false" customHeight="false" outlineLevel="0" collapsed="false">
      <c r="A793" s="23" t="n">
        <v>11.8259129564782</v>
      </c>
      <c r="B793" s="18" t="n">
        <v>11.6081820844399</v>
      </c>
      <c r="C793" s="23" t="n">
        <v>0.0378130246593855</v>
      </c>
      <c r="D793" s="23" t="n">
        <v>12.3266297404902</v>
      </c>
      <c r="E793" s="13" t="str">
        <f aca="false">IF(B793&lt;5,"Acidic",IF(B793&lt;9,"Near-neutral","Alkaline"))</f>
        <v>Alkaline</v>
      </c>
    </row>
    <row r="794" customFormat="false" ht="15" hidden="false" customHeight="false" outlineLevel="0" collapsed="false">
      <c r="A794" s="23" t="n">
        <v>11.8409204602301</v>
      </c>
      <c r="B794" s="18" t="n">
        <v>11.6087487107757</v>
      </c>
      <c r="C794" s="23" t="n">
        <v>0.0376992576078692</v>
      </c>
      <c r="D794" s="23" t="n">
        <v>12.3266297404902</v>
      </c>
      <c r="E794" s="13" t="str">
        <f aca="false">IF(B794&lt;5,"Acidic",IF(B794&lt;9,"Near-neutral","Alkaline"))</f>
        <v>Alkaline</v>
      </c>
    </row>
    <row r="795" customFormat="false" ht="15" hidden="false" customHeight="false" outlineLevel="0" collapsed="false">
      <c r="A795" s="23" t="n">
        <v>11.855927963982</v>
      </c>
      <c r="B795" s="18" t="n">
        <v>11.6093136259283</v>
      </c>
      <c r="C795" s="23" t="n">
        <v>0.0375747651762595</v>
      </c>
      <c r="D795" s="23" t="n">
        <v>12.3266297404902</v>
      </c>
      <c r="E795" s="13" t="str">
        <f aca="false">IF(B795&lt;5,"Acidic",IF(B795&lt;9,"Near-neutral","Alkaline"))</f>
        <v>Alkaline</v>
      </c>
    </row>
    <row r="796" customFormat="false" ht="15" hidden="false" customHeight="false" outlineLevel="0" collapsed="false">
      <c r="A796" s="23" t="n">
        <v>11.8709354677339</v>
      </c>
      <c r="B796" s="18" t="n">
        <v>11.6098767455431</v>
      </c>
      <c r="C796" s="23" t="n">
        <v>0.0374701814126865</v>
      </c>
      <c r="D796" s="23" t="n">
        <v>12.3266297404902</v>
      </c>
      <c r="E796" s="13" t="str">
        <f aca="false">IF(B796&lt;5,"Acidic",IF(B796&lt;9,"Near-neutral","Alkaline"))</f>
        <v>Alkaline</v>
      </c>
    </row>
    <row r="797" customFormat="false" ht="15" hidden="false" customHeight="false" outlineLevel="0" collapsed="false">
      <c r="A797" s="23" t="n">
        <v>11.8859429714857</v>
      </c>
      <c r="B797" s="18" t="n">
        <v>11.610438138479</v>
      </c>
      <c r="C797" s="23" t="n">
        <v>0.0373497643234941</v>
      </c>
      <c r="D797" s="23" t="n">
        <v>12.3266297404902</v>
      </c>
      <c r="E797" s="13" t="str">
        <f aca="false">IF(B797&lt;5,"Acidic",IF(B797&lt;9,"Near-neutral","Alkaline"))</f>
        <v>Alkaline</v>
      </c>
    </row>
    <row r="798" customFormat="false" ht="15" hidden="false" customHeight="false" outlineLevel="0" collapsed="false">
      <c r="A798" s="23" t="n">
        <v>11.9009504752376</v>
      </c>
      <c r="B798" s="18" t="n">
        <v>11.6109977970872</v>
      </c>
      <c r="C798" s="23" t="n">
        <v>0.0372339454465873</v>
      </c>
      <c r="D798" s="23" t="n">
        <v>12.3266297404902</v>
      </c>
      <c r="E798" s="13" t="str">
        <f aca="false">IF(B798&lt;5,"Acidic",IF(B798&lt;9,"Near-neutral","Alkaline"))</f>
        <v>Alkaline</v>
      </c>
    </row>
    <row r="799" customFormat="false" ht="15" hidden="false" customHeight="false" outlineLevel="0" collapsed="false">
      <c r="A799" s="23" t="n">
        <v>11.9159579789895</v>
      </c>
      <c r="B799" s="18" t="n">
        <v>11.6115557907222</v>
      </c>
      <c r="C799" s="23" t="n">
        <v>0.0371227511766392</v>
      </c>
      <c r="D799" s="23" t="n">
        <v>12.3266297404902</v>
      </c>
      <c r="E799" s="13" t="str">
        <f aca="false">IF(B799&lt;5,"Acidic",IF(B799&lt;9,"Near-neutral","Alkaline"))</f>
        <v>Alkaline</v>
      </c>
    </row>
    <row r="800" customFormat="false" ht="15" hidden="false" customHeight="false" outlineLevel="0" collapsed="false">
      <c r="A800" s="23" t="n">
        <v>11.9309654827414</v>
      </c>
      <c r="B800" s="18" t="n">
        <v>11.6121120349288</v>
      </c>
      <c r="C800" s="23" t="n">
        <v>0.0370110669504129</v>
      </c>
      <c r="D800" s="23" t="n">
        <v>12.3266297404902</v>
      </c>
      <c r="E800" s="13" t="str">
        <f aca="false">IF(B800&lt;5,"Acidic",IF(B800&lt;9,"Near-neutral","Alkaline"))</f>
        <v>Alkaline</v>
      </c>
    </row>
    <row r="801" customFormat="false" ht="15" hidden="false" customHeight="false" outlineLevel="0" collapsed="false">
      <c r="A801" s="23" t="n">
        <v>11.9459729864933</v>
      </c>
      <c r="B801" s="18" t="n">
        <v>11.6126665992586</v>
      </c>
      <c r="C801" s="23" t="n">
        <v>0.0368937453107492</v>
      </c>
      <c r="D801" s="23" t="n">
        <v>12.3266297404902</v>
      </c>
      <c r="E801" s="13" t="str">
        <f aca="false">IF(B801&lt;5,"Acidic",IF(B801&lt;9,"Near-neutral","Alkaline"))</f>
        <v>Alkaline</v>
      </c>
    </row>
    <row r="802" customFormat="false" ht="15" hidden="false" customHeight="false" outlineLevel="0" collapsed="false">
      <c r="A802" s="23" t="n">
        <v>11.9609804902451</v>
      </c>
      <c r="B802" s="18" t="n">
        <v>11.613219476358</v>
      </c>
      <c r="C802" s="23" t="n">
        <v>0.0367862219380868</v>
      </c>
      <c r="D802" s="23" t="n">
        <v>12.3266297404902</v>
      </c>
      <c r="E802" s="13" t="str">
        <f aca="false">IF(B802&lt;5,"Acidic",IF(B802&lt;9,"Near-neutral","Alkaline"))</f>
        <v>Alkaline</v>
      </c>
    </row>
    <row r="803" customFormat="false" ht="15" hidden="false" customHeight="false" outlineLevel="0" collapsed="false">
      <c r="A803" s="23" t="n">
        <v>11.975987993997</v>
      </c>
      <c r="B803" s="18" t="n">
        <v>11.6137706588732</v>
      </c>
      <c r="C803" s="23" t="n">
        <v>0.0366730676790894</v>
      </c>
      <c r="D803" s="23" t="n">
        <v>12.3266297404902</v>
      </c>
      <c r="E803" s="13" t="str">
        <f aca="false">IF(B803&lt;5,"Acidic",IF(B803&lt;9,"Near-neutral","Alkaline"))</f>
        <v>Alkaline</v>
      </c>
    </row>
    <row r="804" customFormat="false" ht="15" hidden="false" customHeight="false" outlineLevel="0" collapsed="false">
      <c r="A804" s="23" t="n">
        <v>11.9909954977489</v>
      </c>
      <c r="B804" s="18" t="n">
        <v>11.6143202169456</v>
      </c>
      <c r="C804" s="23" t="n">
        <v>0.0365594234007176</v>
      </c>
      <c r="D804" s="23" t="n">
        <v>12.3266297404902</v>
      </c>
      <c r="E804" s="13" t="str">
        <f aca="false">IF(B804&lt;5,"Acidic",IF(B804&lt;9,"Near-neutral","Alkaline"))</f>
        <v>Alkaline</v>
      </c>
    </row>
    <row r="805" customFormat="false" ht="15" hidden="false" customHeight="false" outlineLevel="0" collapsed="false">
      <c r="A805" s="23" t="n">
        <v>12.0060030015008</v>
      </c>
      <c r="B805" s="18" t="n">
        <v>11.6148680659221</v>
      </c>
      <c r="C805" s="23" t="n">
        <v>0.0364556361995483</v>
      </c>
      <c r="D805" s="23" t="n">
        <v>12.3266297404902</v>
      </c>
      <c r="E805" s="13" t="str">
        <f aca="false">IF(B805&lt;5,"Acidic",IF(B805&lt;9,"Near-neutral","Alkaline"))</f>
        <v>Alkaline</v>
      </c>
    </row>
    <row r="806" customFormat="false" ht="15" hidden="false" customHeight="false" outlineLevel="0" collapsed="false">
      <c r="A806" s="23" t="n">
        <v>12.0210105052526</v>
      </c>
      <c r="B806" s="18" t="n">
        <v>11.6154142761397</v>
      </c>
      <c r="C806" s="23" t="n">
        <v>0.036335857935228</v>
      </c>
      <c r="D806" s="23" t="n">
        <v>12.3266297404902</v>
      </c>
      <c r="E806" s="13" t="str">
        <f aca="false">IF(B806&lt;5,"Acidic",IF(B806&lt;9,"Near-neutral","Alkaline"))</f>
        <v>Alkaline</v>
      </c>
    </row>
    <row r="807" customFormat="false" ht="15" hidden="false" customHeight="false" outlineLevel="0" collapsed="false">
      <c r="A807" s="23" t="n">
        <v>12.0360180090045</v>
      </c>
      <c r="B807" s="18" t="n">
        <v>11.615958840538</v>
      </c>
      <c r="C807" s="23" t="n">
        <v>0.0362363163395685</v>
      </c>
      <c r="D807" s="23" t="n">
        <v>12.3266297404902</v>
      </c>
      <c r="E807" s="13" t="str">
        <f aca="false">IF(B807&lt;5,"Acidic",IF(B807&lt;9,"Near-neutral","Alkaline"))</f>
        <v>Alkaline</v>
      </c>
    </row>
    <row r="808" customFormat="false" ht="15" hidden="false" customHeight="false" outlineLevel="0" collapsed="false">
      <c r="A808" s="23" t="n">
        <v>12.0510255127564</v>
      </c>
      <c r="B808" s="18" t="n">
        <v>11.6165018299419</v>
      </c>
      <c r="C808" s="23" t="n">
        <v>0.0361207641640249</v>
      </c>
      <c r="D808" s="23" t="n">
        <v>12.3266297404902</v>
      </c>
      <c r="E808" s="13" t="str">
        <f aca="false">IF(B808&lt;5,"Acidic",IF(B808&lt;9,"Near-neutral","Alkaline"))</f>
        <v>Alkaline</v>
      </c>
    </row>
    <row r="809" customFormat="false" ht="15" hidden="false" customHeight="false" outlineLevel="0" collapsed="false">
      <c r="A809" s="23" t="n">
        <v>12.0660330165083</v>
      </c>
      <c r="B809" s="18" t="n">
        <v>11.6170430816172</v>
      </c>
      <c r="C809" s="23" t="n">
        <v>0.0360151210466029</v>
      </c>
      <c r="D809" s="23" t="n">
        <v>12.3266297404902</v>
      </c>
      <c r="E809" s="13" t="str">
        <f aca="false">IF(B809&lt;5,"Acidic",IF(B809&lt;9,"Near-neutral","Alkaline"))</f>
        <v>Alkaline</v>
      </c>
    </row>
    <row r="810" customFormat="false" ht="15" hidden="false" customHeight="false" outlineLevel="0" collapsed="false">
      <c r="A810" s="23" t="n">
        <v>12.0810405202601</v>
      </c>
      <c r="B810" s="18" t="n">
        <v>11.6175827443713</v>
      </c>
      <c r="C810" s="23" t="n">
        <v>0.0359038209466007</v>
      </c>
      <c r="D810" s="23" t="n">
        <v>12.3266297404902</v>
      </c>
      <c r="E810" s="13" t="str">
        <f aca="false">IF(B810&lt;5,"Acidic",IF(B810&lt;9,"Near-neutral","Alkaline"))</f>
        <v>Alkaline</v>
      </c>
    </row>
    <row r="811" customFormat="false" ht="15" hidden="false" customHeight="false" outlineLevel="0" collapsed="false">
      <c r="A811" s="23" t="n">
        <v>12.096048024012</v>
      </c>
      <c r="B811" s="18" t="n">
        <v>11.6181208114353</v>
      </c>
      <c r="C811" s="23" t="n">
        <v>0.0358024751784569</v>
      </c>
      <c r="D811" s="23" t="n">
        <v>12.3266297404902</v>
      </c>
      <c r="E811" s="13" t="str">
        <f aca="false">IF(B811&lt;5,"Acidic",IF(B811&lt;9,"Near-neutral","Alkaline"))</f>
        <v>Alkaline</v>
      </c>
    </row>
    <row r="812" customFormat="false" ht="15" hidden="false" customHeight="false" outlineLevel="0" collapsed="false">
      <c r="A812" s="23" t="n">
        <v>12.1110555277639</v>
      </c>
      <c r="B812" s="18" t="n">
        <v>11.6186572760396</v>
      </c>
      <c r="C812" s="23" t="n">
        <v>0.0356902600466356</v>
      </c>
      <c r="D812" s="23" t="n">
        <v>12.3266297404902</v>
      </c>
      <c r="E812" s="13" t="str">
        <f aca="false">IF(B812&lt;5,"Acidic",IF(B812&lt;9,"Near-neutral","Alkaline"))</f>
        <v>Alkaline</v>
      </c>
    </row>
    <row r="813" customFormat="false" ht="15" hidden="false" customHeight="false" outlineLevel="0" collapsed="false">
      <c r="A813" s="23" t="n">
        <v>12.1260630315158</v>
      </c>
      <c r="B813" s="18" t="n">
        <v>11.6191921314148</v>
      </c>
      <c r="C813" s="23" t="n">
        <v>0.0355880250198197</v>
      </c>
      <c r="D813" s="23" t="n">
        <v>12.3266297404902</v>
      </c>
      <c r="E813" s="13" t="str">
        <f aca="false">IF(B813&lt;5,"Acidic",IF(B813&lt;9,"Near-neutral","Alkaline"))</f>
        <v>Alkaline</v>
      </c>
    </row>
    <row r="814" customFormat="false" ht="15" hidden="false" customHeight="false" outlineLevel="0" collapsed="false">
      <c r="A814" s="23" t="n">
        <v>12.1410705352676</v>
      </c>
      <c r="B814" s="18" t="n">
        <v>11.6197253707918</v>
      </c>
      <c r="C814" s="23" t="n">
        <v>0.0354748949224586</v>
      </c>
      <c r="D814" s="23" t="n">
        <v>12.3266297404902</v>
      </c>
      <c r="E814" s="13" t="str">
        <f aca="false">IF(B814&lt;5,"Acidic",IF(B814&lt;9,"Near-neutral","Alkaline"))</f>
        <v>Alkaline</v>
      </c>
    </row>
    <row r="815" customFormat="false" ht="15" hidden="false" customHeight="false" outlineLevel="0" collapsed="false">
      <c r="A815" s="23" t="n">
        <v>12.1560780390195</v>
      </c>
      <c r="B815" s="18" t="n">
        <v>11.6202570659635</v>
      </c>
      <c r="C815" s="23" t="n">
        <v>0.0353770087036764</v>
      </c>
      <c r="D815" s="23" t="n">
        <v>12.3266297404902</v>
      </c>
      <c r="E815" s="13" t="str">
        <f aca="false">IF(B815&lt;5,"Acidic",IF(B815&lt;9,"Near-neutral","Alkaline"))</f>
        <v>Alkaline</v>
      </c>
    </row>
    <row r="816" customFormat="false" ht="15" hidden="false" customHeight="false" outlineLevel="0" collapsed="false">
      <c r="A816" s="23" t="n">
        <v>12.1710855427714</v>
      </c>
      <c r="B816" s="18" t="n">
        <v>11.6207871317916</v>
      </c>
      <c r="C816" s="23" t="n">
        <v>0.0352734654403548</v>
      </c>
      <c r="D816" s="23" t="n">
        <v>12.3266297404902</v>
      </c>
      <c r="E816" s="13" t="str">
        <f aca="false">IF(B816&lt;5,"Acidic",IF(B816&lt;9,"Near-neutral","Alkaline"))</f>
        <v>Alkaline</v>
      </c>
    </row>
    <row r="817" customFormat="false" ht="15" hidden="false" customHeight="false" outlineLevel="0" collapsed="false">
      <c r="A817" s="23" t="n">
        <v>12.1860930465233</v>
      </c>
      <c r="B817" s="18" t="n">
        <v>11.6213157190155</v>
      </c>
      <c r="C817" s="23" t="n">
        <v>0.0351642395502267</v>
      </c>
      <c r="D817" s="23" t="n">
        <v>12.3266297404902</v>
      </c>
      <c r="E817" s="13" t="str">
        <f aca="false">IF(B817&lt;5,"Acidic",IF(B817&lt;9,"Near-neutral","Alkaline"))</f>
        <v>Alkaline</v>
      </c>
    </row>
    <row r="818" customFormat="false" ht="15" hidden="false" customHeight="false" outlineLevel="0" collapsed="false">
      <c r="A818" s="23" t="n">
        <v>12.2011005502751</v>
      </c>
      <c r="B818" s="18" t="n">
        <v>11.6218426637434</v>
      </c>
      <c r="C818" s="23" t="n">
        <v>0.0350598199095202</v>
      </c>
      <c r="D818" s="23" t="n">
        <v>12.3266297404902</v>
      </c>
      <c r="E818" s="13" t="str">
        <f aca="false">IF(B818&lt;5,"Acidic",IF(B818&lt;9,"Near-neutral","Alkaline"))</f>
        <v>Alkaline</v>
      </c>
    </row>
    <row r="819" customFormat="false" ht="15" hidden="false" customHeight="false" outlineLevel="0" collapsed="false">
      <c r="A819" s="23" t="n">
        <v>12.216108054027</v>
      </c>
      <c r="B819" s="18" t="n">
        <v>11.6223680381532</v>
      </c>
      <c r="C819" s="23" t="n">
        <v>0.034954968502575</v>
      </c>
      <c r="D819" s="23" t="n">
        <v>12.3266297404902</v>
      </c>
      <c r="E819" s="13" t="str">
        <f aca="false">IF(B819&lt;5,"Acidic",IF(B819&lt;9,"Near-neutral","Alkaline"))</f>
        <v>Alkaline</v>
      </c>
    </row>
    <row r="820" customFormat="false" ht="15" hidden="false" customHeight="false" outlineLevel="0" collapsed="false">
      <c r="A820" s="23" t="n">
        <v>12.2311155577789</v>
      </c>
      <c r="B820" s="18" t="n">
        <v>11.6228919148054</v>
      </c>
      <c r="C820" s="23" t="n">
        <v>0.0348602250880958</v>
      </c>
      <c r="D820" s="23" t="n">
        <v>12.3266297404902</v>
      </c>
      <c r="E820" s="13" t="str">
        <f aca="false">IF(B820&lt;5,"Acidic",IF(B820&lt;9,"Near-neutral","Alkaline"))</f>
        <v>Alkaline</v>
      </c>
    </row>
    <row r="821" customFormat="false" ht="15" hidden="false" customHeight="false" outlineLevel="0" collapsed="false">
      <c r="A821" s="23" t="n">
        <v>12.2461230615308</v>
      </c>
      <c r="B821" s="18" t="n">
        <v>11.6234142083712</v>
      </c>
      <c r="C821" s="23" t="n">
        <v>0.0347492593916741</v>
      </c>
      <c r="D821" s="23" t="n">
        <v>12.3266297404902</v>
      </c>
      <c r="E821" s="13" t="str">
        <f aca="false">IF(B821&lt;5,"Acidic",IF(B821&lt;9,"Near-neutral","Alkaline"))</f>
        <v>Alkaline</v>
      </c>
    </row>
    <row r="822" customFormat="false" ht="15" hidden="false" customHeight="false" outlineLevel="0" collapsed="false">
      <c r="A822" s="23" t="n">
        <v>12.2611305652826</v>
      </c>
      <c r="B822" s="18" t="n">
        <v>11.6239349916022</v>
      </c>
      <c r="C822" s="23" t="n">
        <v>0.0346536905873336</v>
      </c>
      <c r="D822" s="23" t="n">
        <v>12.3266297404902</v>
      </c>
      <c r="E822" s="13" t="str">
        <f aca="false">IF(B822&lt;5,"Acidic",IF(B822&lt;9,"Near-neutral","Alkaline"))</f>
        <v>Alkaline</v>
      </c>
    </row>
    <row r="823" customFormat="false" ht="15" hidden="false" customHeight="false" outlineLevel="0" collapsed="false">
      <c r="A823" s="23" t="n">
        <v>12.2761380690345</v>
      </c>
      <c r="B823" s="18" t="n">
        <v>11.6244542583048</v>
      </c>
      <c r="C823" s="23" t="n">
        <v>0.0345471503959516</v>
      </c>
      <c r="D823" s="23" t="n">
        <v>12.3266297404902</v>
      </c>
      <c r="E823" s="13" t="str">
        <f aca="false">IF(B823&lt;5,"Acidic",IF(B823&lt;9,"Near-neutral","Alkaline"))</f>
        <v>Alkaline</v>
      </c>
    </row>
    <row r="824" customFormat="false" ht="15" hidden="false" customHeight="false" outlineLevel="0" collapsed="false">
      <c r="A824" s="23" t="n">
        <v>12.2911455727864</v>
      </c>
      <c r="B824" s="18" t="n">
        <v>11.624972002286</v>
      </c>
      <c r="C824" s="23" t="n">
        <v>0.0344454737565911</v>
      </c>
      <c r="D824" s="23" t="n">
        <v>12.3266297404902</v>
      </c>
      <c r="E824" s="13" t="str">
        <f aca="false">IF(B824&lt;5,"Acidic",IF(B824&lt;9,"Near-neutral","Alkaline"))</f>
        <v>Alkaline</v>
      </c>
    </row>
    <row r="825" customFormat="false" ht="15" hidden="false" customHeight="false" outlineLevel="0" collapsed="false">
      <c r="A825" s="23" t="n">
        <v>12.3061530765383</v>
      </c>
      <c r="B825" s="18" t="n">
        <v>11.6254882173529</v>
      </c>
      <c r="C825" s="23" t="n">
        <v>0.0343486859169389</v>
      </c>
      <c r="D825" s="23" t="n">
        <v>12.3266297404902</v>
      </c>
      <c r="E825" s="13" t="str">
        <f aca="false">IF(B825&lt;5,"Acidic",IF(B825&lt;9,"Near-neutral","Alkaline"))</f>
        <v>Alkaline</v>
      </c>
    </row>
    <row r="826" customFormat="false" ht="15" hidden="false" customHeight="false" outlineLevel="0" collapsed="false">
      <c r="A826" s="23" t="n">
        <v>12.3211605802902</v>
      </c>
      <c r="B826" s="18" t="n">
        <v>11.6260029769215</v>
      </c>
      <c r="C826" s="23" t="n">
        <v>0.0342515043366802</v>
      </c>
      <c r="D826" s="23" t="n">
        <v>12.3266297404902</v>
      </c>
      <c r="E826" s="13" t="str">
        <f aca="false">IF(B826&lt;5,"Acidic",IF(B826&lt;9,"Near-neutral","Alkaline"))</f>
        <v>Alkaline</v>
      </c>
    </row>
    <row r="827" customFormat="false" ht="15" hidden="false" customHeight="false" outlineLevel="0" collapsed="false">
      <c r="A827" s="23" t="n">
        <v>12.336168084042</v>
      </c>
      <c r="B827" s="18" t="n">
        <v>11.6265161953801</v>
      </c>
      <c r="C827" s="23" t="n">
        <v>0.034143301081258</v>
      </c>
      <c r="D827" s="23" t="n">
        <v>12.3266297404902</v>
      </c>
      <c r="E827" s="13" t="str">
        <f aca="false">IF(B827&lt;5,"Acidic",IF(B827&lt;9,"Near-neutral","Alkaline"))</f>
        <v>Alkaline</v>
      </c>
    </row>
    <row r="828" customFormat="false" ht="15" hidden="false" customHeight="false" outlineLevel="0" collapsed="false">
      <c r="A828" s="23" t="n">
        <v>12.3511755877939</v>
      </c>
      <c r="B828" s="18" t="n">
        <v>11.6270278665377</v>
      </c>
      <c r="C828" s="23" t="n">
        <v>0.0340506271869572</v>
      </c>
      <c r="D828" s="23" t="n">
        <v>12.3266297404902</v>
      </c>
      <c r="E828" s="13" t="str">
        <f aca="false">IF(B828&lt;5,"Acidic",IF(B828&lt;9,"Near-neutral","Alkaline"))</f>
        <v>Alkaline</v>
      </c>
    </row>
    <row r="829" customFormat="false" ht="15" hidden="false" customHeight="false" outlineLevel="0" collapsed="false">
      <c r="A829" s="23" t="n">
        <v>12.3661830915458</v>
      </c>
      <c r="B829" s="18" t="n">
        <v>11.6275381439843</v>
      </c>
      <c r="C829" s="23" t="n">
        <v>0.0339522518895592</v>
      </c>
      <c r="D829" s="23" t="n">
        <v>12.3266297404902</v>
      </c>
      <c r="E829" s="13" t="str">
        <f aca="false">IF(B829&lt;5,"Acidic",IF(B829&lt;9,"Near-neutral","Alkaline"))</f>
        <v>Alkaline</v>
      </c>
    </row>
    <row r="830" customFormat="false" ht="15" hidden="false" customHeight="false" outlineLevel="0" collapsed="false">
      <c r="A830" s="23" t="n">
        <v>12.3811905952977</v>
      </c>
      <c r="B830" s="18" t="n">
        <v>11.628046942109</v>
      </c>
      <c r="C830" s="23" t="n">
        <v>0.0338481502093373</v>
      </c>
      <c r="D830" s="23" t="n">
        <v>12.3266297404902</v>
      </c>
      <c r="E830" s="13" t="str">
        <f aca="false">IF(B830&lt;5,"Acidic",IF(B830&lt;9,"Near-neutral","Alkaline"))</f>
        <v>Alkaline</v>
      </c>
    </row>
    <row r="831" customFormat="false" ht="15" hidden="false" customHeight="false" outlineLevel="0" collapsed="false">
      <c r="A831" s="23" t="n">
        <v>12.3961980990495</v>
      </c>
      <c r="B831" s="18" t="n">
        <v>11.6285541749268</v>
      </c>
      <c r="C831" s="23" t="n">
        <v>0.0337543140469734</v>
      </c>
      <c r="D831" s="23" t="n">
        <v>12.3266297404902</v>
      </c>
      <c r="E831" s="13" t="str">
        <f aca="false">IF(B831&lt;5,"Acidic",IF(B831&lt;9,"Near-neutral","Alkaline"))</f>
        <v>Alkaline</v>
      </c>
    </row>
    <row r="832" customFormat="false" ht="15" hidden="false" customHeight="false" outlineLevel="0" collapsed="false">
      <c r="A832" s="23" t="n">
        <v>12.4112056028014</v>
      </c>
      <c r="B832" s="18" t="n">
        <v>11.6290599965913</v>
      </c>
      <c r="C832" s="23" t="n">
        <v>0.0336547578170894</v>
      </c>
      <c r="D832" s="23" t="n">
        <v>12.3266297404902</v>
      </c>
      <c r="E832" s="13" t="str">
        <f aca="false">IF(B832&lt;5,"Acidic",IF(B832&lt;9,"Near-neutral","Alkaline"))</f>
        <v>Alkaline</v>
      </c>
    </row>
    <row r="833" customFormat="false" ht="15" hidden="false" customHeight="false" outlineLevel="0" collapsed="false">
      <c r="A833" s="23" t="n">
        <v>12.4262131065533</v>
      </c>
      <c r="B833" s="18" t="n">
        <v>11.6295644014757</v>
      </c>
      <c r="C833" s="23" t="n">
        <v>0.0335601593733372</v>
      </c>
      <c r="D833" s="23" t="n">
        <v>12.3266297404902</v>
      </c>
      <c r="E833" s="13" t="str">
        <f aca="false">IF(B833&lt;5,"Acidic",IF(B833&lt;9,"Near-neutral","Alkaline"))</f>
        <v>Alkaline</v>
      </c>
    </row>
    <row r="834" customFormat="false" ht="15" hidden="false" customHeight="false" outlineLevel="0" collapsed="false">
      <c r="A834" s="23" t="n">
        <v>12.4412206103052</v>
      </c>
      <c r="B834" s="18" t="n">
        <v>11.6300673035968</v>
      </c>
      <c r="C834" s="23" t="n">
        <v>0.0334651860234771</v>
      </c>
      <c r="D834" s="23" t="n">
        <v>12.3266297404902</v>
      </c>
      <c r="E834" s="13" t="str">
        <f aca="false">IF(B834&lt;5,"Acidic",IF(B834&lt;9,"Near-neutral","Alkaline"))</f>
        <v>Alkaline</v>
      </c>
    </row>
    <row r="835" customFormat="false" ht="15" hidden="false" customHeight="false" outlineLevel="0" collapsed="false">
      <c r="A835" s="23" t="n">
        <v>12.456228114057</v>
      </c>
      <c r="B835" s="18" t="n">
        <v>11.630568777499</v>
      </c>
      <c r="C835" s="23" t="n">
        <v>0.0333644740742329</v>
      </c>
      <c r="D835" s="23" t="n">
        <v>12.3266297404902</v>
      </c>
      <c r="E835" s="13" t="str">
        <f aca="false">IF(B835&lt;5,"Acidic",IF(B835&lt;9,"Near-neutral","Alkaline"))</f>
        <v>Alkaline</v>
      </c>
    </row>
    <row r="836" customFormat="false" ht="15" hidden="false" customHeight="false" outlineLevel="0" collapsed="false">
      <c r="A836" s="23" t="n">
        <v>12.4712356178089</v>
      </c>
      <c r="B836" s="18" t="n">
        <v>11.6310688175564</v>
      </c>
      <c r="C836" s="23" t="n">
        <v>0.0332741085038606</v>
      </c>
      <c r="D836" s="23" t="n">
        <v>12.3266297404902</v>
      </c>
      <c r="E836" s="13" t="str">
        <f aca="false">IF(B836&lt;5,"Acidic",IF(B836&lt;9,"Near-neutral","Alkaline"))</f>
        <v>Alkaline</v>
      </c>
    </row>
    <row r="837" customFormat="false" ht="15" hidden="false" customHeight="false" outlineLevel="0" collapsed="false">
      <c r="A837" s="23" t="n">
        <v>12.4862431215608</v>
      </c>
      <c r="B837" s="18" t="n">
        <v>11.6315674181438</v>
      </c>
      <c r="C837" s="23" t="n">
        <v>0.0331726345386869</v>
      </c>
      <c r="D837" s="23" t="n">
        <v>12.3266297404902</v>
      </c>
      <c r="E837" s="13" t="str">
        <f aca="false">IF(B837&lt;5,"Acidic",IF(B837&lt;9,"Near-neutral","Alkaline"))</f>
        <v>Alkaline</v>
      </c>
    </row>
    <row r="838" customFormat="false" ht="15" hidden="false" customHeight="false" outlineLevel="0" collapsed="false">
      <c r="A838" s="23" t="n">
        <v>12.5012506253127</v>
      </c>
      <c r="B838" s="18" t="n">
        <v>11.6320645736365</v>
      </c>
      <c r="C838" s="23" t="n">
        <v>0.0330815317162205</v>
      </c>
      <c r="D838" s="23" t="n">
        <v>12.3266297404902</v>
      </c>
      <c r="E838" s="13" t="str">
        <f aca="false">IF(B838&lt;5,"Acidic",IF(B838&lt;9,"Near-neutral","Alkaline"))</f>
        <v>Alkaline</v>
      </c>
    </row>
    <row r="839" customFormat="false" ht="15" hidden="false" customHeight="false" outlineLevel="0" collapsed="false">
      <c r="A839" s="23" t="n">
        <v>12.5162581290645</v>
      </c>
      <c r="B839" s="18" t="n">
        <v>11.6325603592298</v>
      </c>
      <c r="C839" s="23" t="n">
        <v>0.0329900726144388</v>
      </c>
      <c r="D839" s="23" t="n">
        <v>12.3266297404902</v>
      </c>
      <c r="E839" s="13" t="str">
        <f aca="false">IF(B839&lt;5,"Acidic",IF(B839&lt;9,"Near-neutral","Alkaline"))</f>
        <v>Alkaline</v>
      </c>
    </row>
    <row r="840" customFormat="false" ht="15" hidden="false" customHeight="false" outlineLevel="0" collapsed="false">
      <c r="A840" s="23" t="n">
        <v>12.5312656328164</v>
      </c>
      <c r="B840" s="18" t="n">
        <v>11.6330546886656</v>
      </c>
      <c r="C840" s="23" t="n">
        <v>0.0328928627837968</v>
      </c>
      <c r="D840" s="23" t="n">
        <v>12.3266297404902</v>
      </c>
      <c r="E840" s="13" t="str">
        <f aca="false">IF(B840&lt;5,"Acidic",IF(B840&lt;9,"Near-neutral","Alkaline"))</f>
        <v>Alkaline</v>
      </c>
    </row>
    <row r="841" customFormat="false" ht="15" hidden="false" customHeight="false" outlineLevel="0" collapsed="false">
      <c r="A841" s="23" t="n">
        <v>12.5462731365683</v>
      </c>
      <c r="B841" s="18" t="n">
        <v>11.6335476373246</v>
      </c>
      <c r="C841" s="23" t="n">
        <v>0.0327952783389947</v>
      </c>
      <c r="D841" s="23" t="n">
        <v>12.3266297404902</v>
      </c>
      <c r="E841" s="13" t="str">
        <f aca="false">IF(B841&lt;5,"Acidic",IF(B841&lt;9,"Near-neutral","Alkaline"))</f>
        <v>Alkaline</v>
      </c>
    </row>
    <row r="842" customFormat="false" ht="15" hidden="false" customHeight="false" outlineLevel="0" collapsed="false">
      <c r="A842" s="23" t="n">
        <v>12.5612806403202</v>
      </c>
      <c r="B842" s="18" t="n">
        <v>11.6340391998609</v>
      </c>
      <c r="C842" s="23" t="n">
        <v>0.0327081327236556</v>
      </c>
      <c r="D842" s="23" t="n">
        <v>12.3266297404902</v>
      </c>
      <c r="E842" s="13" t="str">
        <f aca="false">IF(B842&lt;5,"Acidic",IF(B842&lt;9,"Near-neutral","Alkaline"))</f>
        <v>Alkaline</v>
      </c>
    </row>
    <row r="843" customFormat="false" ht="15" hidden="false" customHeight="false" outlineLevel="0" collapsed="false">
      <c r="A843" s="23" t="n">
        <v>12.576288144072</v>
      </c>
      <c r="B843" s="18" t="n">
        <v>11.6345292897426</v>
      </c>
      <c r="C843" s="23" t="n">
        <v>0.0326152364833661</v>
      </c>
      <c r="D843" s="23" t="n">
        <v>12.3266297404902</v>
      </c>
      <c r="E843" s="13" t="str">
        <f aca="false">IF(B843&lt;5,"Acidic",IF(B843&lt;9,"Near-neutral","Alkaline"))</f>
        <v>Alkaline</v>
      </c>
    </row>
    <row r="844" customFormat="false" ht="15" hidden="false" customHeight="false" outlineLevel="0" collapsed="false">
      <c r="A844" s="23" t="n">
        <v>12.5912956478239</v>
      </c>
      <c r="B844" s="18" t="n">
        <v>11.6350180639061</v>
      </c>
      <c r="C844" s="23" t="n">
        <v>0.0325219841153057</v>
      </c>
      <c r="D844" s="23" t="n">
        <v>12.3266297404902</v>
      </c>
      <c r="E844" s="13" t="str">
        <f aca="false">IF(B844&lt;5,"Acidic",IF(B844&lt;9,"Near-neutral","Alkaline"))</f>
        <v>Alkaline</v>
      </c>
    </row>
    <row r="845" customFormat="false" ht="15" hidden="false" customHeight="false" outlineLevel="0" collapsed="false">
      <c r="A845" s="23" t="n">
        <v>12.6063031515758</v>
      </c>
      <c r="B845" s="18" t="n">
        <v>11.6355054359125</v>
      </c>
      <c r="C845" s="23" t="n">
        <v>0.0324283756729074</v>
      </c>
      <c r="D845" s="23" t="n">
        <v>12.3266297404902</v>
      </c>
      <c r="E845" s="13" t="str">
        <f aca="false">IF(B845&lt;5,"Acidic",IF(B845&lt;9,"Near-neutral","Alkaline"))</f>
        <v>Alkaline</v>
      </c>
    </row>
    <row r="846" customFormat="false" ht="15" hidden="false" customHeight="false" outlineLevel="0" collapsed="false">
      <c r="A846" s="23" t="n">
        <v>12.6213106553277</v>
      </c>
      <c r="B846" s="18" t="n">
        <v>11.6359914818787</v>
      </c>
      <c r="C846" s="23" t="n">
        <v>0.0323398422227683</v>
      </c>
      <c r="D846" s="23" t="n">
        <v>12.3266297404902</v>
      </c>
      <c r="E846" s="13" t="str">
        <f aca="false">IF(B846&lt;5,"Acidic",IF(B846&lt;9,"Near-neutral","Alkaline"))</f>
        <v>Alkaline</v>
      </c>
    </row>
    <row r="847" customFormat="false" ht="15" hidden="false" customHeight="false" outlineLevel="0" collapsed="false">
      <c r="A847" s="23" t="n">
        <v>12.6363181590795</v>
      </c>
      <c r="B847" s="18" t="n">
        <v>11.6364761151839</v>
      </c>
      <c r="C847" s="23" t="n">
        <v>0.0322455339410226</v>
      </c>
      <c r="D847" s="23" t="n">
        <v>12.3266297404902</v>
      </c>
      <c r="E847" s="13" t="str">
        <f aca="false">IF(B847&lt;5,"Acidic",IF(B847&lt;9,"Near-neutral","Alkaline"))</f>
        <v>Alkaline</v>
      </c>
    </row>
    <row r="848" customFormat="false" ht="15" hidden="false" customHeight="false" outlineLevel="0" collapsed="false">
      <c r="A848" s="23" t="n">
        <v>12.6513256628314</v>
      </c>
      <c r="B848" s="18" t="n">
        <v>11.6369594121287</v>
      </c>
      <c r="C848" s="23" t="n">
        <v>0.0321563128749176</v>
      </c>
      <c r="D848" s="23" t="n">
        <v>12.3266297404902</v>
      </c>
      <c r="E848" s="13" t="str">
        <f aca="false">IF(B848&lt;5,"Acidic",IF(B848&lt;9,"Near-neutral","Alkaline"))</f>
        <v>Alkaline</v>
      </c>
    </row>
    <row r="849" customFormat="false" ht="15" hidden="false" customHeight="false" outlineLevel="0" collapsed="false">
      <c r="A849" s="23" t="n">
        <v>12.6663331665833</v>
      </c>
      <c r="B849" s="18" t="n">
        <v>11.6374412859119</v>
      </c>
      <c r="C849" s="23" t="n">
        <v>0.0320667541154762</v>
      </c>
      <c r="D849" s="23" t="n">
        <v>12.3266297404902</v>
      </c>
      <c r="E849" s="13" t="str">
        <f aca="false">IF(B849&lt;5,"Acidic",IF(B849&lt;9,"Near-neutral","Alkaline"))</f>
        <v>Alkaline</v>
      </c>
    </row>
    <row r="850" customFormat="false" ht="15" hidden="false" customHeight="false" outlineLevel="0" collapsed="false">
      <c r="A850" s="23" t="n">
        <v>12.6813406703352</v>
      </c>
      <c r="B850" s="18" t="n">
        <v>11.6379218130173</v>
      </c>
      <c r="C850" s="23" t="n">
        <v>0.0319768577011246</v>
      </c>
      <c r="D850" s="23" t="n">
        <v>12.3266297404902</v>
      </c>
      <c r="E850" s="13" t="str">
        <f aca="false">IF(B850&lt;5,"Acidic",IF(B850&lt;9,"Near-neutral","Alkaline"))</f>
        <v>Alkaline</v>
      </c>
    </row>
    <row r="851" customFormat="false" ht="15" hidden="false" customHeight="false" outlineLevel="0" collapsed="false">
      <c r="A851" s="23" t="n">
        <v>12.696348174087</v>
      </c>
      <c r="B851" s="18" t="n">
        <v>11.6384010702917</v>
      </c>
      <c r="C851" s="23" t="n">
        <v>0.031886623678929</v>
      </c>
      <c r="D851" s="23" t="n">
        <v>12.3266297404902</v>
      </c>
      <c r="E851" s="13" t="str">
        <f aca="false">IF(B851&lt;5,"Acidic",IF(B851&lt;9,"Near-neutral","Alkaline"))</f>
        <v>Alkaline</v>
      </c>
    </row>
    <row r="852" customFormat="false" ht="15" hidden="false" customHeight="false" outlineLevel="0" collapsed="false">
      <c r="A852" s="23" t="n">
        <v>12.7113556778389</v>
      </c>
      <c r="B852" s="18" t="n">
        <v>11.6388788889321</v>
      </c>
      <c r="C852" s="23" t="n">
        <v>0.0318015192866596</v>
      </c>
      <c r="D852" s="23" t="n">
        <v>12.3266297404902</v>
      </c>
      <c r="E852" s="13" t="str">
        <f aca="false">IF(B852&lt;5,"Acidic",IF(B852&lt;9,"Near-neutral","Alkaline"))</f>
        <v>Alkaline</v>
      </c>
    </row>
    <row r="853" customFormat="false" ht="15" hidden="false" customHeight="false" outlineLevel="0" collapsed="false">
      <c r="A853" s="23" t="n">
        <v>12.7263631815908</v>
      </c>
      <c r="B853" s="18" t="n">
        <v>11.6393555098842</v>
      </c>
      <c r="C853" s="23" t="n">
        <v>0.0317051490382028</v>
      </c>
      <c r="D853" s="23" t="n">
        <v>12.3266297404902</v>
      </c>
      <c r="E853" s="13" t="str">
        <f aca="false">IF(B853&lt;5,"Acidic",IF(B853&lt;9,"Near-neutral","Alkaline"))</f>
        <v>Alkaline</v>
      </c>
    </row>
    <row r="854" customFormat="false" ht="15" hidden="false" customHeight="false" outlineLevel="0" collapsed="false">
      <c r="A854" s="23" t="n">
        <v>12.7413706853427</v>
      </c>
      <c r="B854" s="18" t="n">
        <v>11.6398306820723</v>
      </c>
      <c r="C854" s="23" t="n">
        <v>0.0316193817134263</v>
      </c>
      <c r="D854" s="23" t="n">
        <v>12.3266297404902</v>
      </c>
      <c r="E854" s="13" t="str">
        <f aca="false">IF(B854&lt;5,"Acidic",IF(B854&lt;9,"Near-neutral","Alkaline"))</f>
        <v>Alkaline</v>
      </c>
    </row>
    <row r="855" customFormat="false" ht="15" hidden="false" customHeight="false" outlineLevel="0" collapsed="false">
      <c r="A855" s="23" t="n">
        <v>12.7563781890946</v>
      </c>
      <c r="B855" s="18" t="n">
        <v>11.6403045647101</v>
      </c>
      <c r="C855" s="23" t="n">
        <v>0.031538780111191</v>
      </c>
      <c r="D855" s="23" t="n">
        <v>12.3266297404902</v>
      </c>
      <c r="E855" s="13" t="str">
        <f aca="false">IF(B855&lt;5,"Acidic",IF(B855&lt;9,"Near-neutral","Alkaline"))</f>
        <v>Alkaline</v>
      </c>
    </row>
    <row r="856" customFormat="false" ht="15" hidden="false" customHeight="false" outlineLevel="0" collapsed="false">
      <c r="A856" s="23" t="n">
        <v>12.7713856928464</v>
      </c>
      <c r="B856" s="18" t="n">
        <v>11.6407771530043</v>
      </c>
      <c r="C856" s="23" t="n">
        <v>0.0314414037295592</v>
      </c>
      <c r="D856" s="23" t="n">
        <v>12.3266297404902</v>
      </c>
      <c r="E856" s="13" t="str">
        <f aca="false">IF(B856&lt;5,"Acidic",IF(B856&lt;9,"Near-neutral","Alkaline"))</f>
        <v>Alkaline</v>
      </c>
    </row>
    <row r="857" customFormat="false" ht="15" hidden="false" customHeight="false" outlineLevel="0" collapsed="false">
      <c r="A857" s="23" t="n">
        <v>12.7863931965983</v>
      </c>
      <c r="B857" s="18" t="n">
        <v>11.6412484421619</v>
      </c>
      <c r="C857" s="23" t="n">
        <v>0.0313601634046563</v>
      </c>
      <c r="D857" s="23" t="n">
        <v>12.3266297404902</v>
      </c>
      <c r="E857" s="13" t="str">
        <f aca="false">IF(B857&lt;5,"Acidic",IF(B857&lt;9,"Near-neutral","Alkaline"))</f>
        <v>Alkaline</v>
      </c>
    </row>
    <row r="858" customFormat="false" ht="15" hidden="false" customHeight="false" outlineLevel="0" collapsed="false">
      <c r="A858" s="23" t="n">
        <v>12.8014007003502</v>
      </c>
      <c r="B858" s="18" t="n">
        <v>11.6417184273909</v>
      </c>
      <c r="C858" s="23" t="n">
        <v>0.0312731186515975</v>
      </c>
      <c r="D858" s="23" t="n">
        <v>12.3266297404902</v>
      </c>
      <c r="E858" s="13" t="str">
        <f aca="false">IF(B858&lt;5,"Acidic",IF(B858&lt;9,"Near-neutral","Alkaline"))</f>
        <v>Alkaline</v>
      </c>
    </row>
    <row r="859" customFormat="false" ht="15" hidden="false" customHeight="false" outlineLevel="0" collapsed="false">
      <c r="A859" s="23" t="n">
        <v>12.8164082041021</v>
      </c>
      <c r="B859" s="18" t="n">
        <v>11.6421871038998</v>
      </c>
      <c r="C859" s="23" t="n">
        <v>0.0311857546575993</v>
      </c>
      <c r="D859" s="23" t="n">
        <v>12.3266297404902</v>
      </c>
      <c r="E859" s="13" t="str">
        <f aca="false">IF(B859&lt;5,"Acidic",IF(B859&lt;9,"Near-neutral","Alkaline"))</f>
        <v>Alkaline</v>
      </c>
    </row>
    <row r="860" customFormat="false" ht="15" hidden="false" customHeight="false" outlineLevel="0" collapsed="false">
      <c r="A860" s="23" t="n">
        <v>12.8314157078539</v>
      </c>
      <c r="B860" s="18" t="n">
        <v>11.642654466898</v>
      </c>
      <c r="C860" s="23" t="n">
        <v>0.0310980714858715</v>
      </c>
      <c r="D860" s="23" t="n">
        <v>12.3266297404902</v>
      </c>
      <c r="E860" s="13" t="str">
        <f aca="false">IF(B860&lt;5,"Acidic",IF(B860&lt;9,"Near-neutral","Alkaline"))</f>
        <v>Alkaline</v>
      </c>
    </row>
    <row r="861" customFormat="false" ht="15" hidden="false" customHeight="false" outlineLevel="0" collapsed="false">
      <c r="A861" s="23" t="n">
        <v>12.8464232116058</v>
      </c>
      <c r="B861" s="18" t="n">
        <v>11.643120511596</v>
      </c>
      <c r="C861" s="23" t="n">
        <v>0.0310155899720712</v>
      </c>
      <c r="D861" s="23" t="n">
        <v>12.3266297404902</v>
      </c>
      <c r="E861" s="13" t="str">
        <f aca="false">IF(B861&lt;5,"Acidic",IF(B861&lt;9,"Near-neutral","Alkaline"))</f>
        <v>Alkaline</v>
      </c>
    </row>
    <row r="862" customFormat="false" ht="15" hidden="false" customHeight="false" outlineLevel="0" collapsed="false">
      <c r="A862" s="23" t="n">
        <v>12.8614307153577</v>
      </c>
      <c r="B862" s="18" t="n">
        <v>11.6435853989998</v>
      </c>
      <c r="C862" s="23" t="n">
        <v>0.0309272804729517</v>
      </c>
      <c r="D862" s="23" t="n">
        <v>12.3266297404902</v>
      </c>
      <c r="E862" s="13" t="str">
        <f aca="false">IF(B862&lt;5,"Acidic",IF(B862&lt;9,"Near-neutral","Alkaline"))</f>
        <v>Alkaline</v>
      </c>
    </row>
    <row r="863" customFormat="false" ht="15" hidden="false" customHeight="false" outlineLevel="0" collapsed="false">
      <c r="A863" s="23" t="n">
        <v>12.8764382191096</v>
      </c>
      <c r="B863" s="18" t="n">
        <v>11.6440488758961</v>
      </c>
      <c r="C863" s="23" t="n">
        <v>0.0308441845645575</v>
      </c>
      <c r="D863" s="23" t="n">
        <v>12.3266297404902</v>
      </c>
      <c r="E863" s="13" t="str">
        <f aca="false">IF(B863&lt;5,"Acidic",IF(B863&lt;9,"Near-neutral","Alkaline"))</f>
        <v>Alkaline</v>
      </c>
    </row>
    <row r="864" customFormat="false" ht="15" hidden="false" customHeight="false" outlineLevel="0" collapsed="false">
      <c r="A864" s="23" t="n">
        <v>12.8914457228614</v>
      </c>
      <c r="B864" s="18" t="n">
        <v>11.6445111864556</v>
      </c>
      <c r="C864" s="23" t="n">
        <v>0.030760787430836</v>
      </c>
      <c r="D864" s="23" t="n">
        <v>12.3266297404902</v>
      </c>
      <c r="E864" s="13" t="str">
        <f aca="false">IF(B864&lt;5,"Acidic",IF(B864&lt;9,"Near-neutral","Alkaline"))</f>
        <v>Alkaline</v>
      </c>
    </row>
    <row r="865" customFormat="false" ht="15" hidden="false" customHeight="false" outlineLevel="0" collapsed="false">
      <c r="A865" s="23" t="n">
        <v>12.9064532266133</v>
      </c>
      <c r="B865" s="18" t="n">
        <v>11.6449721600979</v>
      </c>
      <c r="C865" s="23" t="n">
        <v>0.0306770891144197</v>
      </c>
      <c r="D865" s="23" t="n">
        <v>12.3266297404902</v>
      </c>
      <c r="E865" s="13" t="str">
        <f aca="false">IF(B865&lt;5,"Acidic",IF(B865&lt;9,"Near-neutral","Alkaline"))</f>
        <v>Alkaline</v>
      </c>
    </row>
    <row r="866" customFormat="false" ht="15" hidden="false" customHeight="false" outlineLevel="0" collapsed="false">
      <c r="A866" s="23" t="n">
        <v>12.9214607303652</v>
      </c>
      <c r="B866" s="18" t="n">
        <v>11.6454318752895</v>
      </c>
      <c r="C866" s="23" t="n">
        <v>0.0305930896654445</v>
      </c>
      <c r="D866" s="23" t="n">
        <v>12.3266297404902</v>
      </c>
      <c r="E866" s="13" t="str">
        <f aca="false">IF(B866&lt;5,"Acidic",IF(B866&lt;9,"Near-neutral","Alkaline"))</f>
        <v>Alkaline</v>
      </c>
    </row>
    <row r="867" customFormat="false" ht="15" hidden="false" customHeight="false" outlineLevel="0" collapsed="false">
      <c r="A867" s="23" t="n">
        <v>12.9364682341171</v>
      </c>
      <c r="B867" s="18" t="n">
        <v>11.6458903275118</v>
      </c>
      <c r="C867" s="23" t="n">
        <v>0.0305087891415496</v>
      </c>
      <c r="D867" s="23" t="n">
        <v>12.3266297404902</v>
      </c>
      <c r="E867" s="13" t="str">
        <f aca="false">IF(B867&lt;5,"Acidic",IF(B867&lt;9,"Near-neutral","Alkaline"))</f>
        <v>Alkaline</v>
      </c>
    </row>
    <row r="868" customFormat="false" ht="15" hidden="false" customHeight="false" outlineLevel="0" collapsed="false">
      <c r="A868" s="23" t="n">
        <v>12.9514757378689</v>
      </c>
      <c r="B868" s="18" t="n">
        <v>11.6463475956732</v>
      </c>
      <c r="C868" s="23" t="n">
        <v>0.0304241876081051</v>
      </c>
      <c r="D868" s="23" t="n">
        <v>12.3266297404902</v>
      </c>
      <c r="E868" s="13" t="str">
        <f aca="false">IF(B868&lt;5,"Acidic",IF(B868&lt;9,"Near-neutral","Alkaline"))</f>
        <v>Alkaline</v>
      </c>
    </row>
    <row r="869" customFormat="false" ht="15" hidden="false" customHeight="false" outlineLevel="0" collapsed="false">
      <c r="A869" s="23" t="n">
        <v>12.9664832416208</v>
      </c>
      <c r="B869" s="18" t="n">
        <v>11.6468035920063</v>
      </c>
      <c r="C869" s="23" t="n">
        <v>0.0303448528551371</v>
      </c>
      <c r="D869" s="23" t="n">
        <v>12.3266297404902</v>
      </c>
      <c r="E869" s="13" t="str">
        <f aca="false">IF(B869&lt;5,"Acidic",IF(B869&lt;9,"Near-neutral","Alkaline"))</f>
        <v>Alkaline</v>
      </c>
    </row>
    <row r="870" customFormat="false" ht="15" hidden="false" customHeight="false" outlineLevel="0" collapsed="false">
      <c r="A870" s="23" t="n">
        <v>12.9814907453727</v>
      </c>
      <c r="B870" s="18" t="n">
        <v>11.6472583119949</v>
      </c>
      <c r="C870" s="23" t="n">
        <v>0.0302596611765011</v>
      </c>
      <c r="D870" s="23" t="n">
        <v>12.3266297404902</v>
      </c>
      <c r="E870" s="13" t="str">
        <f aca="false">IF(B870&lt;5,"Acidic",IF(B870&lt;9,"Near-neutral","Alkaline"))</f>
        <v>Alkaline</v>
      </c>
    </row>
    <row r="871" customFormat="false" ht="15" hidden="false" customHeight="false" outlineLevel="0" collapsed="false">
      <c r="A871" s="23" t="n">
        <v>12.9964982491246</v>
      </c>
      <c r="B871" s="18" t="n">
        <v>11.6477118348131</v>
      </c>
      <c r="C871" s="23" t="n">
        <v>0.0301741686980677</v>
      </c>
      <c r="D871" s="23" t="n">
        <v>12.3266297404902</v>
      </c>
      <c r="E871" s="13" t="str">
        <f aca="false">IF(B871&lt;5,"Acidic",IF(B871&lt;9,"Near-neutral","Alkaline"))</f>
        <v>Alkaline</v>
      </c>
    </row>
    <row r="872" customFormat="false" ht="15" hidden="false" customHeight="false" outlineLevel="0" collapsed="false">
      <c r="A872" s="23" t="n">
        <v>13.0115057528764</v>
      </c>
      <c r="B872" s="18" t="n">
        <v>11.6481641562091</v>
      </c>
      <c r="C872" s="23" t="n">
        <v>0.0300995458406987</v>
      </c>
      <c r="D872" s="23" t="n">
        <v>12.3266297404902</v>
      </c>
      <c r="E872" s="13" t="str">
        <f aca="false">IF(B872&lt;5,"Acidic",IF(B872&lt;9,"Near-neutral","Alkaline"))</f>
        <v>Alkaline</v>
      </c>
    </row>
    <row r="873" customFormat="false" ht="15" hidden="false" customHeight="false" outlineLevel="0" collapsed="false">
      <c r="A873" s="23" t="n">
        <v>13.0265132566283</v>
      </c>
      <c r="B873" s="18" t="n">
        <v>11.6486151880689</v>
      </c>
      <c r="C873" s="23" t="n">
        <v>0.030013475234</v>
      </c>
      <c r="D873" s="23" t="n">
        <v>12.3266297404902</v>
      </c>
      <c r="E873" s="13" t="str">
        <f aca="false">IF(B873&lt;5,"Acidic",IF(B873&lt;9,"Near-neutral","Alkaline"))</f>
        <v>Alkaline</v>
      </c>
    </row>
    <row r="874" customFormat="false" ht="15" hidden="false" customHeight="false" outlineLevel="0" collapsed="false">
      <c r="A874" s="23" t="n">
        <v>13.0415207603802</v>
      </c>
      <c r="B874" s="18" t="n">
        <v>11.6490650937809</v>
      </c>
      <c r="C874" s="23" t="n">
        <v>0.0299382975633762</v>
      </c>
      <c r="D874" s="23" t="n">
        <v>12.3266297404902</v>
      </c>
      <c r="E874" s="13" t="str">
        <f aca="false">IF(B874&lt;5,"Acidic",IF(B874&lt;9,"Near-neutral","Alkaline"))</f>
        <v>Alkaline</v>
      </c>
    </row>
    <row r="875" customFormat="false" ht="15" hidden="false" customHeight="false" outlineLevel="0" collapsed="false">
      <c r="A875" s="23" t="n">
        <v>13.0565282641321</v>
      </c>
      <c r="B875" s="18" t="n">
        <v>11.6495137012829</v>
      </c>
      <c r="C875" s="23" t="n">
        <v>0.0298516490648808</v>
      </c>
      <c r="D875" s="23" t="n">
        <v>12.3266297404902</v>
      </c>
      <c r="E875" s="13" t="str">
        <f aca="false">IF(B875&lt;5,"Acidic",IF(B875&lt;9,"Near-neutral","Alkaline"))</f>
        <v>Alkaline</v>
      </c>
    </row>
    <row r="876" customFormat="false" ht="15" hidden="false" customHeight="false" outlineLevel="0" collapsed="false">
      <c r="A876" s="23" t="n">
        <v>13.0715357678839</v>
      </c>
      <c r="B876" s="18" t="n">
        <v>11.6499610901896</v>
      </c>
      <c r="C876" s="23" t="n">
        <v>0.0297759167680169</v>
      </c>
      <c r="D876" s="23" t="n">
        <v>12.3266297404902</v>
      </c>
      <c r="E876" s="13" t="str">
        <f aca="false">IF(B876&lt;5,"Acidic",IF(B876&lt;9,"Near-neutral","Alkaline"))</f>
        <v>Alkaline</v>
      </c>
    </row>
    <row r="877" customFormat="false" ht="15" hidden="false" customHeight="false" outlineLevel="0" collapsed="false">
      <c r="A877" s="23" t="n">
        <v>13.0865432716358</v>
      </c>
      <c r="B877" s="18" t="n">
        <v>11.6504073404632</v>
      </c>
      <c r="C877" s="23" t="n">
        <v>0.0296943047171681</v>
      </c>
      <c r="D877" s="23" t="n">
        <v>12.3266297404902</v>
      </c>
      <c r="E877" s="13" t="str">
        <f aca="false">IF(B877&lt;5,"Acidic",IF(B877&lt;9,"Near-neutral","Alkaline"))</f>
        <v>Alkaline</v>
      </c>
    </row>
    <row r="878" customFormat="false" ht="15" hidden="false" customHeight="false" outlineLevel="0" collapsed="false">
      <c r="A878" s="23" t="n">
        <v>13.1015507753877</v>
      </c>
      <c r="B878" s="18" t="n">
        <v>11.6508523638205</v>
      </c>
      <c r="C878" s="23" t="n">
        <v>0.0296124097346819</v>
      </c>
      <c r="D878" s="23" t="n">
        <v>12.3266297404902</v>
      </c>
      <c r="E878" s="13" t="str">
        <f aca="false">IF(B878&lt;5,"Acidic",IF(B878&lt;9,"Near-neutral","Alkaline"))</f>
        <v>Alkaline</v>
      </c>
    </row>
    <row r="879" customFormat="false" ht="15" hidden="false" customHeight="false" outlineLevel="0" collapsed="false">
      <c r="A879" s="23" t="n">
        <v>13.1165582791396</v>
      </c>
      <c r="B879" s="18" t="n">
        <v>11.6512962403983</v>
      </c>
      <c r="C879" s="23" t="n">
        <v>0.0295358574393276</v>
      </c>
      <c r="D879" s="23" t="n">
        <v>12.3266297404902</v>
      </c>
      <c r="E879" s="13" t="str">
        <f aca="false">IF(B879&lt;5,"Acidic",IF(B879&lt;9,"Near-neutral","Alkaline"))</f>
        <v>Alkaline</v>
      </c>
    </row>
    <row r="880" customFormat="false" ht="15" hidden="false" customHeight="false" outlineLevel="0" collapsed="false">
      <c r="A880" s="23" t="n">
        <v>13.1315657828915</v>
      </c>
      <c r="B880" s="18" t="n">
        <v>11.6517388817422</v>
      </c>
      <c r="C880" s="23" t="n">
        <v>0.0294534083084272</v>
      </c>
      <c r="D880" s="23" t="n">
        <v>12.3266297404902</v>
      </c>
      <c r="E880" s="13" t="str">
        <f aca="false">IF(B880&lt;5,"Acidic",IF(B880&lt;9,"Near-neutral","Alkaline"))</f>
        <v>Alkaline</v>
      </c>
    </row>
    <row r="881" customFormat="false" ht="15" hidden="false" customHeight="false" outlineLevel="0" collapsed="false">
      <c r="A881" s="23" t="n">
        <v>13.1465732866433</v>
      </c>
      <c r="B881" s="18" t="n">
        <v>11.6521803681632</v>
      </c>
      <c r="C881" s="23" t="n">
        <v>0.02937631346947</v>
      </c>
      <c r="D881" s="23" t="n">
        <v>12.3266297404902</v>
      </c>
      <c r="E881" s="13" t="str">
        <f aca="false">IF(B881&lt;5,"Acidic",IF(B881&lt;9,"Near-neutral","Alkaline"))</f>
        <v>Alkaline</v>
      </c>
    </row>
    <row r="882" customFormat="false" ht="15" hidden="false" customHeight="false" outlineLevel="0" collapsed="false">
      <c r="A882" s="23" t="n">
        <v>13.1615807903952</v>
      </c>
      <c r="B882" s="18" t="n">
        <v>11.6526206110369</v>
      </c>
      <c r="C882" s="23" t="n">
        <v>0.0293045958645735</v>
      </c>
      <c r="D882" s="23" t="n">
        <v>12.3266297404902</v>
      </c>
      <c r="E882" s="13" t="str">
        <f aca="false">IF(B882&lt;5,"Acidic",IF(B882&lt;9,"Near-neutral","Alkaline"))</f>
        <v>Alkaline</v>
      </c>
    </row>
    <row r="883" customFormat="false" ht="15" hidden="false" customHeight="false" outlineLevel="0" collapsed="false">
      <c r="A883" s="23" t="n">
        <v>13.1765882941471</v>
      </c>
      <c r="B883" s="18" t="n">
        <v>11.6530597755738</v>
      </c>
      <c r="C883" s="23" t="n">
        <v>0.0292213331657649</v>
      </c>
      <c r="D883" s="23" t="n">
        <v>12.3266297404902</v>
      </c>
      <c r="E883" s="13" t="str">
        <f aca="false">IF(B883&lt;5,"Acidic",IF(B883&lt;9,"Near-neutral","Alkaline"))</f>
        <v>Alkaline</v>
      </c>
    </row>
    <row r="884" customFormat="false" ht="15" hidden="false" customHeight="false" outlineLevel="0" collapsed="false">
      <c r="A884" s="23" t="n">
        <v>13.191595797899</v>
      </c>
      <c r="B884" s="18" t="n">
        <v>11.6534976884259</v>
      </c>
      <c r="C884" s="23" t="n">
        <v>0.0291434421006898</v>
      </c>
      <c r="D884" s="23" t="n">
        <v>12.3266297404902</v>
      </c>
      <c r="E884" s="13" t="str">
        <f aca="false">IF(B884&lt;5,"Acidic",IF(B884&lt;9,"Near-neutral","Alkaline"))</f>
        <v>Alkaline</v>
      </c>
    </row>
    <row r="885" customFormat="false" ht="15" hidden="false" customHeight="false" outlineLevel="0" collapsed="false">
      <c r="A885" s="23" t="n">
        <v>13.2066033016508</v>
      </c>
      <c r="B885" s="18" t="n">
        <v>11.6539345151478</v>
      </c>
      <c r="C885" s="23" t="n">
        <v>0.0290652857494251</v>
      </c>
      <c r="D885" s="23" t="n">
        <v>12.3266297404902</v>
      </c>
      <c r="E885" s="13" t="str">
        <f aca="false">IF(B885&lt;5,"Acidic",IF(B885&lt;9,"Near-neutral","Alkaline"))</f>
        <v>Alkaline</v>
      </c>
    </row>
    <row r="886" customFormat="false" ht="15" hidden="false" customHeight="false" outlineLevel="0" collapsed="false">
      <c r="A886" s="23" t="n">
        <v>13.2216108054027</v>
      </c>
      <c r="B886" s="18" t="n">
        <v>11.654370167033</v>
      </c>
      <c r="C886" s="23" t="n">
        <v>0.0289868641822295</v>
      </c>
      <c r="D886" s="23" t="n">
        <v>12.3266297404902</v>
      </c>
      <c r="E886" s="13" t="str">
        <f aca="false">IF(B886&lt;5,"Acidic",IF(B886&lt;9,"Near-neutral","Alkaline"))</f>
        <v>Alkaline</v>
      </c>
    </row>
    <row r="887" customFormat="false" ht="15" hidden="false" customHeight="false" outlineLevel="0" collapsed="false">
      <c r="A887" s="23" t="n">
        <v>13.2366183091546</v>
      </c>
      <c r="B887" s="18" t="n">
        <v>11.6548046401017</v>
      </c>
      <c r="C887" s="23" t="n">
        <v>0.0289138485783269</v>
      </c>
      <c r="D887" s="23" t="n">
        <v>12.3266297404902</v>
      </c>
      <c r="E887" s="13" t="str">
        <f aca="false">IF(B887&lt;5,"Acidic",IF(B887&lt;9,"Near-neutral","Alkaline"))</f>
        <v>Alkaline</v>
      </c>
    </row>
    <row r="888" customFormat="false" ht="15" hidden="false" customHeight="false" outlineLevel="0" collapsed="false">
      <c r="A888" s="23" t="n">
        <v>13.2516258129065</v>
      </c>
      <c r="B888" s="18" t="n">
        <v>11.6552380155268</v>
      </c>
      <c r="C888" s="23" t="n">
        <v>0.0288349081205297</v>
      </c>
      <c r="D888" s="23" t="n">
        <v>12.3266297404902</v>
      </c>
      <c r="E888" s="13" t="str">
        <f aca="false">IF(B888&lt;5,"Acidic",IF(B888&lt;9,"Near-neutral","Alkaline"))</f>
        <v>Alkaline</v>
      </c>
    </row>
    <row r="889" customFormat="false" ht="15" hidden="false" customHeight="false" outlineLevel="0" collapsed="false">
      <c r="A889" s="23" t="n">
        <v>13.2666333166583</v>
      </c>
      <c r="B889" s="18" t="n">
        <v>11.6556701191123</v>
      </c>
      <c r="C889" s="23" t="n">
        <v>0.0287613850661046</v>
      </c>
      <c r="D889" s="23" t="n">
        <v>12.3266297404902</v>
      </c>
      <c r="E889" s="13" t="str">
        <f aca="false">IF(B889&lt;5,"Acidic",IF(B889&lt;9,"Near-neutral","Alkaline"))</f>
        <v>Alkaline</v>
      </c>
    </row>
    <row r="890" customFormat="false" ht="15" hidden="false" customHeight="false" outlineLevel="0" collapsed="false">
      <c r="A890" s="23" t="n">
        <v>13.2816408204102</v>
      </c>
      <c r="B890" s="18" t="n">
        <v>11.656101202591</v>
      </c>
      <c r="C890" s="23" t="n">
        <v>0.0286876140127106</v>
      </c>
      <c r="D890" s="23" t="n">
        <v>12.3266297404902</v>
      </c>
      <c r="E890" s="13" t="str">
        <f aca="false">IF(B890&lt;5,"Acidic",IF(B890&lt;9,"Near-neutral","Alkaline"))</f>
        <v>Alkaline</v>
      </c>
    </row>
    <row r="891" customFormat="false" ht="15" hidden="false" customHeight="false" outlineLevel="0" collapsed="false">
      <c r="A891" s="23" t="n">
        <v>13.2966483241621</v>
      </c>
      <c r="B891" s="18" t="n">
        <v>11.6565311770896</v>
      </c>
      <c r="C891" s="23" t="n">
        <v>0.0286079013401377</v>
      </c>
      <c r="D891" s="23" t="n">
        <v>12.3266297404902</v>
      </c>
      <c r="E891" s="13" t="str">
        <f aca="false">IF(B891&lt;5,"Acidic",IF(B891&lt;9,"Near-neutral","Alkaline"))</f>
        <v>Alkaline</v>
      </c>
    </row>
    <row r="892" customFormat="false" ht="15" hidden="false" customHeight="false" outlineLevel="0" collapsed="false">
      <c r="A892" s="23" t="n">
        <v>13.311655827914</v>
      </c>
      <c r="B892" s="18" t="n">
        <v>11.6569599533975</v>
      </c>
      <c r="C892" s="23" t="n">
        <v>0.0285336231910378</v>
      </c>
      <c r="D892" s="23" t="n">
        <v>12.3266297404902</v>
      </c>
      <c r="E892" s="13" t="str">
        <f aca="false">IF(B892&lt;5,"Acidic",IF(B892&lt;9,"Near-neutral","Alkaline"))</f>
        <v>Alkaline</v>
      </c>
    </row>
    <row r="893" customFormat="false" ht="15" hidden="false" customHeight="false" outlineLevel="0" collapsed="false">
      <c r="A893" s="23" t="n">
        <v>13.3266633316658</v>
      </c>
      <c r="B893" s="18" t="n">
        <v>11.6573876131161</v>
      </c>
      <c r="C893" s="23" t="n">
        <v>0.0284590972183878</v>
      </c>
      <c r="D893" s="23" t="n">
        <v>12.3266297404902</v>
      </c>
      <c r="E893" s="13" t="str">
        <f aca="false">IF(B893&lt;5,"Acidic",IF(B893&lt;9,"Near-neutral","Alkaline"))</f>
        <v>Alkaline</v>
      </c>
    </row>
    <row r="894" customFormat="false" ht="15" hidden="false" customHeight="false" outlineLevel="0" collapsed="false">
      <c r="A894" s="23" t="n">
        <v>13.3416708354177</v>
      </c>
      <c r="B894" s="18" t="n">
        <v>11.6578141525266</v>
      </c>
      <c r="C894" s="23" t="n">
        <v>0.028390033969572</v>
      </c>
      <c r="D894" s="23" t="n">
        <v>12.3266297404902</v>
      </c>
      <c r="E894" s="13" t="str">
        <f aca="false">IF(B894&lt;5,"Acidic",IF(B894&lt;9,"Near-neutral","Alkaline"))</f>
        <v>Alkaline</v>
      </c>
    </row>
    <row r="895" customFormat="false" ht="15" hidden="false" customHeight="false" outlineLevel="0" collapsed="false">
      <c r="A895" s="23" t="n">
        <v>13.3566783391696</v>
      </c>
      <c r="B895" s="18" t="n">
        <v>11.6582395679111</v>
      </c>
      <c r="C895" s="23" t="n">
        <v>0.028309307639006</v>
      </c>
      <c r="D895" s="23" t="n">
        <v>12.3266297404902</v>
      </c>
      <c r="E895" s="13" t="str">
        <f aca="false">IF(B895&lt;5,"Acidic",IF(B895&lt;9,"Near-neutral","Alkaline"))</f>
        <v>Alkaline</v>
      </c>
    </row>
    <row r="896" customFormat="false" ht="15" hidden="false" customHeight="false" outlineLevel="0" collapsed="false">
      <c r="A896" s="23" t="n">
        <v>13.3716858429215</v>
      </c>
      <c r="B896" s="18" t="n">
        <v>11.6586639413788</v>
      </c>
      <c r="C896" s="23" t="n">
        <v>0.0282397602280753</v>
      </c>
      <c r="D896" s="23" t="n">
        <v>12.3266297404902</v>
      </c>
      <c r="E896" s="13" t="str">
        <f aca="false">IF(B896&lt;5,"Acidic",IF(B896&lt;9,"Near-neutral","Alkaline"))</f>
        <v>Alkaline</v>
      </c>
    </row>
    <row r="897" customFormat="false" ht="15" hidden="false" customHeight="false" outlineLevel="0" collapsed="false">
      <c r="A897" s="23" t="n">
        <v>13.3866933466733</v>
      </c>
      <c r="B897" s="18" t="n">
        <v>11.6590871835555</v>
      </c>
      <c r="C897" s="23" t="n">
        <v>0.0281585275255338</v>
      </c>
      <c r="D897" s="23" t="n">
        <v>12.3266297404902</v>
      </c>
      <c r="E897" s="13" t="str">
        <f aca="false">IF(B897&lt;5,"Acidic",IF(B897&lt;9,"Near-neutral","Alkaline"))</f>
        <v>Alkaline</v>
      </c>
    </row>
    <row r="898" customFormat="false" ht="15" hidden="false" customHeight="false" outlineLevel="0" collapsed="false">
      <c r="A898" s="23" t="n">
        <v>13.4017008504252</v>
      </c>
      <c r="B898" s="18" t="n">
        <v>11.6595092907262</v>
      </c>
      <c r="C898" s="23" t="n">
        <v>0.028088496223404</v>
      </c>
      <c r="D898" s="23" t="n">
        <v>12.3266297404902</v>
      </c>
      <c r="E898" s="13" t="str">
        <f aca="false">IF(B898&lt;5,"Acidic",IF(B898&lt;9,"Near-neutral","Alkaline"))</f>
        <v>Alkaline</v>
      </c>
    </row>
    <row r="899" customFormat="false" ht="15" hidden="false" customHeight="false" outlineLevel="0" collapsed="false">
      <c r="A899" s="23" t="n">
        <v>13.4167083541771</v>
      </c>
      <c r="B899" s="18" t="n">
        <v>11.6599302591774</v>
      </c>
      <c r="C899" s="23" t="n">
        <v>0.0280182341997488</v>
      </c>
      <c r="D899" s="23" t="n">
        <v>12.3266297404902</v>
      </c>
      <c r="E899" s="13" t="str">
        <f aca="false">IF(B899&lt;5,"Acidic",IF(B899&lt;9,"Near-neutral","Alkaline"))</f>
        <v>Alkaline</v>
      </c>
    </row>
    <row r="900" customFormat="false" ht="15" hidden="false" customHeight="false" outlineLevel="0" collapsed="false">
      <c r="A900" s="23" t="n">
        <v>13.431715857929</v>
      </c>
      <c r="B900" s="18" t="n">
        <v>11.6603501713565</v>
      </c>
      <c r="C900" s="23" t="n">
        <v>0.0279477414943585</v>
      </c>
      <c r="D900" s="23" t="n">
        <v>12.3266297404902</v>
      </c>
      <c r="E900" s="13" t="str">
        <f aca="false">IF(B900&lt;5,"Acidic",IF(B900&lt;9,"Near-neutral","Alkaline"))</f>
        <v>Alkaline</v>
      </c>
    </row>
    <row r="901" customFormat="false" ht="15" hidden="false" customHeight="false" outlineLevel="0" collapsed="false">
      <c r="A901" s="23" t="n">
        <v>13.4467233616808</v>
      </c>
      <c r="B901" s="18" t="n">
        <v>11.6607690238022</v>
      </c>
      <c r="C901" s="23" t="n">
        <v>0.0278712687281768</v>
      </c>
      <c r="D901" s="23" t="n">
        <v>12.3266297404902</v>
      </c>
      <c r="E901" s="13" t="str">
        <f aca="false">IF(B901&lt;5,"Acidic",IF(B901&lt;9,"Near-neutral","Alkaline"))</f>
        <v>Alkaline</v>
      </c>
    </row>
    <row r="902" customFormat="false" ht="15" hidden="false" customHeight="false" outlineLevel="0" collapsed="false">
      <c r="A902" s="23" t="n">
        <v>13.4617308654327</v>
      </c>
      <c r="B902" s="18" t="n">
        <v>11.6611868130536</v>
      </c>
      <c r="C902" s="23" t="n">
        <v>0.0278003037416283</v>
      </c>
      <c r="D902" s="23" t="n">
        <v>12.3266297404902</v>
      </c>
      <c r="E902" s="13" t="str">
        <f aca="false">IF(B902&lt;5,"Acidic",IF(B902&lt;9,"Near-neutral","Alkaline"))</f>
        <v>Alkaline</v>
      </c>
    </row>
    <row r="903" customFormat="false" ht="15" hidden="false" customHeight="false" outlineLevel="0" collapsed="false">
      <c r="A903" s="23" t="n">
        <v>13.4767383691846</v>
      </c>
      <c r="B903" s="18" t="n">
        <v>11.6616035356508</v>
      </c>
      <c r="C903" s="23" t="n">
        <v>0.0277291082451256</v>
      </c>
      <c r="D903" s="23" t="n">
        <v>12.3266297404902</v>
      </c>
      <c r="E903" s="13" t="str">
        <f aca="false">IF(B903&lt;5,"Acidic",IF(B903&lt;9,"Near-neutral","Alkaline"))</f>
        <v>Alkaline</v>
      </c>
    </row>
    <row r="904" customFormat="false" ht="15" hidden="false" customHeight="false" outlineLevel="0" collapsed="false">
      <c r="A904" s="23" t="n">
        <v>13.4917458729365</v>
      </c>
      <c r="B904" s="18" t="n">
        <v>11.6620191016431</v>
      </c>
      <c r="C904" s="23" t="n">
        <v>0.0276576822976722</v>
      </c>
      <c r="D904" s="23" t="n">
        <v>12.3266297404902</v>
      </c>
      <c r="E904" s="13" t="str">
        <f aca="false">IF(B904&lt;5,"Acidic",IF(B904&lt;9,"Near-neutral","Alkaline"))</f>
        <v>Alkaline</v>
      </c>
    </row>
    <row r="905" customFormat="false" ht="15" hidden="false" customHeight="false" outlineLevel="0" collapsed="false">
      <c r="A905" s="23" t="n">
        <v>13.5067533766883</v>
      </c>
      <c r="B905" s="18" t="n">
        <v>11.6624335938987</v>
      </c>
      <c r="C905" s="23" t="n">
        <v>0.0275860259628189</v>
      </c>
      <c r="D905" s="23" t="n">
        <v>12.3266297404902</v>
      </c>
      <c r="E905" s="13" t="str">
        <f aca="false">IF(B905&lt;5,"Acidic",IF(B905&lt;9,"Near-neutral","Alkaline"))</f>
        <v>Alkaline</v>
      </c>
    </row>
    <row r="906" customFormat="false" ht="15" hidden="false" customHeight="false" outlineLevel="0" collapsed="false">
      <c r="A906" s="23" t="n">
        <v>13.5217608804402</v>
      </c>
      <c r="B906" s="18" t="n">
        <v>11.6628470956172</v>
      </c>
      <c r="C906" s="23" t="n">
        <v>0.0275141393092326</v>
      </c>
      <c r="D906" s="23" t="n">
        <v>12.3266297404902</v>
      </c>
      <c r="E906" s="13" t="str">
        <f aca="false">IF(B906&lt;5,"Acidic",IF(B906&lt;9,"Near-neutral","Alkaline"))</f>
        <v>Alkaline</v>
      </c>
    </row>
    <row r="907" customFormat="false" ht="15" hidden="false" customHeight="false" outlineLevel="0" collapsed="false">
      <c r="A907" s="23" t="n">
        <v>13.5367683841921</v>
      </c>
      <c r="B907" s="18" t="n">
        <v>11.663259430112</v>
      </c>
      <c r="C907" s="23" t="n">
        <v>0.0274478048532956</v>
      </c>
      <c r="D907" s="23" t="n">
        <v>12.3266297404902</v>
      </c>
      <c r="E907" s="13" t="str">
        <f aca="false">IF(B907&lt;5,"Acidic",IF(B907&lt;9,"Near-neutral","Alkaline"))</f>
        <v>Alkaline</v>
      </c>
    </row>
    <row r="908" customFormat="false" ht="15" hidden="false" customHeight="false" outlineLevel="0" collapsed="false">
      <c r="A908" s="23" t="n">
        <v>13.551775887944</v>
      </c>
      <c r="B908" s="18" t="n">
        <v>11.663670854145</v>
      </c>
      <c r="C908" s="23" t="n">
        <v>0.0273754687316341</v>
      </c>
      <c r="D908" s="23" t="n">
        <v>12.3266297404902</v>
      </c>
      <c r="E908" s="13" t="str">
        <f aca="false">IF(B908&lt;5,"Acidic",IF(B908&lt;9,"Near-neutral","Alkaline"))</f>
        <v>Alkaline</v>
      </c>
    </row>
    <row r="909" customFormat="false" ht="15" hidden="false" customHeight="false" outlineLevel="0" collapsed="false">
      <c r="A909" s="23" t="n">
        <v>13.5667833916959</v>
      </c>
      <c r="B909" s="18" t="n">
        <v>11.6640811040454</v>
      </c>
      <c r="C909" s="23" t="n">
        <v>0.0273029024983771</v>
      </c>
      <c r="D909" s="23" t="n">
        <v>12.3266297404902</v>
      </c>
      <c r="E909" s="13" t="str">
        <f aca="false">IF(B909&lt;5,"Acidic",IF(B909&lt;9,"Near-neutral","Alkaline"))</f>
        <v>Alkaline</v>
      </c>
    </row>
    <row r="910" customFormat="false" ht="15" hidden="false" customHeight="false" outlineLevel="0" collapsed="false">
      <c r="A910" s="23" t="n">
        <v>13.5817908954477</v>
      </c>
      <c r="B910" s="18" t="n">
        <v>11.6644903500848</v>
      </c>
      <c r="C910" s="23" t="n">
        <v>0.0272359050760542</v>
      </c>
      <c r="D910" s="23" t="n">
        <v>12.3266297404902</v>
      </c>
      <c r="E910" s="13" t="str">
        <f aca="false">IF(B910&lt;5,"Acidic",IF(B910&lt;9,"Near-neutral","Alkaline"))</f>
        <v>Alkaline</v>
      </c>
    </row>
    <row r="911" customFormat="false" ht="15" hidden="false" customHeight="false" outlineLevel="0" collapsed="false">
      <c r="A911" s="23" t="n">
        <v>13.5967983991996</v>
      </c>
      <c r="B911" s="18" t="n">
        <v>11.6648985890574</v>
      </c>
      <c r="C911" s="23" t="n">
        <v>0.0271628897792198</v>
      </c>
      <c r="D911" s="23" t="n">
        <v>12.3266297404902</v>
      </c>
      <c r="E911" s="13" t="str">
        <f aca="false">IF(B911&lt;5,"Acidic",IF(B911&lt;9,"Near-neutral","Alkaline"))</f>
        <v>Alkaline</v>
      </c>
    </row>
    <row r="912" customFormat="false" ht="15" hidden="false" customHeight="false" outlineLevel="0" collapsed="false">
      <c r="A912" s="23" t="n">
        <v>13.6118059029515</v>
      </c>
      <c r="B912" s="18" t="n">
        <v>11.6653057306094</v>
      </c>
      <c r="C912" s="23" t="n">
        <v>0.0270954543387916</v>
      </c>
      <c r="D912" s="23" t="n">
        <v>12.3266297404902</v>
      </c>
      <c r="E912" s="13" t="str">
        <f aca="false">IF(B912&lt;5,"Acidic",IF(B912&lt;9,"Near-neutral","Alkaline"))</f>
        <v>Alkaline</v>
      </c>
    </row>
    <row r="913" customFormat="false" ht="15" hidden="false" customHeight="false" outlineLevel="0" collapsed="false">
      <c r="A913" s="23" t="n">
        <v>13.6268134067034</v>
      </c>
      <c r="B913" s="18" t="n">
        <v>11.6657118585218</v>
      </c>
      <c r="C913" s="23" t="n">
        <v>0.0270278054230175</v>
      </c>
      <c r="D913" s="23" t="n">
        <v>12.3266297404902</v>
      </c>
      <c r="E913" s="13" t="str">
        <f aca="false">IF(B913&lt;5,"Acidic",IF(B913&lt;9,"Near-neutral","Alkaline"))</f>
        <v>Alkaline</v>
      </c>
    </row>
    <row r="914" customFormat="false" ht="15" hidden="false" customHeight="false" outlineLevel="0" collapsed="false">
      <c r="A914" s="23" t="n">
        <v>13.6418209104552</v>
      </c>
      <c r="B914" s="18" t="n">
        <v>11.6661169695912</v>
      </c>
      <c r="C914" s="23" t="n">
        <v>0.0269599430851031</v>
      </c>
      <c r="D914" s="23" t="n">
        <v>12.3266297404902</v>
      </c>
      <c r="E914" s="13" t="str">
        <f aca="false">IF(B914&lt;5,"Acidic",IF(B914&lt;9,"Near-neutral","Alkaline"))</f>
        <v>Alkaline</v>
      </c>
    </row>
    <row r="915" customFormat="false" ht="15" hidden="false" customHeight="false" outlineLevel="0" collapsed="false">
      <c r="A915" s="23" t="n">
        <v>13.6568284142071</v>
      </c>
      <c r="B915" s="18" t="n">
        <v>11.6665209732225</v>
      </c>
      <c r="C915" s="23" t="n">
        <v>0.0268860414050778</v>
      </c>
      <c r="D915" s="23" t="n">
        <v>12.3266297404902</v>
      </c>
      <c r="E915" s="13" t="str">
        <f aca="false">IF(B915&lt;5,"Acidic",IF(B915&lt;9,"Near-neutral","Alkaline"))</f>
        <v>Alkaline</v>
      </c>
    </row>
    <row r="916" customFormat="false" ht="15" hidden="false" customHeight="false" outlineLevel="0" collapsed="false">
      <c r="A916" s="23" t="n">
        <v>13.671835917959</v>
      </c>
      <c r="B916" s="18" t="n">
        <v>11.6669240409183</v>
      </c>
      <c r="C916" s="23" t="n">
        <v>0.0268235729739672</v>
      </c>
      <c r="D916" s="23" t="n">
        <v>12.3266297404902</v>
      </c>
      <c r="E916" s="13" t="str">
        <f aca="false">IF(B916&lt;5,"Acidic",IF(B916&lt;9,"Near-neutral","Alkaline"))</f>
        <v>Alkaline</v>
      </c>
    </row>
    <row r="917" customFormat="false" ht="15" hidden="false" customHeight="false" outlineLevel="0" collapsed="false">
      <c r="A917" s="23" t="n">
        <v>13.6868434217109</v>
      </c>
      <c r="B917" s="18" t="n">
        <v>11.6673259946116</v>
      </c>
      <c r="C917" s="23" t="n">
        <v>0.0267550707402506</v>
      </c>
      <c r="D917" s="23" t="n">
        <v>12.3266297404902</v>
      </c>
      <c r="E917" s="13" t="str">
        <f aca="false">IF(B917&lt;5,"Acidic",IF(B917&lt;9,"Near-neutral","Alkaline"))</f>
        <v>Alkaline</v>
      </c>
    </row>
    <row r="918" customFormat="false" ht="15" hidden="false" customHeight="false" outlineLevel="0" collapsed="false">
      <c r="A918" s="23" t="n">
        <v>13.7018509254627</v>
      </c>
      <c r="B918" s="18" t="n">
        <v>11.6677270061317</v>
      </c>
      <c r="C918" s="23" t="n">
        <v>0.026686355339848</v>
      </c>
      <c r="D918" s="23" t="n">
        <v>12.3266297404902</v>
      </c>
      <c r="E918" s="13" t="str">
        <f aca="false">IF(B918&lt;5,"Acidic",IF(B918&lt;9,"Near-neutral","Alkaline"))</f>
        <v>Alkaline</v>
      </c>
    </row>
    <row r="919" customFormat="false" ht="15" hidden="false" customHeight="false" outlineLevel="0" collapsed="false">
      <c r="A919" s="23" t="n">
        <v>13.7168584292146</v>
      </c>
      <c r="B919" s="18" t="n">
        <v>11.6681270725228</v>
      </c>
      <c r="C919" s="23" t="n">
        <v>0.0266174268481336</v>
      </c>
      <c r="D919" s="23" t="n">
        <v>12.3266297404902</v>
      </c>
      <c r="E919" s="13" t="str">
        <f aca="false">IF(B919&lt;5,"Acidic",IF(B919&lt;9,"Near-neutral","Alkaline"))</f>
        <v>Alkaline</v>
      </c>
    </row>
    <row r="920" customFormat="false" ht="15" hidden="false" customHeight="false" outlineLevel="0" collapsed="false">
      <c r="A920" s="23" t="n">
        <v>13.7318659329665</v>
      </c>
      <c r="B920" s="18" t="n">
        <v>11.6685260152349</v>
      </c>
      <c r="C920" s="23" t="n">
        <v>0.026554138246297</v>
      </c>
      <c r="D920" s="23" t="n">
        <v>12.3266297404902</v>
      </c>
      <c r="E920" s="13" t="str">
        <f aca="false">IF(B920&lt;5,"Acidic",IF(B920&lt;9,"Near-neutral","Alkaline"))</f>
        <v>Alkaline</v>
      </c>
    </row>
    <row r="921" customFormat="false" ht="15" hidden="false" customHeight="false" outlineLevel="0" collapsed="false">
      <c r="A921" s="23" t="n">
        <v>13.7468734367184</v>
      </c>
      <c r="B921" s="18" t="n">
        <v>11.6689240065854</v>
      </c>
      <c r="C921" s="23" t="n">
        <v>0.0264789362696547</v>
      </c>
      <c r="D921" s="23" t="n">
        <v>12.3266297404902</v>
      </c>
      <c r="E921" s="13" t="str">
        <f aca="false">IF(B921&lt;5,"Acidic",IF(B921&lt;9,"Near-neutral","Alkaline"))</f>
        <v>Alkaline</v>
      </c>
    </row>
    <row r="922" customFormat="false" ht="15" hidden="false" customHeight="false" outlineLevel="0" collapsed="false">
      <c r="A922" s="23" t="n">
        <v>13.7618809404702</v>
      </c>
      <c r="B922" s="18" t="n">
        <v>11.6693209556624</v>
      </c>
      <c r="C922" s="23" t="n">
        <v>0.0264210962085372</v>
      </c>
      <c r="D922" s="23" t="n">
        <v>12.3266297404902</v>
      </c>
      <c r="E922" s="13" t="str">
        <f aca="false">IF(B922&lt;5,"Acidic",IF(B922&lt;9,"Near-neutral","Alkaline"))</f>
        <v>Alkaline</v>
      </c>
    </row>
    <row r="923" customFormat="false" ht="15" hidden="false" customHeight="false" outlineLevel="0" collapsed="false">
      <c r="A923" s="23" t="n">
        <v>13.7768884442221</v>
      </c>
      <c r="B923" s="18" t="n">
        <v>11.6697169473103</v>
      </c>
      <c r="C923" s="23" t="n">
        <v>0.0263513375412003</v>
      </c>
      <c r="D923" s="23" t="n">
        <v>12.3266297404902</v>
      </c>
      <c r="E923" s="13" t="str">
        <f aca="false">IF(B923&lt;5,"Acidic",IF(B923&lt;9,"Near-neutral","Alkaline"))</f>
        <v>Alkaline</v>
      </c>
    </row>
    <row r="924" customFormat="false" ht="15" hidden="false" customHeight="false" outlineLevel="0" collapsed="false">
      <c r="A924" s="23" t="n">
        <v>13.791895947974</v>
      </c>
      <c r="B924" s="18" t="n">
        <v>11.6701119785768</v>
      </c>
      <c r="C924" s="23" t="n">
        <v>0.026287240453712</v>
      </c>
      <c r="D924" s="23" t="n">
        <v>12.3266297404902</v>
      </c>
      <c r="E924" s="13" t="str">
        <f aca="false">IF(B924&lt;5,"Acidic",IF(B924&lt;9,"Near-neutral","Alkaline"))</f>
        <v>Alkaline</v>
      </c>
    </row>
    <row r="925" customFormat="false" ht="15" hidden="false" customHeight="false" outlineLevel="0" collapsed="false">
      <c r="A925" s="23" t="n">
        <v>13.8069034517259</v>
      </c>
      <c r="B925" s="18" t="n">
        <v>11.670505958312</v>
      </c>
      <c r="C925" s="23" t="n">
        <v>0.0262229467334691</v>
      </c>
      <c r="D925" s="23" t="n">
        <v>12.3266297404902</v>
      </c>
      <c r="E925" s="13" t="str">
        <f aca="false">IF(B925&lt;5,"Acidic",IF(B925&lt;9,"Near-neutral","Alkaline"))</f>
        <v>Alkaline</v>
      </c>
    </row>
    <row r="926" customFormat="false" ht="15" hidden="false" customHeight="false" outlineLevel="0" collapsed="false">
      <c r="A926" s="23" t="n">
        <v>13.8219109554777</v>
      </c>
      <c r="B926" s="18" t="n">
        <v>11.6708989716039</v>
      </c>
      <c r="C926" s="23" t="n">
        <v>0.0261525715033031</v>
      </c>
      <c r="D926" s="23" t="n">
        <v>12.3266297404902</v>
      </c>
      <c r="E926" s="13" t="str">
        <f aca="false">IF(B926&lt;5,"Acidic",IF(B926&lt;9,"Near-neutral","Alkaline"))</f>
        <v>Alkaline</v>
      </c>
    </row>
    <row r="927" customFormat="false" ht="15" hidden="false" customHeight="false" outlineLevel="0" collapsed="false">
      <c r="A927" s="23" t="n">
        <v>13.8369184592296</v>
      </c>
      <c r="B927" s="18" t="n">
        <v>11.6712910155028</v>
      </c>
      <c r="C927" s="23" t="n">
        <v>0.0260937642976842</v>
      </c>
      <c r="D927" s="23" t="n">
        <v>12.3266297404902</v>
      </c>
      <c r="E927" s="13" t="str">
        <f aca="false">IF(B927&lt;5,"Acidic",IF(B927&lt;9,"Near-neutral","Alkaline"))</f>
        <v>Alkaline</v>
      </c>
    </row>
    <row r="928" customFormat="false" ht="15" hidden="false" customHeight="false" outlineLevel="0" collapsed="false">
      <c r="A928" s="23" t="n">
        <v>13.8519259629815</v>
      </c>
      <c r="B928" s="18" t="n">
        <v>11.67168208706</v>
      </c>
      <c r="C928" s="23" t="n">
        <v>0.0260229854779936</v>
      </c>
      <c r="D928" s="23" t="n">
        <v>12.3266297404902</v>
      </c>
      <c r="E928" s="13" t="str">
        <f aca="false">IF(B928&lt;5,"Acidic",IF(B928&lt;9,"Near-neutral","Alkaline"))</f>
        <v>Alkaline</v>
      </c>
    </row>
    <row r="929" customFormat="false" ht="15" hidden="false" customHeight="false" outlineLevel="0" collapsed="false">
      <c r="A929" s="23" t="n">
        <v>13.8669334667334</v>
      </c>
      <c r="B929" s="18" t="n">
        <v>11.6720721833278</v>
      </c>
      <c r="C929" s="23" t="n">
        <v>0.0259637960396049</v>
      </c>
      <c r="D929" s="23" t="n">
        <v>12.3266297404902</v>
      </c>
      <c r="E929" s="13" t="str">
        <f aca="false">IF(B929&lt;5,"Acidic",IF(B929&lt;9,"Near-neutral","Alkaline"))</f>
        <v>Alkaline</v>
      </c>
    </row>
    <row r="930" customFormat="false" ht="15" hidden="false" customHeight="false" outlineLevel="0" collapsed="false">
      <c r="A930" s="23" t="n">
        <v>13.8819409704852</v>
      </c>
      <c r="B930" s="18" t="n">
        <v>11.6724612127629</v>
      </c>
      <c r="C930" s="23" t="n">
        <v>0.0258926139190407</v>
      </c>
      <c r="D930" s="23" t="n">
        <v>12.3266297404902</v>
      </c>
      <c r="E930" s="13" t="str">
        <f aca="false">IF(B930&lt;5,"Acidic",IF(B930&lt;9,"Near-neutral","Alkaline"))</f>
        <v>Alkaline</v>
      </c>
    </row>
    <row r="931" customFormat="false" ht="15" hidden="false" customHeight="false" outlineLevel="0" collapsed="false">
      <c r="A931" s="23" t="n">
        <v>13.8969484742371</v>
      </c>
      <c r="B931" s="18" t="n">
        <v>11.6728493495331</v>
      </c>
      <c r="C931" s="23" t="n">
        <v>0.025833042483896</v>
      </c>
      <c r="D931" s="23" t="n">
        <v>12.3266297404902</v>
      </c>
      <c r="E931" s="13" t="str">
        <f aca="false">IF(B931&lt;5,"Acidic",IF(B931&lt;9,"Near-neutral","Alkaline"))</f>
        <v>Alkaline</v>
      </c>
    </row>
    <row r="932" customFormat="false" ht="15" hidden="false" customHeight="false" outlineLevel="0" collapsed="false">
      <c r="A932" s="23" t="n">
        <v>13.911955977989</v>
      </c>
      <c r="B932" s="18" t="n">
        <v>11.6732365909314</v>
      </c>
      <c r="C932" s="23" t="n">
        <v>0.0257673740333075</v>
      </c>
      <c r="D932" s="23" t="n">
        <v>12.3266297404902</v>
      </c>
      <c r="E932" s="13" t="str">
        <f aca="false">IF(B932&lt;5,"Acidic",IF(B932&lt;9,"Near-neutral","Alkaline"))</f>
        <v>Alkaline</v>
      </c>
    </row>
    <row r="933" customFormat="false" ht="15" hidden="false" customHeight="false" outlineLevel="0" collapsed="false">
      <c r="A933" s="23" t="n">
        <v>13.9269634817409</v>
      </c>
      <c r="B933" s="18" t="n">
        <v>11.6736228454176</v>
      </c>
      <c r="C933" s="23" t="n">
        <v>0.0257015094742883</v>
      </c>
      <c r="D933" s="23" t="n">
        <v>12.3266297404902</v>
      </c>
      <c r="E933" s="13" t="str">
        <f aca="false">IF(B933&lt;5,"Acidic",IF(B933&lt;9,"Near-neutral","Alkaline"))</f>
        <v>Alkaline</v>
      </c>
    </row>
    <row r="934" customFormat="false" ht="15" hidden="false" customHeight="false" outlineLevel="0" collapsed="false">
      <c r="A934" s="23" t="n">
        <v>13.9419709854928</v>
      </c>
      <c r="B934" s="18" t="n">
        <v>11.674008110049</v>
      </c>
      <c r="C934" s="23" t="n">
        <v>0.0256413760472469</v>
      </c>
      <c r="D934" s="23" t="n">
        <v>12.3266297404902</v>
      </c>
      <c r="E934" s="13" t="str">
        <f aca="false">IF(B934&lt;5,"Acidic",IF(B934&lt;9,"Near-neutral","Alkaline"))</f>
        <v>Alkaline</v>
      </c>
    </row>
    <row r="935" customFormat="false" ht="15" hidden="false" customHeight="false" outlineLevel="0" collapsed="false">
      <c r="A935" s="23" t="n">
        <v>13.9569784892446</v>
      </c>
      <c r="B935" s="18" t="n">
        <v>11.6743924708753</v>
      </c>
      <c r="C935" s="23" t="n">
        <v>0.0255751300040856</v>
      </c>
      <c r="D935" s="23" t="n">
        <v>12.3266297404902</v>
      </c>
      <c r="E935" s="13" t="str">
        <f aca="false">IF(B935&lt;5,"Acidic",IF(B935&lt;9,"Near-neutral","Alkaline"))</f>
        <v>Alkaline</v>
      </c>
    </row>
    <row r="936" customFormat="false" ht="15" hidden="false" customHeight="false" outlineLevel="0" collapsed="false">
      <c r="A936" s="23" t="n">
        <v>13.9719859929965</v>
      </c>
      <c r="B936" s="18" t="n">
        <v>11.6747758361225</v>
      </c>
      <c r="C936" s="23" t="n">
        <v>0.0255146257169372</v>
      </c>
      <c r="D936" s="23" t="n">
        <v>12.3266297404902</v>
      </c>
      <c r="E936" s="13" t="str">
        <f aca="false">IF(B936&lt;5,"Acidic",IF(B936&lt;9,"Near-neutral","Alkaline"))</f>
        <v>Alkaline</v>
      </c>
    </row>
    <row r="937" customFormat="false" ht="15" hidden="false" customHeight="false" outlineLevel="0" collapsed="false">
      <c r="A937" s="23" t="n">
        <v>13.9869934967484</v>
      </c>
      <c r="B937" s="18" t="n">
        <v>11.6751582028515</v>
      </c>
      <c r="C937" s="23" t="n">
        <v>0.0254539413202792</v>
      </c>
      <c r="D937" s="23" t="n">
        <v>12.3266297404902</v>
      </c>
      <c r="E937" s="13" t="str">
        <f aca="false">IF(B937&lt;5,"Acidic",IF(B937&lt;9,"Near-neutral","Alkaline"))</f>
        <v>Alkaline</v>
      </c>
    </row>
    <row r="938" customFormat="false" ht="15" hidden="false" customHeight="false" outlineLevel="0" collapsed="false">
      <c r="A938" s="23" t="n">
        <v>14.0020010005003</v>
      </c>
      <c r="B938" s="18" t="n">
        <v>11.6755397465777</v>
      </c>
      <c r="C938" s="23" t="n">
        <v>0.0253871287890206</v>
      </c>
      <c r="D938" s="23" t="n">
        <v>12.3266297404902</v>
      </c>
      <c r="E938" s="13" t="str">
        <f aca="false">IF(B938&lt;5,"Acidic",IF(B938&lt;9,"Near-neutral","Alkaline"))</f>
        <v>Alkaline</v>
      </c>
    </row>
    <row r="939" customFormat="false" ht="15" hidden="false" customHeight="false" outlineLevel="0" collapsed="false">
      <c r="A939" s="23" t="n">
        <v>14.0170085042521</v>
      </c>
      <c r="B939" s="18" t="n">
        <v>11.6759202862247</v>
      </c>
      <c r="C939" s="23" t="n">
        <v>0.0253260739019652</v>
      </c>
      <c r="D939" s="23" t="n">
        <v>12.3266297404902</v>
      </c>
      <c r="E939" s="13" t="str">
        <f aca="false">IF(B939&lt;5,"Acidic",IF(B939&lt;9,"Near-neutral","Alkaline"))</f>
        <v>Alkaline</v>
      </c>
    </row>
    <row r="940" customFormat="false" ht="15" hidden="false" customHeight="false" outlineLevel="0" collapsed="false">
      <c r="A940" s="23" t="n">
        <v>14.032016008004</v>
      </c>
      <c r="B940" s="18" t="n">
        <v>11.6762999082399</v>
      </c>
      <c r="C940" s="23" t="n">
        <v>0.0252648390810464</v>
      </c>
      <c r="D940" s="23" t="n">
        <v>12.3266297404902</v>
      </c>
      <c r="E940" s="13" t="str">
        <f aca="false">IF(B940&lt;5,"Acidic",IF(B940&lt;9,"Near-neutral","Alkaline"))</f>
        <v>Alkaline</v>
      </c>
    </row>
    <row r="941" customFormat="false" ht="15" hidden="false" customHeight="false" outlineLevel="0" collapsed="false">
      <c r="A941" s="23" t="n">
        <v>14.0470235117559</v>
      </c>
      <c r="B941" s="18" t="n">
        <v>11.6766786099234</v>
      </c>
      <c r="C941" s="23" t="n">
        <v>0.0252034243835624</v>
      </c>
      <c r="D941" s="23" t="n">
        <v>12.3266297404902</v>
      </c>
      <c r="E941" s="13" t="str">
        <f aca="false">IF(B941&lt;5,"Acidic",IF(B941&lt;9,"Near-neutral","Alkaline"))</f>
        <v>Alkaline</v>
      </c>
    </row>
    <row r="942" customFormat="false" ht="15" hidden="false" customHeight="false" outlineLevel="0" collapsed="false">
      <c r="A942" s="23" t="n">
        <v>14.0620310155078</v>
      </c>
      <c r="B942" s="18" t="n">
        <v>11.6770563885762</v>
      </c>
      <c r="C942" s="23" t="n">
        <v>0.025141829870563</v>
      </c>
      <c r="D942" s="23" t="n">
        <v>12.3266297404902</v>
      </c>
      <c r="E942" s="13" t="str">
        <f aca="false">IF(B942&lt;5,"Acidic",IF(B942&lt;9,"Near-neutral","Alkaline"))</f>
        <v>Alkaline</v>
      </c>
    </row>
    <row r="943" customFormat="false" ht="15" hidden="false" customHeight="false" outlineLevel="0" collapsed="false">
      <c r="A943" s="23" t="n">
        <v>14.0770385192596</v>
      </c>
      <c r="B943" s="18" t="n">
        <v>11.6774332415001</v>
      </c>
      <c r="C943" s="23" t="n">
        <v>0.0250800556057129</v>
      </c>
      <c r="D943" s="23" t="n">
        <v>12.3266297404902</v>
      </c>
      <c r="E943" s="13" t="str">
        <f aca="false">IF(B943&lt;5,"Acidic",IF(B943&lt;9,"Near-neutral","Alkaline"))</f>
        <v>Alkaline</v>
      </c>
    </row>
    <row r="944" customFormat="false" ht="15" hidden="false" customHeight="false" outlineLevel="0" collapsed="false">
      <c r="A944" s="23" t="n">
        <v>14.0920460230115</v>
      </c>
      <c r="B944" s="18" t="n">
        <v>11.6778091659981</v>
      </c>
      <c r="C944" s="23" t="n">
        <v>0.025018101656201</v>
      </c>
      <c r="D944" s="23" t="n">
        <v>12.3266297404902</v>
      </c>
      <c r="E944" s="13" t="str">
        <f aca="false">IF(B944&lt;5,"Acidic",IF(B944&lt;9,"Near-neutral","Alkaline"))</f>
        <v>Alkaline</v>
      </c>
    </row>
    <row r="945" customFormat="false" ht="15" hidden="false" customHeight="false" outlineLevel="0" collapsed="false">
      <c r="A945" s="23" t="n">
        <v>14.1070535267634</v>
      </c>
      <c r="B945" s="18" t="n">
        <v>11.678184159374</v>
      </c>
      <c r="C945" s="23" t="n">
        <v>0.0249559680929679</v>
      </c>
      <c r="D945" s="23" t="n">
        <v>12.3266297404902</v>
      </c>
      <c r="E945" s="13" t="str">
        <f aca="false">IF(B945&lt;5,"Acidic",IF(B945&lt;9,"Near-neutral","Alkaline"))</f>
        <v>Alkaline</v>
      </c>
    </row>
    <row r="946" customFormat="false" ht="15" hidden="false" customHeight="false" outlineLevel="0" collapsed="false">
      <c r="A946" s="23" t="n">
        <v>14.1220610305153</v>
      </c>
      <c r="B946" s="18" t="n">
        <v>11.6785583087817</v>
      </c>
      <c r="C946" s="23" t="n">
        <v>0.0248996444960312</v>
      </c>
      <c r="D946" s="23" t="n">
        <v>12.3266297404902</v>
      </c>
      <c r="E946" s="13" t="str">
        <f aca="false">IF(B946&lt;5,"Acidic",IF(B946&lt;9,"Near-neutral","Alkaline"))</f>
        <v>Alkaline</v>
      </c>
    </row>
    <row r="947" customFormat="false" ht="15" hidden="false" customHeight="false" outlineLevel="0" collapsed="false">
      <c r="A947" s="23" t="n">
        <v>14.1370685342671</v>
      </c>
      <c r="B947" s="18" t="n">
        <v>11.6789314319067</v>
      </c>
      <c r="C947" s="23" t="n">
        <v>0.024837162214908</v>
      </c>
      <c r="D947" s="23" t="n">
        <v>12.3266297404902</v>
      </c>
      <c r="E947" s="13" t="str">
        <f aca="false">IF(B947&lt;5,"Acidic",IF(B947&lt;9,"Near-neutral","Alkaline"))</f>
        <v>Alkaline</v>
      </c>
    </row>
    <row r="948" customFormat="false" ht="15" hidden="false" customHeight="false" outlineLevel="0" collapsed="false">
      <c r="A948" s="23" t="n">
        <v>14.152076038019</v>
      </c>
      <c r="B948" s="18" t="n">
        <v>11.6793037958346</v>
      </c>
      <c r="C948" s="23" t="n">
        <v>0.0247805003111807</v>
      </c>
      <c r="D948" s="23" t="n">
        <v>12.3266297404902</v>
      </c>
      <c r="E948" s="13" t="str">
        <f aca="false">IF(B948&lt;5,"Acidic",IF(B948&lt;9,"Near-neutral","Alkaline"))</f>
        <v>Alkaline</v>
      </c>
    </row>
    <row r="949" customFormat="false" ht="15" hidden="false" customHeight="false" outlineLevel="0" collapsed="false">
      <c r="A949" s="23" t="n">
        <v>14.1670835417709</v>
      </c>
      <c r="B949" s="18" t="n">
        <v>11.6796751280949</v>
      </c>
      <c r="C949" s="23" t="n">
        <v>0.0247176695517055</v>
      </c>
      <c r="D949" s="23" t="n">
        <v>12.3266297404902</v>
      </c>
      <c r="E949" s="13" t="str">
        <f aca="false">IF(B949&lt;5,"Acidic",IF(B949&lt;9,"Near-neutral","Alkaline"))</f>
        <v>Alkaline</v>
      </c>
    </row>
    <row r="950" customFormat="false" ht="15" hidden="false" customHeight="false" outlineLevel="0" collapsed="false">
      <c r="A950" s="23" t="n">
        <v>14.1820910455228</v>
      </c>
      <c r="B950" s="18" t="n">
        <v>11.6800456962375</v>
      </c>
      <c r="C950" s="23" t="n">
        <v>0.0246546595300288</v>
      </c>
      <c r="D950" s="23" t="n">
        <v>12.3266297404902</v>
      </c>
      <c r="E950" s="13" t="str">
        <f aca="false">IF(B950&lt;5,"Acidic",IF(B950&lt;9,"Near-neutral","Alkaline"))</f>
        <v>Alkaline</v>
      </c>
    </row>
    <row r="951" customFormat="false" ht="15" hidden="false" customHeight="false" outlineLevel="0" collapsed="false">
      <c r="A951" s="23" t="n">
        <v>14.1970985492746</v>
      </c>
      <c r="B951" s="18" t="n">
        <v>11.6804152273321</v>
      </c>
      <c r="C951" s="23" t="n">
        <v>0.0245974854769884</v>
      </c>
      <c r="D951" s="23" t="n">
        <v>12.3266297404902</v>
      </c>
      <c r="E951" s="13" t="str">
        <f aca="false">IF(B951&lt;5,"Acidic",IF(B951&lt;9,"Near-neutral","Alkaline"))</f>
        <v>Alkaline</v>
      </c>
    </row>
    <row r="952" customFormat="false" ht="15" hidden="false" customHeight="false" outlineLevel="0" collapsed="false">
      <c r="A952" s="23" t="n">
        <v>14.2121060530265</v>
      </c>
      <c r="B952" s="18" t="n">
        <v>11.6807839893918</v>
      </c>
      <c r="C952" s="23" t="n">
        <v>0.0245401476514644</v>
      </c>
      <c r="D952" s="23" t="n">
        <v>12.3266297404902</v>
      </c>
      <c r="E952" s="13" t="str">
        <f aca="false">IF(B952&lt;5,"Acidic",IF(B952&lt;9,"Near-neutral","Alkaline"))</f>
        <v>Alkaline</v>
      </c>
    </row>
    <row r="953" customFormat="false" ht="15" hidden="false" customHeight="false" outlineLevel="0" collapsed="false">
      <c r="A953" s="23" t="n">
        <v>14.2271135567784</v>
      </c>
      <c r="B953" s="18" t="n">
        <v>11.6811517994146</v>
      </c>
      <c r="C953" s="23" t="n">
        <v>0.0244766207628118</v>
      </c>
      <c r="D953" s="23" t="n">
        <v>12.3266297404902</v>
      </c>
      <c r="E953" s="13" t="str">
        <f aca="false">IF(B953&lt;5,"Acidic",IF(B953&lt;9,"Near-neutral","Alkaline"))</f>
        <v>Alkaline</v>
      </c>
    </row>
    <row r="954" customFormat="false" ht="15" hidden="false" customHeight="false" outlineLevel="0" collapsed="false">
      <c r="A954" s="23" t="n">
        <v>14.2421210605303</v>
      </c>
      <c r="B954" s="18" t="n">
        <v>11.681518745178</v>
      </c>
      <c r="C954" s="23" t="n">
        <v>0.0244249757897705</v>
      </c>
      <c r="D954" s="23" t="n">
        <v>12.3266297404902</v>
      </c>
      <c r="E954" s="13" t="str">
        <f aca="false">IF(B954&lt;5,"Acidic",IF(B954&lt;9,"Near-neutral","Alkaline"))</f>
        <v>Alkaline</v>
      </c>
    </row>
    <row r="955" customFormat="false" ht="15" hidden="false" customHeight="false" outlineLevel="0" collapsed="false">
      <c r="A955" s="23" t="n">
        <v>14.2571285642821</v>
      </c>
      <c r="B955" s="18" t="n">
        <v>11.6818847336864</v>
      </c>
      <c r="C955" s="23" t="n">
        <v>0.0243611114476607</v>
      </c>
      <c r="D955" s="23" t="n">
        <v>12.3266297404902</v>
      </c>
      <c r="E955" s="13" t="str">
        <f aca="false">IF(B955&lt;5,"Acidic",IF(B955&lt;9,"Near-neutral","Alkaline"))</f>
        <v>Alkaline</v>
      </c>
    </row>
    <row r="956" customFormat="false" ht="15" hidden="false" customHeight="false" outlineLevel="0" collapsed="false">
      <c r="A956" s="23" t="n">
        <v>14.272136068034</v>
      </c>
      <c r="B956" s="18" t="n">
        <v>11.6822499434883</v>
      </c>
      <c r="C956" s="23" t="n">
        <v>0.0243031089033821</v>
      </c>
      <c r="D956" s="23" t="n">
        <v>12.3266297404902</v>
      </c>
      <c r="E956" s="13" t="str">
        <f aca="false">IF(B956&lt;5,"Acidic",IF(B956&lt;9,"Near-neutral","Alkaline"))</f>
        <v>Alkaline</v>
      </c>
    </row>
    <row r="957" customFormat="false" ht="15" hidden="false" customHeight="false" outlineLevel="0" collapsed="false">
      <c r="A957" s="23" t="n">
        <v>14.2871435717859</v>
      </c>
      <c r="B957" s="18" t="n">
        <v>11.682614281666</v>
      </c>
      <c r="C957" s="23" t="n">
        <v>0.0242449428775444</v>
      </c>
      <c r="D957" s="23" t="n">
        <v>12.3266297404902</v>
      </c>
      <c r="E957" s="13" t="str">
        <f aca="false">IF(B957&lt;5,"Acidic",IF(B957&lt;9,"Near-neutral","Alkaline"))</f>
        <v>Alkaline</v>
      </c>
    </row>
    <row r="958" customFormat="false" ht="15" hidden="false" customHeight="false" outlineLevel="0" collapsed="false">
      <c r="A958" s="23" t="n">
        <v>14.3021510755378</v>
      </c>
      <c r="B958" s="18" t="n">
        <v>11.6829776549985</v>
      </c>
      <c r="C958" s="23" t="n">
        <v>0.0241866134322208</v>
      </c>
      <c r="D958" s="23" t="n">
        <v>12.3266297404902</v>
      </c>
      <c r="E958" s="13" t="str">
        <f aca="false">IF(B958&lt;5,"Acidic",IF(B958&lt;9,"Near-neutral","Alkaline"))</f>
        <v>Alkaline</v>
      </c>
    </row>
    <row r="959" customFormat="false" ht="15" hidden="false" customHeight="false" outlineLevel="0" collapsed="false">
      <c r="A959" s="23" t="n">
        <v>14.3171585792896</v>
      </c>
      <c r="B959" s="18" t="n">
        <v>11.6833402424937</v>
      </c>
      <c r="C959" s="23" t="n">
        <v>0.0241341763741048</v>
      </c>
      <c r="D959" s="23" t="n">
        <v>12.3266297404902</v>
      </c>
      <c r="E959" s="13" t="str">
        <f aca="false">IF(B959&lt;5,"Acidic",IF(B959&lt;9,"Near-neutral","Alkaline"))</f>
        <v>Alkaline</v>
      </c>
    </row>
    <row r="960" customFormat="false" ht="15" hidden="false" customHeight="false" outlineLevel="0" collapsed="false">
      <c r="A960" s="23" t="n">
        <v>14.3321660830415</v>
      </c>
      <c r="B960" s="18" t="n">
        <v>11.6837019510082</v>
      </c>
      <c r="C960" s="23" t="n">
        <v>0.024069469585811</v>
      </c>
      <c r="D960" s="23" t="n">
        <v>12.3266297404902</v>
      </c>
      <c r="E960" s="13" t="str">
        <f aca="false">IF(B960&lt;5,"Acidic",IF(B960&lt;9,"Near-neutral","Alkaline"))</f>
        <v>Alkaline</v>
      </c>
    </row>
    <row r="961" customFormat="false" ht="15" hidden="false" customHeight="false" outlineLevel="0" collapsed="false">
      <c r="A961" s="23" t="n">
        <v>14.3471735867934</v>
      </c>
      <c r="B961" s="18" t="n">
        <v>11.6840627780919</v>
      </c>
      <c r="C961" s="23" t="n">
        <v>0.0240167160886813</v>
      </c>
      <c r="D961" s="23" t="n">
        <v>12.3266297404902</v>
      </c>
      <c r="E961" s="13" t="str">
        <f aca="false">IF(B961&lt;5,"Acidic",IF(B961&lt;9,"Near-neutral","Alkaline"))</f>
        <v>Alkaline</v>
      </c>
    </row>
    <row r="962" customFormat="false" ht="15" hidden="false" customHeight="false" outlineLevel="0" collapsed="false">
      <c r="A962" s="23" t="n">
        <v>14.3621810905453</v>
      </c>
      <c r="B962" s="18" t="n">
        <v>11.6844227212958</v>
      </c>
      <c r="C962" s="23" t="n">
        <v>0.0239577436835816</v>
      </c>
      <c r="D962" s="23" t="n">
        <v>12.3266297404902</v>
      </c>
      <c r="E962" s="13" t="str">
        <f aca="false">IF(B962&lt;5,"Acidic",IF(B962&lt;9,"Near-neutral","Alkaline"))</f>
        <v>Alkaline</v>
      </c>
    </row>
    <row r="963" customFormat="false" ht="15" hidden="false" customHeight="false" outlineLevel="0" collapsed="false">
      <c r="A963" s="23" t="n">
        <v>14.3771885942972</v>
      </c>
      <c r="B963" s="18" t="n">
        <v>11.6847818693176</v>
      </c>
      <c r="C963" s="23" t="n">
        <v>0.0239046840421224</v>
      </c>
      <c r="D963" s="23" t="n">
        <v>12.3266297404902</v>
      </c>
      <c r="E963" s="13" t="str">
        <f aca="false">IF(B963&lt;5,"Acidic",IF(B963&lt;9,"Near-neutral","Alkaline"))</f>
        <v>Alkaline</v>
      </c>
    </row>
    <row r="964" customFormat="false" ht="15" hidden="false" customHeight="false" outlineLevel="0" collapsed="false">
      <c r="A964" s="23" t="n">
        <v>14.392196098049</v>
      </c>
      <c r="B964" s="18" t="n">
        <v>11.6851401287152</v>
      </c>
      <c r="C964" s="23" t="n">
        <v>0.0238393146911449</v>
      </c>
      <c r="D964" s="23" t="n">
        <v>12.3266297404902</v>
      </c>
      <c r="E964" s="13" t="str">
        <f aca="false">IF(B964&lt;5,"Acidic",IF(B964&lt;9,"Near-neutral","Alkaline"))</f>
        <v>Alkaline</v>
      </c>
    </row>
    <row r="965" customFormat="false" ht="15" hidden="false" customHeight="false" outlineLevel="0" collapsed="false">
      <c r="A965" s="23" t="n">
        <v>14.4072036018009</v>
      </c>
      <c r="B965" s="18" t="n">
        <v>11.6854975883388</v>
      </c>
      <c r="C965" s="23" t="n">
        <v>0.0237920249717263</v>
      </c>
      <c r="D965" s="23" t="n">
        <v>12.3266297404902</v>
      </c>
      <c r="E965" s="13" t="str">
        <f aca="false">IF(B965&lt;5,"Acidic",IF(B965&lt;9,"Near-neutral","Alkaline"))</f>
        <v>Alkaline</v>
      </c>
    </row>
    <row r="966" customFormat="false" ht="15" hidden="false" customHeight="false" outlineLevel="0" collapsed="false">
      <c r="A966" s="23" t="n">
        <v>14.4222111055528</v>
      </c>
      <c r="B966" s="18" t="n">
        <v>11.6858541545974</v>
      </c>
      <c r="C966" s="23" t="n">
        <v>0.0237324206540279</v>
      </c>
      <c r="D966" s="23" t="n">
        <v>12.3266297404902</v>
      </c>
      <c r="E966" s="13" t="str">
        <f aca="false">IF(B966&lt;5,"Acidic",IF(B966&lt;9,"Near-neutral","Alkaline"))</f>
        <v>Alkaline</v>
      </c>
    </row>
    <row r="967" customFormat="false" ht="15" hidden="false" customHeight="false" outlineLevel="0" collapsed="false">
      <c r="A967" s="23" t="n">
        <v>14.4372186093047</v>
      </c>
      <c r="B967" s="18" t="n">
        <v>11.6862099164932</v>
      </c>
      <c r="C967" s="23" t="n">
        <v>0.0236726535304115</v>
      </c>
      <c r="D967" s="23" t="n">
        <v>12.3266297404902</v>
      </c>
      <c r="E967" s="13" t="str">
        <f aca="false">IF(B967&lt;5,"Acidic",IF(B967&lt;9,"Near-neutral","Alkaline"))</f>
        <v>Alkaline</v>
      </c>
    </row>
    <row r="968" customFormat="false" ht="15" hidden="false" customHeight="false" outlineLevel="0" collapsed="false">
      <c r="A968" s="23" t="n">
        <v>14.4522261130565</v>
      </c>
      <c r="B968" s="18" t="n">
        <v>11.6865647802874</v>
      </c>
      <c r="C968" s="23" t="n">
        <v>0.0236188245083895</v>
      </c>
      <c r="D968" s="23" t="n">
        <v>12.3266297404902</v>
      </c>
      <c r="E968" s="13" t="str">
        <f aca="false">IF(B968&lt;5,"Acidic",IF(B968&lt;9,"Near-neutral","Alkaline"))</f>
        <v>Alkaline</v>
      </c>
    </row>
    <row r="969" customFormat="false" ht="15" hidden="false" customHeight="false" outlineLevel="0" collapsed="false">
      <c r="A969" s="23" t="n">
        <v>14.4672336168084</v>
      </c>
      <c r="B969" s="18" t="n">
        <v>11.6869188351338</v>
      </c>
      <c r="C969" s="23" t="n">
        <v>0.0235648477708992</v>
      </c>
      <c r="D969" s="23" t="n">
        <v>12.3266297404902</v>
      </c>
      <c r="E969" s="13" t="str">
        <f aca="false">IF(B969&lt;5,"Acidic",IF(B969&lt;9,"Near-neutral","Alkaline"))</f>
        <v>Alkaline</v>
      </c>
    </row>
    <row r="970" customFormat="false" ht="15" hidden="false" customHeight="false" outlineLevel="0" collapsed="false">
      <c r="A970" s="23" t="n">
        <v>14.4822411205603</v>
      </c>
      <c r="B970" s="18" t="n">
        <v>11.687272078816</v>
      </c>
      <c r="C970" s="23" t="n">
        <v>0.0235107233663712</v>
      </c>
      <c r="D970" s="23" t="n">
        <v>12.3266297404902</v>
      </c>
      <c r="E970" s="13" t="str">
        <f aca="false">IF(B970&lt;5,"Acidic",IF(B970&lt;9,"Near-neutral","Alkaline"))</f>
        <v>Alkaline</v>
      </c>
    </row>
    <row r="971" customFormat="false" ht="15" hidden="false" customHeight="false" outlineLevel="0" collapsed="false">
      <c r="A971" s="23" t="n">
        <v>14.4972486243122</v>
      </c>
      <c r="B971" s="18" t="n">
        <v>11.6876245091183</v>
      </c>
      <c r="C971" s="23" t="n">
        <v>0.0234564513457372</v>
      </c>
      <c r="D971" s="23" t="n">
        <v>12.3266297404902</v>
      </c>
      <c r="E971" s="13" t="str">
        <f aca="false">IF(B971&lt;5,"Acidic",IF(B971&lt;9,"Near-neutral","Alkaline"))</f>
        <v>Alkaline</v>
      </c>
    </row>
    <row r="972" customFormat="false" ht="15" hidden="false" customHeight="false" outlineLevel="0" collapsed="false">
      <c r="A972" s="23" t="n">
        <v>14.512256128064</v>
      </c>
      <c r="B972" s="18" t="n">
        <v>11.687976032007</v>
      </c>
      <c r="C972" s="23" t="n">
        <v>0.0233959111100148</v>
      </c>
      <c r="D972" s="23" t="n">
        <v>12.3266297404902</v>
      </c>
      <c r="E972" s="13" t="str">
        <f aca="false">IF(B972&lt;5,"Acidic",IF(B972&lt;9,"Near-neutral","Alkaline"))</f>
        <v>Alkaline</v>
      </c>
    </row>
    <row r="973" customFormat="false" ht="15" hidden="false" customHeight="false" outlineLevel="0" collapsed="false">
      <c r="A973" s="23" t="n">
        <v>14.5272636318159</v>
      </c>
      <c r="B973" s="18" t="n">
        <v>11.688326828831</v>
      </c>
      <c r="C973" s="23" t="n">
        <v>0.0233413341402411</v>
      </c>
      <c r="D973" s="23" t="n">
        <v>12.3266297404902</v>
      </c>
      <c r="E973" s="13" t="str">
        <f aca="false">IF(B973&lt;5,"Acidic",IF(B973&lt;9,"Near-neutral","Alkaline"))</f>
        <v>Alkaline</v>
      </c>
    </row>
    <row r="974" customFormat="false" ht="15" hidden="false" customHeight="false" outlineLevel="0" collapsed="false">
      <c r="A974" s="23" t="n">
        <v>14.5422711355678</v>
      </c>
      <c r="B974" s="18" t="n">
        <v>11.6886767136659</v>
      </c>
      <c r="C974" s="23" t="n">
        <v>0.0232927402663563</v>
      </c>
      <c r="D974" s="23" t="n">
        <v>12.3266297404902</v>
      </c>
      <c r="E974" s="13" t="str">
        <f aca="false">IF(B974&lt;5,"Acidic",IF(B974&lt;9,"Near-neutral","Alkaline"))</f>
        <v>Alkaline</v>
      </c>
    </row>
    <row r="975" customFormat="false" ht="15" hidden="false" customHeight="false" outlineLevel="0" collapsed="false">
      <c r="A975" s="23" t="n">
        <v>14.5572786393197</v>
      </c>
      <c r="B975" s="18" t="n">
        <v>11.6890258681591</v>
      </c>
      <c r="C975" s="23" t="n">
        <v>0.0232317429059776</v>
      </c>
      <c r="D975" s="23" t="n">
        <v>12.3266297404902</v>
      </c>
      <c r="E975" s="13" t="str">
        <f aca="false">IF(B975&lt;5,"Acidic",IF(B975&lt;9,"Near-neutral","Alkaline"))</f>
        <v>Alkaline</v>
      </c>
    </row>
    <row r="976" customFormat="false" ht="15" hidden="false" customHeight="false" outlineLevel="0" collapsed="false">
      <c r="A976" s="23" t="n">
        <v>14.5722861430715</v>
      </c>
      <c r="B976" s="18" t="n">
        <v>11.6893741060917</v>
      </c>
      <c r="C976" s="23" t="n">
        <v>0.0231828641972243</v>
      </c>
      <c r="D976" s="23" t="n">
        <v>12.3266297404902</v>
      </c>
      <c r="E976" s="13" t="str">
        <f aca="false">IF(B976&lt;5,"Acidic",IF(B976&lt;9,"Near-neutral","Alkaline"))</f>
        <v>Alkaline</v>
      </c>
    </row>
    <row r="977" customFormat="false" ht="15" hidden="false" customHeight="false" outlineLevel="0" collapsed="false">
      <c r="A977" s="23" t="n">
        <v>14.5872936468234</v>
      </c>
      <c r="B977" s="18" t="n">
        <v>11.6897216094086</v>
      </c>
      <c r="C977" s="23" t="n">
        <v>0.0231277077061804</v>
      </c>
      <c r="D977" s="23" t="n">
        <v>12.3266297404902</v>
      </c>
      <c r="E977" s="13" t="str">
        <f aca="false">IF(B977&lt;5,"Acidic",IF(B977&lt;9,"Near-neutral","Alkaline"))</f>
        <v>Alkaline</v>
      </c>
    </row>
    <row r="978" customFormat="false" ht="15" hidden="false" customHeight="false" outlineLevel="0" collapsed="false">
      <c r="A978" s="23" t="n">
        <v>14.6023011505753</v>
      </c>
      <c r="B978" s="18" t="n">
        <v>11.6900682838598</v>
      </c>
      <c r="C978" s="23" t="n">
        <v>0.0230724040233099</v>
      </c>
      <c r="D978" s="23" t="n">
        <v>12.3266297404902</v>
      </c>
      <c r="E978" s="13" t="str">
        <f aca="false">IF(B978&lt;5,"Acidic",IF(B978&lt;9,"Near-neutral","Alkaline"))</f>
        <v>Alkaline</v>
      </c>
    </row>
    <row r="979" customFormat="false" ht="15" hidden="false" customHeight="false" outlineLevel="0" collapsed="false">
      <c r="A979" s="23" t="n">
        <v>14.6173086543272</v>
      </c>
      <c r="B979" s="18" t="n">
        <v>11.6904141272365</v>
      </c>
      <c r="C979" s="23" t="n">
        <v>0.0230169532186437</v>
      </c>
      <c r="D979" s="23" t="n">
        <v>12.3266297404902</v>
      </c>
      <c r="E979" s="13" t="str">
        <f aca="false">IF(B979&lt;5,"Acidic",IF(B979&lt;9,"Near-neutral","Alkaline"))</f>
        <v>Alkaline</v>
      </c>
    </row>
    <row r="980" customFormat="false" ht="15" hidden="false" customHeight="false" outlineLevel="0" collapsed="false">
      <c r="A980" s="23" t="n">
        <v>14.632316158079</v>
      </c>
      <c r="B980" s="18" t="n">
        <v>11.6907592297405</v>
      </c>
      <c r="C980" s="23" t="n">
        <v>0.0229675153194648</v>
      </c>
      <c r="D980" s="23" t="n">
        <v>12.3266297404902</v>
      </c>
      <c r="E980" s="13" t="str">
        <f aca="false">IF(B980&lt;5,"Acidic",IF(B980&lt;9,"Near-neutral","Alkaline"))</f>
        <v>Alkaline</v>
      </c>
    </row>
    <row r="981" customFormat="false" ht="15" hidden="false" customHeight="false" outlineLevel="0" collapsed="false">
      <c r="A981" s="23" t="n">
        <v>14.6473236618309</v>
      </c>
      <c r="B981" s="18" t="n">
        <v>11.6911034044208</v>
      </c>
      <c r="C981" s="23" t="n">
        <v>0.0229117802492738</v>
      </c>
      <c r="D981" s="23" t="n">
        <v>12.3266297404902</v>
      </c>
      <c r="E981" s="13" t="str">
        <f aca="false">IF(B981&lt;5,"Acidic",IF(B981&lt;9,"Near-neutral","Alkaline"))</f>
        <v>Alkaline</v>
      </c>
    </row>
    <row r="982" customFormat="false" ht="15" hidden="false" customHeight="false" outlineLevel="0" collapsed="false">
      <c r="A982" s="23" t="n">
        <v>14.6623311655828</v>
      </c>
      <c r="B982" s="18" t="n">
        <v>11.6914469265186</v>
      </c>
      <c r="C982" s="23" t="n">
        <v>0.0228620679649794</v>
      </c>
      <c r="D982" s="23" t="n">
        <v>12.3266297404902</v>
      </c>
      <c r="E982" s="13" t="str">
        <f aca="false">IF(B982&lt;5,"Acidic",IF(B982&lt;9,"Near-neutral","Alkaline"))</f>
        <v>Alkaline</v>
      </c>
    </row>
    <row r="983" customFormat="false" ht="15" hidden="false" customHeight="false" outlineLevel="0" collapsed="false">
      <c r="A983" s="23" t="n">
        <v>14.6773386693347</v>
      </c>
      <c r="B983" s="18" t="n">
        <v>11.6917896090114</v>
      </c>
      <c r="C983" s="23" t="n">
        <v>0.0228060488625488</v>
      </c>
      <c r="D983" s="23" t="n">
        <v>12.3266297404902</v>
      </c>
      <c r="E983" s="13" t="str">
        <f aca="false">IF(B983&lt;5,"Acidic",IF(B983&lt;9,"Near-neutral","Alkaline"))</f>
        <v>Alkaline</v>
      </c>
    </row>
    <row r="984" customFormat="false" ht="15" hidden="false" customHeight="false" outlineLevel="0" collapsed="false">
      <c r="A984" s="23" t="n">
        <v>14.6923461730865</v>
      </c>
      <c r="B984" s="18" t="n">
        <v>11.6921314496956</v>
      </c>
      <c r="C984" s="23" t="n">
        <v>0.0227498829784736</v>
      </c>
      <c r="D984" s="23" t="n">
        <v>12.3266297404902</v>
      </c>
      <c r="E984" s="13" t="str">
        <f aca="false">IF(B984&lt;5,"Acidic",IF(B984&lt;9,"Near-neutral","Alkaline"))</f>
        <v>Alkaline</v>
      </c>
    </row>
    <row r="985" customFormat="false" ht="15" hidden="false" customHeight="false" outlineLevel="0" collapsed="false">
      <c r="A985" s="23" t="n">
        <v>14.7073536768384</v>
      </c>
      <c r="B985" s="18" t="n">
        <v>11.6924725391434</v>
      </c>
      <c r="C985" s="23" t="n">
        <v>0.022705938949116</v>
      </c>
      <c r="D985" s="23" t="n">
        <v>12.3266297404902</v>
      </c>
      <c r="E985" s="13" t="str">
        <f aca="false">IF(B985&lt;5,"Acidic",IF(B985&lt;9,"Near-neutral","Alkaline"))</f>
        <v>Alkaline</v>
      </c>
    </row>
    <row r="986" customFormat="false" ht="15" hidden="false" customHeight="false" outlineLevel="0" collapsed="false">
      <c r="A986" s="23" t="n">
        <v>14.7223611805903</v>
      </c>
      <c r="B986" s="18" t="n">
        <v>11.692812875372</v>
      </c>
      <c r="C986" s="23" t="n">
        <v>0.0226494991227355</v>
      </c>
      <c r="D986" s="23" t="n">
        <v>12.3266297404902</v>
      </c>
      <c r="E986" s="13" t="str">
        <f aca="false">IF(B986&lt;5,"Acidic",IF(B986&lt;9,"Near-neutral","Alkaline"))</f>
        <v>Alkaline</v>
      </c>
    </row>
    <row r="987" customFormat="false" ht="15" hidden="false" customHeight="false" outlineLevel="0" collapsed="false">
      <c r="A987" s="23" t="n">
        <v>14.7373686843422</v>
      </c>
      <c r="B987" s="18" t="n">
        <v>11.6931523634797</v>
      </c>
      <c r="C987" s="23" t="n">
        <v>0.0225991066812412</v>
      </c>
      <c r="D987" s="23" t="n">
        <v>12.3266297404902</v>
      </c>
      <c r="E987" s="13" t="str">
        <f aca="false">IF(B987&lt;5,"Acidic",IF(B987&lt;9,"Near-neutral","Alkaline"))</f>
        <v>Alkaline</v>
      </c>
    </row>
    <row r="988" customFormat="false" ht="15" hidden="false" customHeight="false" outlineLevel="0" collapsed="false">
      <c r="A988" s="23" t="n">
        <v>14.7523761880941</v>
      </c>
      <c r="B988" s="18" t="n">
        <v>11.6934910942595</v>
      </c>
      <c r="C988" s="23" t="n">
        <v>0.0225423834610865</v>
      </c>
      <c r="D988" s="23" t="n">
        <v>12.3266297404902</v>
      </c>
      <c r="E988" s="13" t="str">
        <f aca="false">IF(B988&lt;5,"Acidic",IF(B988&lt;9,"Near-neutral","Alkaline"))</f>
        <v>Alkaline</v>
      </c>
    </row>
    <row r="989" customFormat="false" ht="15" hidden="false" customHeight="false" outlineLevel="0" collapsed="false">
      <c r="A989" s="23" t="n">
        <v>14.7673836918459</v>
      </c>
      <c r="B989" s="18" t="n">
        <v>11.6938290657311</v>
      </c>
      <c r="C989" s="23" t="n">
        <v>0.0224917174335815</v>
      </c>
      <c r="D989" s="23" t="n">
        <v>12.3266297404902</v>
      </c>
      <c r="E989" s="13" t="str">
        <f aca="false">IF(B989&lt;5,"Acidic",IF(B989&lt;9,"Near-neutral","Alkaline"))</f>
        <v>Alkaline</v>
      </c>
    </row>
    <row r="990" customFormat="false" ht="15" hidden="false" customHeight="false" outlineLevel="0" collapsed="false">
      <c r="A990" s="23" t="n">
        <v>14.7823911955978</v>
      </c>
      <c r="B990" s="18" t="n">
        <v>11.6941662759147</v>
      </c>
      <c r="C990" s="23" t="n">
        <v>0.0224409195290036</v>
      </c>
      <c r="D990" s="23" t="n">
        <v>12.3266297404902</v>
      </c>
      <c r="E990" s="13" t="str">
        <f aca="false">IF(B990&lt;5,"Acidic",IF(B990&lt;9,"Near-neutral","Alkaline"))</f>
        <v>Alkaline</v>
      </c>
    </row>
    <row r="991" customFormat="false" ht="15" hidden="false" customHeight="false" outlineLevel="0" collapsed="false">
      <c r="A991" s="23" t="n">
        <v>14.7973986993497</v>
      </c>
      <c r="B991" s="18" t="n">
        <v>11.6945026296226</v>
      </c>
      <c r="C991" s="23" t="n">
        <v>0.0223962030191842</v>
      </c>
      <c r="D991" s="23" t="n">
        <v>12.3266297404902</v>
      </c>
      <c r="E991" s="13" t="str">
        <f aca="false">IF(B991&lt;5,"Acidic",IF(B991&lt;9,"Near-neutral","Alkaline"))</f>
        <v>Alkaline</v>
      </c>
    </row>
    <row r="992" customFormat="false" ht="15" hidden="false" customHeight="false" outlineLevel="0" collapsed="false">
      <c r="A992" s="23" t="n">
        <v>14.8124062031016</v>
      </c>
      <c r="B992" s="18" t="n">
        <v>11.6948383112223</v>
      </c>
      <c r="C992" s="23" t="n">
        <v>0.022332715080438</v>
      </c>
      <c r="D992" s="23" t="n">
        <v>12.3266297404902</v>
      </c>
      <c r="E992" s="13" t="str">
        <f aca="false">IF(B992&lt;5,"Acidic",IF(B992&lt;9,"Near-neutral","Alkaline"))</f>
        <v>Alkaline</v>
      </c>
    </row>
    <row r="993" customFormat="false" ht="15" hidden="false" customHeight="false" outlineLevel="0" collapsed="false">
      <c r="A993" s="23" t="n">
        <v>14.8274137068534</v>
      </c>
      <c r="B993" s="18" t="n">
        <v>11.695173132247</v>
      </c>
      <c r="C993" s="23" t="n">
        <v>0.0222939578943624</v>
      </c>
      <c r="D993" s="23" t="n">
        <v>12.3266297404902</v>
      </c>
      <c r="E993" s="13" t="str">
        <f aca="false">IF(B993&lt;5,"Acidic",IF(B993&lt;9,"Near-neutral","Alkaline"))</f>
        <v>Alkaline</v>
      </c>
    </row>
    <row r="994" customFormat="false" ht="15" hidden="false" customHeight="false" outlineLevel="0" collapsed="false">
      <c r="A994" s="23" t="n">
        <v>14.8424212106053</v>
      </c>
      <c r="B994" s="18" t="n">
        <v>11.6955072773541</v>
      </c>
      <c r="C994" s="23" t="n">
        <v>0.0222364149998384</v>
      </c>
      <c r="D994" s="23" t="n">
        <v>12.3266297404902</v>
      </c>
      <c r="E994" s="13" t="str">
        <f aca="false">IF(B994&lt;5,"Acidic",IF(B994&lt;9,"Near-neutral","Alkaline"))</f>
        <v>Alkaline</v>
      </c>
    </row>
    <row r="995" customFormat="false" ht="15" hidden="false" customHeight="false" outlineLevel="0" collapsed="false">
      <c r="A995" s="23" t="n">
        <v>14.8574287143572</v>
      </c>
      <c r="B995" s="18" t="n">
        <v>11.6958406512871</v>
      </c>
      <c r="C995" s="23" t="n">
        <v>0.0221849585274185</v>
      </c>
      <c r="D995" s="23" t="n">
        <v>12.3266297404902</v>
      </c>
      <c r="E995" s="13" t="str">
        <f aca="false">IF(B995&lt;5,"Acidic",IF(B995&lt;9,"Near-neutral","Alkaline"))</f>
        <v>Alkaline</v>
      </c>
    </row>
    <row r="996" customFormat="false" ht="15" hidden="false" customHeight="false" outlineLevel="0" collapsed="false">
      <c r="A996" s="23" t="n">
        <v>14.8724362181091</v>
      </c>
      <c r="B996" s="18" t="n">
        <v>11.6961732520716</v>
      </c>
      <c r="C996" s="23" t="n">
        <v>0.022139607660165</v>
      </c>
      <c r="D996" s="23" t="n">
        <v>12.3266297404902</v>
      </c>
      <c r="E996" s="13" t="str">
        <f aca="false">IF(B996&lt;5,"Acidic",IF(B996&lt;9,"Near-neutral","Alkaline"))</f>
        <v>Alkaline</v>
      </c>
    </row>
    <row r="997" customFormat="false" ht="15" hidden="false" customHeight="false" outlineLevel="0" collapsed="false">
      <c r="A997" s="23" t="n">
        <v>14.8874437218609</v>
      </c>
      <c r="B997" s="18" t="n">
        <v>11.6965050777337</v>
      </c>
      <c r="C997" s="23" t="n">
        <v>0.0220816558097567</v>
      </c>
      <c r="D997" s="23" t="n">
        <v>12.3266297404902</v>
      </c>
      <c r="E997" s="13" t="str">
        <f aca="false">IF(B997&lt;5,"Acidic",IF(B997&lt;9,"Near-neutral","Alkaline"))</f>
        <v>Alkaline</v>
      </c>
    </row>
    <row r="998" customFormat="false" ht="15" hidden="false" customHeight="false" outlineLevel="0" collapsed="false">
      <c r="A998" s="23" t="n">
        <v>14.9024512256128</v>
      </c>
      <c r="B998" s="18" t="n">
        <v>11.6968361263008</v>
      </c>
      <c r="C998" s="23" t="n">
        <v>0.0220360515806988</v>
      </c>
      <c r="D998" s="23" t="n">
        <v>12.3266297404902</v>
      </c>
      <c r="E998" s="13" t="str">
        <f aca="false">IF(B998&lt;5,"Acidic",IF(B998&lt;9,"Near-neutral","Alkaline"))</f>
        <v>Alkaline</v>
      </c>
    </row>
    <row r="999" customFormat="false" ht="15" hidden="false" customHeight="false" outlineLevel="0" collapsed="false">
      <c r="A999" s="23" t="n">
        <v>14.9174587293647</v>
      </c>
      <c r="B999" s="18" t="n">
        <v>11.6971664895836</v>
      </c>
      <c r="C999" s="23" t="n">
        <v>0.0219903302607918</v>
      </c>
      <c r="D999" s="23" t="n">
        <v>12.3266297404902</v>
      </c>
      <c r="E999" s="13" t="str">
        <f aca="false">IF(B999&lt;5,"Acidic",IF(B999&lt;9,"Near-neutral","Alkaline"))</f>
        <v>Alkaline</v>
      </c>
    </row>
    <row r="1000" customFormat="false" ht="15" hidden="false" customHeight="false" outlineLevel="0" collapsed="false">
      <c r="A1000" s="23" t="n">
        <v>14.9324662331166</v>
      </c>
      <c r="B1000" s="18" t="n">
        <v>11.6974960719715</v>
      </c>
      <c r="C1000" s="23" t="n">
        <v>0.0219382357333871</v>
      </c>
      <c r="D1000" s="23" t="n">
        <v>12.3266297404902</v>
      </c>
      <c r="E1000" s="13" t="str">
        <f aca="false">IF(B1000&lt;5,"Acidic",IF(B1000&lt;9,"Near-neutral","Alkaline"))</f>
        <v>Alkaline</v>
      </c>
    </row>
    <row r="1001" customFormat="false" ht="15" hidden="false" customHeight="false" outlineLevel="0" collapsed="false">
      <c r="A1001" s="23" t="n">
        <v>14.9474737368684</v>
      </c>
      <c r="B1001" s="18" t="n">
        <v>11.6978249654192</v>
      </c>
      <c r="C1001" s="23" t="n">
        <v>0.0218860099707854</v>
      </c>
      <c r="D1001" s="23" t="n">
        <v>12.3266297404902</v>
      </c>
      <c r="E1001" s="13" t="str">
        <f aca="false">IF(B1001&lt;5,"Acidic",IF(B1001&lt;9,"Near-neutral","Alkaline"))</f>
        <v>Alkaline</v>
      </c>
    </row>
    <row r="1002" customFormat="false" ht="15" hidden="false" customHeight="false" outlineLevel="0" collapsed="false">
      <c r="A1002" s="23" t="n">
        <v>14.9624812406203</v>
      </c>
      <c r="B1002" s="18" t="n">
        <v>11.6981529801796</v>
      </c>
      <c r="C1002" s="23" t="n">
        <v>0.0218336530465422</v>
      </c>
      <c r="D1002" s="23" t="n">
        <v>12.3266297404902</v>
      </c>
      <c r="E1002" s="13" t="str">
        <f aca="false">IF(B1002&lt;5,"Acidic",IF(B1002&lt;9,"Near-neutral","Alkaline"))</f>
        <v>Alkaline</v>
      </c>
    </row>
    <row r="1003" customFormat="false" ht="15" hidden="false" customHeight="false" outlineLevel="0" collapsed="false">
      <c r="A1003" s="23" t="n">
        <v>14.9774887443722</v>
      </c>
      <c r="B1003" s="18" t="n">
        <v>11.6984803022051</v>
      </c>
      <c r="C1003" s="23" t="n">
        <v>0.0217874353596699</v>
      </c>
      <c r="D1003" s="23" t="n">
        <v>12.3266297404902</v>
      </c>
      <c r="E1003" s="13" t="str">
        <f aca="false">IF(B1003&lt;5,"Acidic",IF(B1003&lt;9,"Near-neutral","Alkaline"))</f>
        <v>Alkaline</v>
      </c>
    </row>
    <row r="1004" customFormat="false" ht="15" hidden="false" customHeight="false" outlineLevel="0" collapsed="false">
      <c r="A1004" s="23" t="n">
        <v>14.9924962481241</v>
      </c>
      <c r="B1004" s="18" t="n">
        <v>11.6988070238788</v>
      </c>
      <c r="C1004" s="23" t="n">
        <v>0.0217411008004547</v>
      </c>
      <c r="D1004" s="23" t="n">
        <v>12.3266297404902</v>
      </c>
      <c r="E1004" s="13" t="str">
        <f aca="false">IF(B1004&lt;5,"Acidic",IF(B1004&lt;9,"Near-neutral","Alkaline"))</f>
        <v>Alkaline</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CBF"/>
    <pageSetUpPr fitToPage="false"/>
  </sheetPr>
  <dimension ref="A1:G2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61"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4" min="2" style="0" width="18"/>
    <col collapsed="false" customWidth="true" hidden="false" outlineLevel="0" max="6" min="5" style="0" width="22"/>
    <col collapsed="false" customWidth="true" hidden="false" outlineLevel="0" max="7" min="7" style="0" width="20"/>
  </cols>
  <sheetData>
    <row r="1" customFormat="false" ht="25.5" hidden="false" customHeight="true" outlineLevel="0" collapsed="false">
      <c r="A1" s="1" t="s">
        <v>233</v>
      </c>
      <c r="B1" s="1"/>
      <c r="C1" s="1"/>
      <c r="D1" s="1"/>
      <c r="E1" s="1"/>
      <c r="F1" s="1"/>
      <c r="G1" s="1"/>
    </row>
    <row r="2" customFormat="false" ht="15.75" hidden="false" customHeight="true" outlineLevel="0" collapsed="false">
      <c r="A2" s="2" t="s">
        <v>234</v>
      </c>
      <c r="B2" s="2"/>
      <c r="C2" s="2"/>
      <c r="D2" s="2"/>
      <c r="E2" s="2"/>
      <c r="F2" s="2"/>
      <c r="G2" s="2"/>
    </row>
    <row r="4" customFormat="false" ht="30" hidden="false" customHeight="true" outlineLevel="0" collapsed="false">
      <c r="A4" s="4" t="s">
        <v>235</v>
      </c>
      <c r="B4" s="4" t="s">
        <v>236</v>
      </c>
      <c r="C4" s="4" t="s">
        <v>237</v>
      </c>
      <c r="D4" s="4" t="s">
        <v>238</v>
      </c>
      <c r="E4" s="4" t="s">
        <v>239</v>
      </c>
      <c r="F4" s="4" t="s">
        <v>240</v>
      </c>
      <c r="G4" s="4" t="s">
        <v>241</v>
      </c>
    </row>
    <row r="5" customFormat="false" ht="15" hidden="false" customHeight="false" outlineLevel="0" collapsed="false">
      <c r="A5" s="29" t="n">
        <v>0</v>
      </c>
      <c r="B5" s="62" t="n">
        <v>0.253531523413277</v>
      </c>
      <c r="C5" s="29" t="n">
        <v>1391.08635335777</v>
      </c>
      <c r="D5" s="29" t="n">
        <v>104.756264334892</v>
      </c>
      <c r="E5" s="62" t="n">
        <v>0.085287538509209</v>
      </c>
      <c r="F5" s="41" t="n">
        <f aca="false">03_Tunings!C6</f>
        <v>0.113131446039143</v>
      </c>
      <c r="G5" s="41" t="n">
        <f aca="false">03_Tunings!C13</f>
        <v>0.0489816586430991</v>
      </c>
    </row>
    <row r="6" customFormat="false" ht="15" hidden="false" customHeight="false" outlineLevel="0" collapsed="false">
      <c r="A6" s="29" t="n">
        <v>0.05</v>
      </c>
      <c r="B6" s="62" t="n">
        <v>0.251258210450577</v>
      </c>
      <c r="C6" s="29" t="n">
        <v>1391.08635335777</v>
      </c>
      <c r="D6" s="29" t="n">
        <v>104.756264334892</v>
      </c>
      <c r="E6" s="62" t="n">
        <v>0.085287538509209</v>
      </c>
      <c r="F6" s="41" t="n">
        <f aca="false">03_Tunings!C6</f>
        <v>0.113131446039143</v>
      </c>
      <c r="G6" s="41" t="n">
        <f aca="false">03_Tunings!C13</f>
        <v>0.0489816586430991</v>
      </c>
    </row>
    <row r="7" customFormat="false" ht="15" hidden="false" customHeight="false" outlineLevel="0" collapsed="false">
      <c r="A7" s="29" t="n">
        <v>0.1</v>
      </c>
      <c r="B7" s="62" t="n">
        <v>0.248984897487876</v>
      </c>
      <c r="C7" s="29" t="n">
        <v>1391.08635335777</v>
      </c>
      <c r="D7" s="29" t="n">
        <v>104.756264334892</v>
      </c>
      <c r="E7" s="62" t="n">
        <v>0.085287538509209</v>
      </c>
      <c r="F7" s="41" t="n">
        <f aca="false">03_Tunings!C6</f>
        <v>0.113131446039143</v>
      </c>
      <c r="G7" s="41" t="n">
        <f aca="false">03_Tunings!C13</f>
        <v>0.0489816586430991</v>
      </c>
    </row>
    <row r="8" customFormat="false" ht="15" hidden="false" customHeight="false" outlineLevel="0" collapsed="false">
      <c r="A8" s="29" t="n">
        <v>0.15</v>
      </c>
      <c r="B8" s="62" t="n">
        <v>0.246711584525176</v>
      </c>
      <c r="C8" s="29" t="n">
        <v>1391.08635335777</v>
      </c>
      <c r="D8" s="29" t="n">
        <v>104.756264334892</v>
      </c>
      <c r="E8" s="62" t="n">
        <v>0.085287538509209</v>
      </c>
      <c r="F8" s="41" t="n">
        <f aca="false">03_Tunings!C6</f>
        <v>0.113131446039143</v>
      </c>
      <c r="G8" s="41" t="n">
        <f aca="false">03_Tunings!C13</f>
        <v>0.0489816586430991</v>
      </c>
    </row>
    <row r="9" customFormat="false" ht="15" hidden="false" customHeight="false" outlineLevel="0" collapsed="false">
      <c r="A9" s="29" t="n">
        <v>0.2</v>
      </c>
      <c r="B9" s="62" t="n">
        <v>0.244438271562476</v>
      </c>
      <c r="C9" s="29" t="n">
        <v>1391.08635335777</v>
      </c>
      <c r="D9" s="29" t="n">
        <v>104.756264334892</v>
      </c>
      <c r="E9" s="62" t="n">
        <v>0.085287538509209</v>
      </c>
      <c r="F9" s="41" t="n">
        <f aca="false">03_Tunings!C6</f>
        <v>0.113131446039143</v>
      </c>
      <c r="G9" s="41" t="n">
        <f aca="false">03_Tunings!C13</f>
        <v>0.0489816586430991</v>
      </c>
    </row>
    <row r="10" customFormat="false" ht="15" hidden="false" customHeight="false" outlineLevel="0" collapsed="false">
      <c r="A10" s="29" t="n">
        <v>0.25</v>
      </c>
      <c r="B10" s="62" t="n">
        <v>0.242164958599775</v>
      </c>
      <c r="C10" s="29" t="n">
        <v>1391.08635335777</v>
      </c>
      <c r="D10" s="29" t="n">
        <v>104.756264334892</v>
      </c>
      <c r="E10" s="62" t="n">
        <v>0.085287538509209</v>
      </c>
      <c r="F10" s="41" t="n">
        <f aca="false">03_Tunings!C6</f>
        <v>0.113131446039143</v>
      </c>
      <c r="G10" s="41" t="n">
        <f aca="false">03_Tunings!C13</f>
        <v>0.0489816586430991</v>
      </c>
    </row>
    <row r="11" customFormat="false" ht="15" hidden="false" customHeight="false" outlineLevel="0" collapsed="false">
      <c r="A11" s="29" t="n">
        <v>0.3</v>
      </c>
      <c r="B11" s="62" t="n">
        <v>0.239891645637075</v>
      </c>
      <c r="C11" s="29" t="n">
        <v>1391.08635335777</v>
      </c>
      <c r="D11" s="29" t="n">
        <v>104.756264334892</v>
      </c>
      <c r="E11" s="62" t="n">
        <v>0.085287538509209</v>
      </c>
      <c r="F11" s="41" t="n">
        <f aca="false">03_Tunings!C6</f>
        <v>0.113131446039143</v>
      </c>
      <c r="G11" s="41" t="n">
        <f aca="false">03_Tunings!C13</f>
        <v>0.0489816586430991</v>
      </c>
    </row>
    <row r="12" customFormat="false" ht="15" hidden="false" customHeight="false" outlineLevel="0" collapsed="false">
      <c r="A12" s="29" t="n">
        <v>0.35</v>
      </c>
      <c r="B12" s="62" t="n">
        <v>0.237618332674374</v>
      </c>
      <c r="C12" s="29" t="n">
        <v>1391.08635335777</v>
      </c>
      <c r="D12" s="29" t="n">
        <v>104.756264334892</v>
      </c>
      <c r="E12" s="62" t="n">
        <v>0.085287538509209</v>
      </c>
      <c r="F12" s="41" t="n">
        <f aca="false">03_Tunings!C6</f>
        <v>0.113131446039143</v>
      </c>
      <c r="G12" s="41" t="n">
        <f aca="false">03_Tunings!C13</f>
        <v>0.0489816586430991</v>
      </c>
    </row>
    <row r="13" customFormat="false" ht="15" hidden="false" customHeight="false" outlineLevel="0" collapsed="false">
      <c r="A13" s="29" t="n">
        <v>0.4</v>
      </c>
      <c r="B13" s="62" t="n">
        <v>0.235345019711674</v>
      </c>
      <c r="C13" s="29" t="n">
        <v>1391.08635335777</v>
      </c>
      <c r="D13" s="29" t="n">
        <v>104.756264334892</v>
      </c>
      <c r="E13" s="62" t="n">
        <v>0.085287538509209</v>
      </c>
      <c r="F13" s="41" t="n">
        <f aca="false">03_Tunings!C6</f>
        <v>0.113131446039143</v>
      </c>
      <c r="G13" s="41" t="n">
        <f aca="false">03_Tunings!C13</f>
        <v>0.0489816586430991</v>
      </c>
    </row>
    <row r="14" customFormat="false" ht="15" hidden="false" customHeight="false" outlineLevel="0" collapsed="false">
      <c r="A14" s="29" t="n">
        <v>0.45</v>
      </c>
      <c r="B14" s="62" t="n">
        <v>0.233071706748974</v>
      </c>
      <c r="C14" s="29" t="n">
        <v>1391.08635335777</v>
      </c>
      <c r="D14" s="29" t="n">
        <v>104.756264334892</v>
      </c>
      <c r="E14" s="62" t="n">
        <v>0.085287538509209</v>
      </c>
      <c r="F14" s="41" t="n">
        <f aca="false">03_Tunings!C6</f>
        <v>0.113131446039143</v>
      </c>
      <c r="G14" s="41" t="n">
        <f aca="false">03_Tunings!C13</f>
        <v>0.0489816586430991</v>
      </c>
    </row>
    <row r="15" customFormat="false" ht="15" hidden="false" customHeight="false" outlineLevel="0" collapsed="false">
      <c r="A15" s="29" t="n">
        <v>0.5</v>
      </c>
      <c r="B15" s="62" t="n">
        <v>0.230798393786273</v>
      </c>
      <c r="C15" s="29" t="n">
        <v>1391.08635335777</v>
      </c>
      <c r="D15" s="29" t="n">
        <v>104.756264334892</v>
      </c>
      <c r="E15" s="62" t="n">
        <v>0.085287538509209</v>
      </c>
      <c r="F15" s="41" t="n">
        <f aca="false">03_Tunings!C6</f>
        <v>0.113131446039143</v>
      </c>
      <c r="G15" s="41" t="n">
        <f aca="false">03_Tunings!C13</f>
        <v>0.0489816586430991</v>
      </c>
    </row>
    <row r="16" customFormat="false" ht="15" hidden="false" customHeight="false" outlineLevel="0" collapsed="false">
      <c r="A16" s="29" t="n">
        <v>0.55</v>
      </c>
      <c r="B16" s="62" t="n">
        <v>0.228525080823573</v>
      </c>
      <c r="C16" s="29" t="n">
        <v>1391.08635335777</v>
      </c>
      <c r="D16" s="29" t="n">
        <v>104.756264334892</v>
      </c>
      <c r="E16" s="62" t="n">
        <v>0.085287538509209</v>
      </c>
      <c r="F16" s="41" t="n">
        <f aca="false">03_Tunings!C6</f>
        <v>0.113131446039143</v>
      </c>
      <c r="G16" s="41" t="n">
        <f aca="false">03_Tunings!C13</f>
        <v>0.0489816586430991</v>
      </c>
    </row>
    <row r="17" customFormat="false" ht="15" hidden="false" customHeight="false" outlineLevel="0" collapsed="false">
      <c r="A17" s="29" t="n">
        <v>0.6</v>
      </c>
      <c r="B17" s="62" t="n">
        <v>0.226251767860873</v>
      </c>
      <c r="C17" s="29" t="n">
        <v>1391.08635335777</v>
      </c>
      <c r="D17" s="29" t="n">
        <v>104.756264334892</v>
      </c>
      <c r="E17" s="62" t="n">
        <v>0.085287538509209</v>
      </c>
      <c r="F17" s="41" t="n">
        <f aca="false">03_Tunings!C6</f>
        <v>0.113131446039143</v>
      </c>
      <c r="G17" s="41" t="n">
        <f aca="false">03_Tunings!C13</f>
        <v>0.0489816586430991</v>
      </c>
    </row>
    <row r="18" customFormat="false" ht="15" hidden="false" customHeight="false" outlineLevel="0" collapsed="false">
      <c r="A18" s="29" t="n">
        <v>0.65</v>
      </c>
      <c r="B18" s="62" t="n">
        <v>0.223978454898172</v>
      </c>
      <c r="C18" s="29" t="n">
        <v>1391.08635335777</v>
      </c>
      <c r="D18" s="29" t="n">
        <v>104.756264334892</v>
      </c>
      <c r="E18" s="62" t="n">
        <v>0.085287538509209</v>
      </c>
      <c r="F18" s="41" t="n">
        <f aca="false">03_Tunings!C6</f>
        <v>0.113131446039143</v>
      </c>
      <c r="G18" s="41" t="n">
        <f aca="false">03_Tunings!C13</f>
        <v>0.0489816586430991</v>
      </c>
    </row>
    <row r="19" customFormat="false" ht="15" hidden="false" customHeight="false" outlineLevel="0" collapsed="false">
      <c r="A19" s="29" t="n">
        <v>0.7</v>
      </c>
      <c r="B19" s="62" t="n">
        <v>0.221705141935472</v>
      </c>
      <c r="C19" s="29" t="n">
        <v>1391.08635335777</v>
      </c>
      <c r="D19" s="29" t="n">
        <v>104.756264334892</v>
      </c>
      <c r="E19" s="62" t="n">
        <v>0.085287538509209</v>
      </c>
      <c r="F19" s="41" t="n">
        <f aca="false">03_Tunings!C6</f>
        <v>0.113131446039143</v>
      </c>
      <c r="G19" s="41" t="n">
        <f aca="false">03_Tunings!C13</f>
        <v>0.0489816586430991</v>
      </c>
    </row>
    <row r="20" customFormat="false" ht="15" hidden="false" customHeight="false" outlineLevel="0" collapsed="false">
      <c r="A20" s="29" t="n">
        <v>0.75</v>
      </c>
      <c r="B20" s="62" t="n">
        <v>0.219431828972771</v>
      </c>
      <c r="C20" s="29" t="n">
        <v>1391.08635335777</v>
      </c>
      <c r="D20" s="29" t="n">
        <v>104.756264334892</v>
      </c>
      <c r="E20" s="62" t="n">
        <v>0.085287538509209</v>
      </c>
      <c r="F20" s="41" t="n">
        <f aca="false">03_Tunings!C6</f>
        <v>0.113131446039143</v>
      </c>
      <c r="G20" s="41" t="n">
        <f aca="false">03_Tunings!C13</f>
        <v>0.0489816586430991</v>
      </c>
    </row>
    <row r="21" customFormat="false" ht="15" hidden="false" customHeight="false" outlineLevel="0" collapsed="false">
      <c r="A21" s="29" t="n">
        <v>0.8</v>
      </c>
      <c r="B21" s="62" t="n">
        <v>0.217158516010071</v>
      </c>
      <c r="C21" s="29" t="n">
        <v>1391.08635335777</v>
      </c>
      <c r="D21" s="29" t="n">
        <v>104.756264334892</v>
      </c>
      <c r="E21" s="62" t="n">
        <v>0.085287538509209</v>
      </c>
      <c r="F21" s="41" t="n">
        <f aca="false">03_Tunings!C6</f>
        <v>0.113131446039143</v>
      </c>
      <c r="G21" s="41" t="n">
        <f aca="false">03_Tunings!C13</f>
        <v>0.0489816586430991</v>
      </c>
    </row>
    <row r="22" customFormat="false" ht="15" hidden="false" customHeight="false" outlineLevel="0" collapsed="false">
      <c r="A22" s="29" t="n">
        <v>0.85</v>
      </c>
      <c r="B22" s="62" t="n">
        <v>0.214885203047371</v>
      </c>
      <c r="C22" s="29" t="n">
        <v>1391.08635335777</v>
      </c>
      <c r="D22" s="29" t="n">
        <v>104.756264334892</v>
      </c>
      <c r="E22" s="62" t="n">
        <v>0.085287538509209</v>
      </c>
      <c r="F22" s="41" t="n">
        <f aca="false">03_Tunings!C6</f>
        <v>0.113131446039143</v>
      </c>
      <c r="G22" s="41" t="n">
        <f aca="false">03_Tunings!C13</f>
        <v>0.0489816586430991</v>
      </c>
    </row>
    <row r="23" customFormat="false" ht="15" hidden="false" customHeight="false" outlineLevel="0" collapsed="false">
      <c r="A23" s="29" t="n">
        <v>0.9</v>
      </c>
      <c r="B23" s="62" t="n">
        <v>0.21261189008467</v>
      </c>
      <c r="C23" s="29" t="n">
        <v>1391.08635335777</v>
      </c>
      <c r="D23" s="29" t="n">
        <v>104.756264334892</v>
      </c>
      <c r="E23" s="62" t="n">
        <v>0.085287538509209</v>
      </c>
      <c r="F23" s="41" t="n">
        <f aca="false">03_Tunings!C6</f>
        <v>0.113131446039143</v>
      </c>
      <c r="G23" s="41" t="n">
        <f aca="false">03_Tunings!C13</f>
        <v>0.0489816586430991</v>
      </c>
    </row>
    <row r="24" customFormat="false" ht="15" hidden="false" customHeight="false" outlineLevel="0" collapsed="false">
      <c r="A24" s="29" t="n">
        <v>0.95</v>
      </c>
      <c r="B24" s="62" t="n">
        <v>0.21033857712197</v>
      </c>
      <c r="C24" s="29" t="n">
        <v>1391.08635335777</v>
      </c>
      <c r="D24" s="29" t="n">
        <v>104.756264334892</v>
      </c>
      <c r="E24" s="62" t="n">
        <v>0.085287538509209</v>
      </c>
      <c r="F24" s="41" t="n">
        <f aca="false">03_Tunings!C6</f>
        <v>0.113131446039143</v>
      </c>
      <c r="G24" s="41" t="n">
        <f aca="false">03_Tunings!C13</f>
        <v>0.0489816586430991</v>
      </c>
    </row>
    <row r="25" customFormat="false" ht="15" hidden="false" customHeight="false" outlineLevel="0" collapsed="false">
      <c r="A25" s="29" t="n">
        <v>1</v>
      </c>
      <c r="B25" s="62" t="n">
        <v>0.20806526415927</v>
      </c>
      <c r="C25" s="29" t="n">
        <v>1391.08635335777</v>
      </c>
      <c r="D25" s="29" t="n">
        <v>104.756264334892</v>
      </c>
      <c r="E25" s="62" t="n">
        <v>0.085287538509209</v>
      </c>
      <c r="F25" s="41" t="n">
        <f aca="false">03_Tunings!C6</f>
        <v>0.113131446039143</v>
      </c>
      <c r="G25" s="41" t="n">
        <f aca="false">03_Tunings!C13</f>
        <v>0.0489816586430991</v>
      </c>
    </row>
    <row r="26" customFormat="false" ht="15" hidden="false" customHeight="false" outlineLevel="0" collapsed="false">
      <c r="A26" s="29" t="n">
        <v>1.05</v>
      </c>
      <c r="B26" s="62" t="n">
        <v>0.205791951196569</v>
      </c>
      <c r="C26" s="29" t="n">
        <v>1391.08635335777</v>
      </c>
      <c r="D26" s="29" t="n">
        <v>104.756264334892</v>
      </c>
      <c r="E26" s="62" t="n">
        <v>0.085287538509209</v>
      </c>
      <c r="F26" s="41" t="n">
        <f aca="false">03_Tunings!C6</f>
        <v>0.113131446039143</v>
      </c>
      <c r="G26" s="41" t="n">
        <f aca="false">03_Tunings!C13</f>
        <v>0.0489816586430991</v>
      </c>
    </row>
    <row r="27" customFormat="false" ht="15" hidden="false" customHeight="false" outlineLevel="0" collapsed="false">
      <c r="A27" s="29" t="n">
        <v>1.1</v>
      </c>
      <c r="B27" s="62" t="n">
        <v>0.203518638233869</v>
      </c>
      <c r="C27" s="29" t="n">
        <v>1391.08635335777</v>
      </c>
      <c r="D27" s="29" t="n">
        <v>104.756264334892</v>
      </c>
      <c r="E27" s="62" t="n">
        <v>0.085287538509209</v>
      </c>
      <c r="F27" s="41" t="n">
        <f aca="false">03_Tunings!C6</f>
        <v>0.113131446039143</v>
      </c>
      <c r="G27" s="41" t="n">
        <f aca="false">03_Tunings!C13</f>
        <v>0.0489816586430991</v>
      </c>
    </row>
    <row r="28" customFormat="false" ht="15" hidden="false" customHeight="false" outlineLevel="0" collapsed="false">
      <c r="A28" s="29" t="n">
        <v>1.15</v>
      </c>
      <c r="B28" s="62" t="n">
        <v>0.201245325271168</v>
      </c>
      <c r="C28" s="29" t="n">
        <v>1391.08635335777</v>
      </c>
      <c r="D28" s="29" t="n">
        <v>104.756264334892</v>
      </c>
      <c r="E28" s="62" t="n">
        <v>0.085287538509209</v>
      </c>
      <c r="F28" s="41" t="n">
        <f aca="false">03_Tunings!C6</f>
        <v>0.113131446039143</v>
      </c>
      <c r="G28" s="41" t="n">
        <f aca="false">03_Tunings!C13</f>
        <v>0.0489816586430991</v>
      </c>
    </row>
    <row r="29" customFormat="false" ht="15" hidden="false" customHeight="false" outlineLevel="0" collapsed="false">
      <c r="A29" s="29" t="n">
        <v>1.2</v>
      </c>
      <c r="B29" s="62" t="n">
        <v>0.198972012308468</v>
      </c>
      <c r="C29" s="29" t="n">
        <v>1391.08635335777</v>
      </c>
      <c r="D29" s="29" t="n">
        <v>104.756264334892</v>
      </c>
      <c r="E29" s="62" t="n">
        <v>0.085287538509209</v>
      </c>
      <c r="F29" s="41" t="n">
        <f aca="false">03_Tunings!C6</f>
        <v>0.113131446039143</v>
      </c>
      <c r="G29" s="41" t="n">
        <f aca="false">03_Tunings!C13</f>
        <v>0.0489816586430991</v>
      </c>
    </row>
    <row r="30" customFormat="false" ht="15" hidden="false" customHeight="false" outlineLevel="0" collapsed="false">
      <c r="A30" s="29" t="n">
        <v>1.25</v>
      </c>
      <c r="B30" s="62" t="n">
        <v>0.196698699345768</v>
      </c>
      <c r="C30" s="29" t="n">
        <v>1391.08635335777</v>
      </c>
      <c r="D30" s="29" t="n">
        <v>104.756264334892</v>
      </c>
      <c r="E30" s="62" t="n">
        <v>0.085287538509209</v>
      </c>
      <c r="F30" s="41" t="n">
        <f aca="false">03_Tunings!C6</f>
        <v>0.113131446039143</v>
      </c>
      <c r="G30" s="41" t="n">
        <f aca="false">03_Tunings!C13</f>
        <v>0.0489816586430991</v>
      </c>
    </row>
    <row r="31" customFormat="false" ht="15" hidden="false" customHeight="false" outlineLevel="0" collapsed="false">
      <c r="A31" s="29" t="n">
        <v>1.3</v>
      </c>
      <c r="B31" s="62" t="n">
        <v>0.194425386383067</v>
      </c>
      <c r="C31" s="29" t="n">
        <v>1391.08635335777</v>
      </c>
      <c r="D31" s="29" t="n">
        <v>104.756264334892</v>
      </c>
      <c r="E31" s="62" t="n">
        <v>0.085287538509209</v>
      </c>
      <c r="F31" s="41" t="n">
        <f aca="false">03_Tunings!C6</f>
        <v>0.113131446039143</v>
      </c>
      <c r="G31" s="41" t="n">
        <f aca="false">03_Tunings!C13</f>
        <v>0.0489816586430991</v>
      </c>
    </row>
    <row r="32" customFormat="false" ht="15" hidden="false" customHeight="false" outlineLevel="0" collapsed="false">
      <c r="A32" s="29" t="n">
        <v>1.35</v>
      </c>
      <c r="B32" s="62" t="n">
        <v>0.192152073420367</v>
      </c>
      <c r="C32" s="29" t="n">
        <v>1391.08635335777</v>
      </c>
      <c r="D32" s="29" t="n">
        <v>104.756264334892</v>
      </c>
      <c r="E32" s="62" t="n">
        <v>0.085287538509209</v>
      </c>
      <c r="F32" s="41" t="n">
        <f aca="false">03_Tunings!C6</f>
        <v>0.113131446039143</v>
      </c>
      <c r="G32" s="41" t="n">
        <f aca="false">03_Tunings!C13</f>
        <v>0.0489816586430991</v>
      </c>
    </row>
    <row r="33" customFormat="false" ht="15" hidden="false" customHeight="false" outlineLevel="0" collapsed="false">
      <c r="A33" s="29" t="n">
        <v>1.4</v>
      </c>
      <c r="B33" s="62" t="n">
        <v>0.189878760457667</v>
      </c>
      <c r="C33" s="29" t="n">
        <v>1391.08635335777</v>
      </c>
      <c r="D33" s="29" t="n">
        <v>104.756264334892</v>
      </c>
      <c r="E33" s="62" t="n">
        <v>0.085287538509209</v>
      </c>
      <c r="F33" s="41" t="n">
        <f aca="false">03_Tunings!C6</f>
        <v>0.113131446039143</v>
      </c>
      <c r="G33" s="41" t="n">
        <f aca="false">03_Tunings!C13</f>
        <v>0.0489816586430991</v>
      </c>
    </row>
    <row r="34" customFormat="false" ht="15" hidden="false" customHeight="false" outlineLevel="0" collapsed="false">
      <c r="A34" s="29" t="n">
        <v>1.45</v>
      </c>
      <c r="B34" s="62" t="n">
        <v>0.187605447494966</v>
      </c>
      <c r="C34" s="29" t="n">
        <v>1391.08635335777</v>
      </c>
      <c r="D34" s="29" t="n">
        <v>104.756264334892</v>
      </c>
      <c r="E34" s="62" t="n">
        <v>0.085287538509209</v>
      </c>
      <c r="F34" s="41" t="n">
        <f aca="false">03_Tunings!C6</f>
        <v>0.113131446039143</v>
      </c>
      <c r="G34" s="41" t="n">
        <f aca="false">03_Tunings!C13</f>
        <v>0.0489816586430991</v>
      </c>
    </row>
    <row r="35" customFormat="false" ht="15" hidden="false" customHeight="false" outlineLevel="0" collapsed="false">
      <c r="A35" s="29" t="n">
        <v>1.5</v>
      </c>
      <c r="B35" s="62" t="n">
        <v>0.185332134532266</v>
      </c>
      <c r="C35" s="29" t="n">
        <v>1391.08635335777</v>
      </c>
      <c r="D35" s="29" t="n">
        <v>104.756264334892</v>
      </c>
      <c r="E35" s="62" t="n">
        <v>0.085287538509209</v>
      </c>
      <c r="F35" s="41" t="n">
        <f aca="false">03_Tunings!C6</f>
        <v>0.113131446039143</v>
      </c>
      <c r="G35" s="41" t="n">
        <f aca="false">03_Tunings!C13</f>
        <v>0.0489816586430991</v>
      </c>
    </row>
    <row r="36" customFormat="false" ht="15" hidden="false" customHeight="false" outlineLevel="0" collapsed="false">
      <c r="A36" s="29" t="n">
        <v>1.55</v>
      </c>
      <c r="B36" s="62" t="n">
        <v>0.183058821569565</v>
      </c>
      <c r="C36" s="29" t="n">
        <v>1391.08635335777</v>
      </c>
      <c r="D36" s="29" t="n">
        <v>104.756264334892</v>
      </c>
      <c r="E36" s="62" t="n">
        <v>0.085287538509209</v>
      </c>
      <c r="F36" s="41" t="n">
        <f aca="false">03_Tunings!C6</f>
        <v>0.113131446039143</v>
      </c>
      <c r="G36" s="41" t="n">
        <f aca="false">03_Tunings!C13</f>
        <v>0.0489816586430991</v>
      </c>
    </row>
    <row r="37" customFormat="false" ht="15" hidden="false" customHeight="false" outlineLevel="0" collapsed="false">
      <c r="A37" s="29" t="n">
        <v>1.6</v>
      </c>
      <c r="B37" s="62" t="n">
        <v>0.180785508606865</v>
      </c>
      <c r="C37" s="29" t="n">
        <v>1391.08635335777</v>
      </c>
      <c r="D37" s="29" t="n">
        <v>104.756264334892</v>
      </c>
      <c r="E37" s="62" t="n">
        <v>0.085287538509209</v>
      </c>
      <c r="F37" s="41" t="n">
        <f aca="false">03_Tunings!C6</f>
        <v>0.113131446039143</v>
      </c>
      <c r="G37" s="41" t="n">
        <f aca="false">03_Tunings!C13</f>
        <v>0.0489816586430991</v>
      </c>
    </row>
    <row r="38" customFormat="false" ht="15" hidden="false" customHeight="false" outlineLevel="0" collapsed="false">
      <c r="A38" s="29" t="n">
        <v>1.65</v>
      </c>
      <c r="B38" s="62" t="n">
        <v>0.178512195644165</v>
      </c>
      <c r="C38" s="29" t="n">
        <v>1391.08635335777</v>
      </c>
      <c r="D38" s="29" t="n">
        <v>104.756264334892</v>
      </c>
      <c r="E38" s="62" t="n">
        <v>0.085287538509209</v>
      </c>
      <c r="F38" s="41" t="n">
        <f aca="false">03_Tunings!C6</f>
        <v>0.113131446039143</v>
      </c>
      <c r="G38" s="41" t="n">
        <f aca="false">03_Tunings!C13</f>
        <v>0.0489816586430991</v>
      </c>
    </row>
    <row r="39" customFormat="false" ht="15" hidden="false" customHeight="false" outlineLevel="0" collapsed="false">
      <c r="A39" s="29" t="n">
        <v>1.7</v>
      </c>
      <c r="B39" s="62" t="n">
        <v>0.176238882681464</v>
      </c>
      <c r="C39" s="29" t="n">
        <v>1391.08635335777</v>
      </c>
      <c r="D39" s="29" t="n">
        <v>104.756264334892</v>
      </c>
      <c r="E39" s="62" t="n">
        <v>0.085287538509209</v>
      </c>
      <c r="F39" s="41" t="n">
        <f aca="false">03_Tunings!C6</f>
        <v>0.113131446039143</v>
      </c>
      <c r="G39" s="41" t="n">
        <f aca="false">03_Tunings!C13</f>
        <v>0.0489816586430991</v>
      </c>
    </row>
    <row r="40" customFormat="false" ht="15" hidden="false" customHeight="false" outlineLevel="0" collapsed="false">
      <c r="A40" s="29" t="n">
        <v>1.75</v>
      </c>
      <c r="B40" s="62" t="n">
        <v>0.173965569718764</v>
      </c>
      <c r="C40" s="29" t="n">
        <v>1391.08635335777</v>
      </c>
      <c r="D40" s="29" t="n">
        <v>104.756264334892</v>
      </c>
      <c r="E40" s="62" t="n">
        <v>0.085287538509209</v>
      </c>
      <c r="F40" s="41" t="n">
        <f aca="false">03_Tunings!C6</f>
        <v>0.113131446039143</v>
      </c>
      <c r="G40" s="41" t="n">
        <f aca="false">03_Tunings!C13</f>
        <v>0.0489816586430991</v>
      </c>
    </row>
    <row r="41" customFormat="false" ht="15" hidden="false" customHeight="false" outlineLevel="0" collapsed="false">
      <c r="A41" s="29" t="n">
        <v>1.8</v>
      </c>
      <c r="B41" s="62" t="n">
        <v>0.171692256756064</v>
      </c>
      <c r="C41" s="29" t="n">
        <v>1391.08635335777</v>
      </c>
      <c r="D41" s="29" t="n">
        <v>104.756264334892</v>
      </c>
      <c r="E41" s="62" t="n">
        <v>0.085287538509209</v>
      </c>
      <c r="F41" s="41" t="n">
        <f aca="false">03_Tunings!C6</f>
        <v>0.113131446039143</v>
      </c>
      <c r="G41" s="41" t="n">
        <f aca="false">03_Tunings!C13</f>
        <v>0.0489816586430991</v>
      </c>
    </row>
    <row r="42" customFormat="false" ht="15" hidden="false" customHeight="false" outlineLevel="0" collapsed="false">
      <c r="A42" s="29" t="n">
        <v>1.85</v>
      </c>
      <c r="B42" s="62" t="n">
        <v>0.169418943793363</v>
      </c>
      <c r="C42" s="29" t="n">
        <v>1391.08635335777</v>
      </c>
      <c r="D42" s="29" t="n">
        <v>104.756264334892</v>
      </c>
      <c r="E42" s="62" t="n">
        <v>0.085287538509209</v>
      </c>
      <c r="F42" s="41" t="n">
        <f aca="false">03_Tunings!C6</f>
        <v>0.113131446039143</v>
      </c>
      <c r="G42" s="41" t="n">
        <f aca="false">03_Tunings!C13</f>
        <v>0.0489816586430991</v>
      </c>
    </row>
    <row r="43" customFormat="false" ht="15" hidden="false" customHeight="false" outlineLevel="0" collapsed="false">
      <c r="A43" s="29" t="n">
        <v>1.9</v>
      </c>
      <c r="B43" s="62" t="n">
        <v>0.167145630830663</v>
      </c>
      <c r="C43" s="29" t="n">
        <v>1391.08635335777</v>
      </c>
      <c r="D43" s="29" t="n">
        <v>104.756264334892</v>
      </c>
      <c r="E43" s="62" t="n">
        <v>0.085287538509209</v>
      </c>
      <c r="F43" s="41" t="n">
        <f aca="false">03_Tunings!C6</f>
        <v>0.113131446039143</v>
      </c>
      <c r="G43" s="41" t="n">
        <f aca="false">03_Tunings!C13</f>
        <v>0.0489816586430991</v>
      </c>
    </row>
    <row r="44" customFormat="false" ht="15" hidden="false" customHeight="false" outlineLevel="0" collapsed="false">
      <c r="A44" s="29" t="n">
        <v>1.95</v>
      </c>
      <c r="B44" s="62" t="n">
        <v>0.164872317867962</v>
      </c>
      <c r="C44" s="29" t="n">
        <v>1391.08635335777</v>
      </c>
      <c r="D44" s="29" t="n">
        <v>104.756264334892</v>
      </c>
      <c r="E44" s="62" t="n">
        <v>0.085287538509209</v>
      </c>
      <c r="F44" s="41" t="n">
        <f aca="false">03_Tunings!C6</f>
        <v>0.113131446039143</v>
      </c>
      <c r="G44" s="41" t="n">
        <f aca="false">03_Tunings!C13</f>
        <v>0.0489816586430991</v>
      </c>
    </row>
    <row r="45" customFormat="false" ht="15" hidden="false" customHeight="false" outlineLevel="0" collapsed="false">
      <c r="A45" s="29" t="n">
        <v>2</v>
      </c>
      <c r="B45" s="62" t="n">
        <v>0.162599004905262</v>
      </c>
      <c r="C45" s="29" t="n">
        <v>1391.08635335777</v>
      </c>
      <c r="D45" s="29" t="n">
        <v>104.756264334892</v>
      </c>
      <c r="E45" s="62" t="n">
        <v>0.085287538509209</v>
      </c>
      <c r="F45" s="41" t="n">
        <f aca="false">03_Tunings!C6</f>
        <v>0.113131446039143</v>
      </c>
      <c r="G45" s="41" t="n">
        <f aca="false">03_Tunings!C13</f>
        <v>0.0489816586430991</v>
      </c>
    </row>
    <row r="46" customFormat="false" ht="15" hidden="false" customHeight="false" outlineLevel="0" collapsed="false">
      <c r="A46" s="29" t="n">
        <v>2.05</v>
      </c>
      <c r="B46" s="62" t="n">
        <v>0.160325691942562</v>
      </c>
      <c r="C46" s="29" t="n">
        <v>1391.08635335777</v>
      </c>
      <c r="D46" s="29" t="n">
        <v>104.756264334892</v>
      </c>
      <c r="E46" s="62" t="n">
        <v>0.085287538509209</v>
      </c>
      <c r="F46" s="41" t="n">
        <f aca="false">03_Tunings!C6</f>
        <v>0.113131446039143</v>
      </c>
      <c r="G46" s="41" t="n">
        <f aca="false">03_Tunings!C13</f>
        <v>0.0489816586430991</v>
      </c>
    </row>
    <row r="47" customFormat="false" ht="15" hidden="false" customHeight="false" outlineLevel="0" collapsed="false">
      <c r="A47" s="29" t="n">
        <v>2.1</v>
      </c>
      <c r="B47" s="62" t="n">
        <v>0.158052378979861</v>
      </c>
      <c r="C47" s="29" t="n">
        <v>1391.08635335777</v>
      </c>
      <c r="D47" s="29" t="n">
        <v>104.756264334892</v>
      </c>
      <c r="E47" s="62" t="n">
        <v>0.085287538509209</v>
      </c>
      <c r="F47" s="41" t="n">
        <f aca="false">03_Tunings!C6</f>
        <v>0.113131446039143</v>
      </c>
      <c r="G47" s="41" t="n">
        <f aca="false">03_Tunings!C13</f>
        <v>0.0489816586430991</v>
      </c>
    </row>
    <row r="48" customFormat="false" ht="15" hidden="false" customHeight="false" outlineLevel="0" collapsed="false">
      <c r="A48" s="29" t="n">
        <v>2.15</v>
      </c>
      <c r="B48" s="62" t="n">
        <v>0.155779066017161</v>
      </c>
      <c r="C48" s="29" t="n">
        <v>1391.08635335777</v>
      </c>
      <c r="D48" s="29" t="n">
        <v>104.756264334892</v>
      </c>
      <c r="E48" s="62" t="n">
        <v>0.085287538509209</v>
      </c>
      <c r="F48" s="41" t="n">
        <f aca="false">03_Tunings!C6</f>
        <v>0.113131446039143</v>
      </c>
      <c r="G48" s="41" t="n">
        <f aca="false">03_Tunings!C13</f>
        <v>0.0489816586430991</v>
      </c>
    </row>
    <row r="49" customFormat="false" ht="15" hidden="false" customHeight="false" outlineLevel="0" collapsed="false">
      <c r="A49" s="29" t="n">
        <v>2.2</v>
      </c>
      <c r="B49" s="62" t="n">
        <v>0.153505753054461</v>
      </c>
      <c r="C49" s="29" t="n">
        <v>1391.08635335777</v>
      </c>
      <c r="D49" s="29" t="n">
        <v>104.756264334892</v>
      </c>
      <c r="E49" s="62" t="n">
        <v>0.085287538509209</v>
      </c>
      <c r="F49" s="41" t="n">
        <f aca="false">03_Tunings!C6</f>
        <v>0.113131446039143</v>
      </c>
      <c r="G49" s="41" t="n">
        <f aca="false">03_Tunings!C13</f>
        <v>0.0489816586430991</v>
      </c>
    </row>
    <row r="50" customFormat="false" ht="15" hidden="false" customHeight="false" outlineLevel="0" collapsed="false">
      <c r="A50" s="29" t="n">
        <v>2.25</v>
      </c>
      <c r="B50" s="62" t="n">
        <v>0.15123244009176</v>
      </c>
      <c r="C50" s="29" t="n">
        <v>1391.08635335777</v>
      </c>
      <c r="D50" s="29" t="n">
        <v>104.756264334892</v>
      </c>
      <c r="E50" s="62" t="n">
        <v>0.085287538509209</v>
      </c>
      <c r="F50" s="41" t="n">
        <f aca="false">03_Tunings!C6</f>
        <v>0.113131446039143</v>
      </c>
      <c r="G50" s="41" t="n">
        <f aca="false">03_Tunings!C13</f>
        <v>0.0489816586430991</v>
      </c>
    </row>
    <row r="51" customFormat="false" ht="15" hidden="false" customHeight="false" outlineLevel="0" collapsed="false">
      <c r="A51" s="29" t="n">
        <v>2.3</v>
      </c>
      <c r="B51" s="62" t="n">
        <v>0.14895912712906</v>
      </c>
      <c r="C51" s="29" t="n">
        <v>1391.08635335777</v>
      </c>
      <c r="D51" s="29" t="n">
        <v>104.756264334892</v>
      </c>
      <c r="E51" s="62" t="n">
        <v>0.085287538509209</v>
      </c>
      <c r="F51" s="41" t="n">
        <f aca="false">03_Tunings!C6</f>
        <v>0.113131446039143</v>
      </c>
      <c r="G51" s="41" t="n">
        <f aca="false">03_Tunings!C13</f>
        <v>0.0489816586430991</v>
      </c>
    </row>
    <row r="52" customFormat="false" ht="15" hidden="false" customHeight="false" outlineLevel="0" collapsed="false">
      <c r="A52" s="29" t="n">
        <v>2.35</v>
      </c>
      <c r="B52" s="62" t="n">
        <v>0.146685814166359</v>
      </c>
      <c r="C52" s="29" t="n">
        <v>1391.08635335777</v>
      </c>
      <c r="D52" s="29" t="n">
        <v>104.756264334892</v>
      </c>
      <c r="E52" s="62" t="n">
        <v>0.085287538509209</v>
      </c>
      <c r="F52" s="41" t="n">
        <f aca="false">03_Tunings!C6</f>
        <v>0.113131446039143</v>
      </c>
      <c r="G52" s="41" t="n">
        <f aca="false">03_Tunings!C13</f>
        <v>0.0489816586430991</v>
      </c>
    </row>
    <row r="53" customFormat="false" ht="15" hidden="false" customHeight="false" outlineLevel="0" collapsed="false">
      <c r="A53" s="29" t="n">
        <v>2.4</v>
      </c>
      <c r="B53" s="62" t="n">
        <v>0.144412501203659</v>
      </c>
      <c r="C53" s="29" t="n">
        <v>1391.08635335777</v>
      </c>
      <c r="D53" s="29" t="n">
        <v>104.756264334892</v>
      </c>
      <c r="E53" s="62" t="n">
        <v>0.085287538509209</v>
      </c>
      <c r="F53" s="41" t="n">
        <f aca="false">03_Tunings!C6</f>
        <v>0.113131446039143</v>
      </c>
      <c r="G53" s="41" t="n">
        <f aca="false">03_Tunings!C13</f>
        <v>0.0489816586430991</v>
      </c>
    </row>
    <row r="54" customFormat="false" ht="15" hidden="false" customHeight="false" outlineLevel="0" collapsed="false">
      <c r="A54" s="29" t="n">
        <v>2.45</v>
      </c>
      <c r="B54" s="62" t="n">
        <v>0.142139188240959</v>
      </c>
      <c r="C54" s="29" t="n">
        <v>1391.08635335777</v>
      </c>
      <c r="D54" s="29" t="n">
        <v>104.756264334892</v>
      </c>
      <c r="E54" s="62" t="n">
        <v>0.085287538509209</v>
      </c>
      <c r="F54" s="41" t="n">
        <f aca="false">03_Tunings!C6</f>
        <v>0.113131446039143</v>
      </c>
      <c r="G54" s="41" t="n">
        <f aca="false">03_Tunings!C13</f>
        <v>0.0489816586430991</v>
      </c>
    </row>
    <row r="55" customFormat="false" ht="15" hidden="false" customHeight="false" outlineLevel="0" collapsed="false">
      <c r="A55" s="29" t="n">
        <v>2.5</v>
      </c>
      <c r="B55" s="62" t="n">
        <v>0.139865875278258</v>
      </c>
      <c r="C55" s="29" t="n">
        <v>1391.08635335777</v>
      </c>
      <c r="D55" s="29" t="n">
        <v>104.756264334892</v>
      </c>
      <c r="E55" s="62" t="n">
        <v>0.085287538509209</v>
      </c>
      <c r="F55" s="41" t="n">
        <f aca="false">03_Tunings!C6</f>
        <v>0.113131446039143</v>
      </c>
      <c r="G55" s="41" t="n">
        <f aca="false">03_Tunings!C13</f>
        <v>0.0489816586430991</v>
      </c>
    </row>
    <row r="56" customFormat="false" ht="15" hidden="false" customHeight="false" outlineLevel="0" collapsed="false">
      <c r="A56" s="29" t="n">
        <v>2.55</v>
      </c>
      <c r="B56" s="62" t="n">
        <v>0.137592562315558</v>
      </c>
      <c r="C56" s="29" t="n">
        <v>1391.08635335777</v>
      </c>
      <c r="D56" s="29" t="n">
        <v>104.756264334892</v>
      </c>
      <c r="E56" s="62" t="n">
        <v>0.085287538509209</v>
      </c>
      <c r="F56" s="41" t="n">
        <f aca="false">03_Tunings!C6</f>
        <v>0.113131446039143</v>
      </c>
      <c r="G56" s="41" t="n">
        <f aca="false">03_Tunings!C13</f>
        <v>0.0489816586430991</v>
      </c>
    </row>
    <row r="57" customFormat="false" ht="15" hidden="false" customHeight="false" outlineLevel="0" collapsed="false">
      <c r="A57" s="29" t="n">
        <v>2.6</v>
      </c>
      <c r="B57" s="62" t="n">
        <v>0.135319249352858</v>
      </c>
      <c r="C57" s="29" t="n">
        <v>1391.08635335777</v>
      </c>
      <c r="D57" s="29" t="n">
        <v>104.756264334892</v>
      </c>
      <c r="E57" s="62" t="n">
        <v>0.085287538509209</v>
      </c>
      <c r="F57" s="41" t="n">
        <f aca="false">03_Tunings!C6</f>
        <v>0.113131446039143</v>
      </c>
      <c r="G57" s="41" t="n">
        <f aca="false">03_Tunings!C13</f>
        <v>0.0489816586430991</v>
      </c>
    </row>
    <row r="58" customFormat="false" ht="15" hidden="false" customHeight="false" outlineLevel="0" collapsed="false">
      <c r="A58" s="29" t="n">
        <v>2.65</v>
      </c>
      <c r="B58" s="62" t="n">
        <v>0.133045936390157</v>
      </c>
      <c r="C58" s="29" t="n">
        <v>1391.08635335777</v>
      </c>
      <c r="D58" s="29" t="n">
        <v>104.756264334892</v>
      </c>
      <c r="E58" s="62" t="n">
        <v>0.085287538509209</v>
      </c>
      <c r="F58" s="41" t="n">
        <f aca="false">03_Tunings!C6</f>
        <v>0.113131446039143</v>
      </c>
      <c r="G58" s="41" t="n">
        <f aca="false">03_Tunings!C13</f>
        <v>0.0489816586430991</v>
      </c>
    </row>
    <row r="59" customFormat="false" ht="15" hidden="false" customHeight="false" outlineLevel="0" collapsed="false">
      <c r="A59" s="29" t="n">
        <v>2.7</v>
      </c>
      <c r="B59" s="62" t="n">
        <v>0.130772623427457</v>
      </c>
      <c r="C59" s="29" t="n">
        <v>1391.08635335777</v>
      </c>
      <c r="D59" s="29" t="n">
        <v>104.756264334892</v>
      </c>
      <c r="E59" s="62" t="n">
        <v>0.085287538509209</v>
      </c>
      <c r="F59" s="41" t="n">
        <f aca="false">03_Tunings!C6</f>
        <v>0.113131446039143</v>
      </c>
      <c r="G59" s="41" t="n">
        <f aca="false">03_Tunings!C13</f>
        <v>0.0489816586430991</v>
      </c>
    </row>
    <row r="60" customFormat="false" ht="15" hidden="false" customHeight="false" outlineLevel="0" collapsed="false">
      <c r="A60" s="29" t="n">
        <v>2.75</v>
      </c>
      <c r="B60" s="62" t="n">
        <v>0.128499310464756</v>
      </c>
      <c r="C60" s="29" t="n">
        <v>1391.08635335777</v>
      </c>
      <c r="D60" s="29" t="n">
        <v>104.756264334892</v>
      </c>
      <c r="E60" s="62" t="n">
        <v>0.085287538509209</v>
      </c>
      <c r="F60" s="41" t="n">
        <f aca="false">03_Tunings!C6</f>
        <v>0.113131446039143</v>
      </c>
      <c r="G60" s="41" t="n">
        <f aca="false">03_Tunings!C13</f>
        <v>0.0489816586430991</v>
      </c>
    </row>
    <row r="61" customFormat="false" ht="15" hidden="false" customHeight="false" outlineLevel="0" collapsed="false">
      <c r="A61" s="29" t="n">
        <v>2.8</v>
      </c>
      <c r="B61" s="62" t="n">
        <v>0.126225997502056</v>
      </c>
      <c r="C61" s="29" t="n">
        <v>1391.08635335777</v>
      </c>
      <c r="D61" s="29" t="n">
        <v>104.756264334892</v>
      </c>
      <c r="E61" s="62" t="n">
        <v>0.085287538509209</v>
      </c>
      <c r="F61" s="41" t="n">
        <f aca="false">03_Tunings!C6</f>
        <v>0.113131446039143</v>
      </c>
      <c r="G61" s="41" t="n">
        <f aca="false">03_Tunings!C13</f>
        <v>0.0489816586430991</v>
      </c>
    </row>
    <row r="62" customFormat="false" ht="15" hidden="false" customHeight="false" outlineLevel="0" collapsed="false">
      <c r="A62" s="29" t="n">
        <v>2.85</v>
      </c>
      <c r="B62" s="62" t="n">
        <v>0.123952684539356</v>
      </c>
      <c r="C62" s="29" t="n">
        <v>1391.08635335777</v>
      </c>
      <c r="D62" s="29" t="n">
        <v>104.756264334892</v>
      </c>
      <c r="E62" s="62" t="n">
        <v>0.085287538509209</v>
      </c>
      <c r="F62" s="41" t="n">
        <f aca="false">03_Tunings!C6</f>
        <v>0.113131446039143</v>
      </c>
      <c r="G62" s="41" t="n">
        <f aca="false">03_Tunings!C13</f>
        <v>0.0489816586430991</v>
      </c>
    </row>
    <row r="63" customFormat="false" ht="15" hidden="false" customHeight="false" outlineLevel="0" collapsed="false">
      <c r="A63" s="29" t="n">
        <v>2.9</v>
      </c>
      <c r="B63" s="62" t="n">
        <v>0.121679371576655</v>
      </c>
      <c r="C63" s="29" t="n">
        <v>1391.08635335777</v>
      </c>
      <c r="D63" s="29" t="n">
        <v>104.756264334892</v>
      </c>
      <c r="E63" s="62" t="n">
        <v>0.085287538509209</v>
      </c>
      <c r="F63" s="41" t="n">
        <f aca="false">03_Tunings!C6</f>
        <v>0.113131446039143</v>
      </c>
      <c r="G63" s="41" t="n">
        <f aca="false">03_Tunings!C13</f>
        <v>0.0489816586430991</v>
      </c>
    </row>
    <row r="64" customFormat="false" ht="15" hidden="false" customHeight="false" outlineLevel="0" collapsed="false">
      <c r="A64" s="29" t="n">
        <v>2.95</v>
      </c>
      <c r="B64" s="62" t="n">
        <v>0.119406058613955</v>
      </c>
      <c r="C64" s="29" t="n">
        <v>1391.08635335777</v>
      </c>
      <c r="D64" s="29" t="n">
        <v>104.756264334892</v>
      </c>
      <c r="E64" s="62" t="n">
        <v>0.085287538509209</v>
      </c>
      <c r="F64" s="41" t="n">
        <f aca="false">03_Tunings!C6</f>
        <v>0.113131446039143</v>
      </c>
      <c r="G64" s="41" t="n">
        <f aca="false">03_Tunings!C13</f>
        <v>0.0489816586430991</v>
      </c>
    </row>
    <row r="65" customFormat="false" ht="15" hidden="false" customHeight="false" outlineLevel="0" collapsed="false">
      <c r="A65" s="29" t="n">
        <v>3</v>
      </c>
      <c r="B65" s="62" t="n">
        <v>0.117132745651255</v>
      </c>
      <c r="C65" s="29" t="n">
        <v>1391.08635335777</v>
      </c>
      <c r="D65" s="29" t="n">
        <v>104.756264334892</v>
      </c>
      <c r="E65" s="62" t="n">
        <v>0.085287538509209</v>
      </c>
      <c r="F65" s="41" t="n">
        <f aca="false">03_Tunings!C6</f>
        <v>0.113131446039143</v>
      </c>
      <c r="G65" s="41" t="n">
        <f aca="false">03_Tunings!C13</f>
        <v>0.0489816586430991</v>
      </c>
    </row>
    <row r="66" customFormat="false" ht="15" hidden="false" customHeight="false" outlineLevel="0" collapsed="false">
      <c r="A66" s="29" t="n">
        <v>3.05</v>
      </c>
      <c r="B66" s="62" t="n">
        <v>0.114859432688554</v>
      </c>
      <c r="C66" s="29" t="n">
        <v>1391.08635335777</v>
      </c>
      <c r="D66" s="29" t="n">
        <v>104.756264334892</v>
      </c>
      <c r="E66" s="62" t="n">
        <v>0.085287538509209</v>
      </c>
      <c r="F66" s="41" t="n">
        <f aca="false">03_Tunings!C6</f>
        <v>0.113131446039143</v>
      </c>
      <c r="G66" s="41" t="n">
        <f aca="false">03_Tunings!C13</f>
        <v>0.0489816586430991</v>
      </c>
    </row>
    <row r="67" customFormat="false" ht="15" hidden="false" customHeight="false" outlineLevel="0" collapsed="false">
      <c r="A67" s="29" t="n">
        <v>3.1</v>
      </c>
      <c r="B67" s="62" t="n">
        <v>0.112586119725854</v>
      </c>
      <c r="C67" s="29" t="n">
        <v>1391.08635335777</v>
      </c>
      <c r="D67" s="29" t="n">
        <v>104.756264334892</v>
      </c>
      <c r="E67" s="62" t="n">
        <v>0.085287538509209</v>
      </c>
      <c r="F67" s="41" t="n">
        <f aca="false">03_Tunings!C6</f>
        <v>0.113131446039143</v>
      </c>
      <c r="G67" s="41" t="n">
        <f aca="false">03_Tunings!C13</f>
        <v>0.0489816586430991</v>
      </c>
    </row>
    <row r="68" customFormat="false" ht="15" hidden="false" customHeight="false" outlineLevel="0" collapsed="false">
      <c r="A68" s="29" t="n">
        <v>3.15</v>
      </c>
      <c r="B68" s="62" t="n">
        <v>0.110312806763153</v>
      </c>
      <c r="C68" s="29" t="n">
        <v>1391.08635335777</v>
      </c>
      <c r="D68" s="29" t="n">
        <v>104.756264334892</v>
      </c>
      <c r="E68" s="62" t="n">
        <v>0.085287538509209</v>
      </c>
      <c r="F68" s="41" t="n">
        <f aca="false">03_Tunings!C6</f>
        <v>0.113131446039143</v>
      </c>
      <c r="G68" s="41" t="n">
        <f aca="false">03_Tunings!C13</f>
        <v>0.0489816586430991</v>
      </c>
    </row>
    <row r="69" customFormat="false" ht="15" hidden="false" customHeight="false" outlineLevel="0" collapsed="false">
      <c r="A69" s="29" t="n">
        <v>3.2</v>
      </c>
      <c r="B69" s="62" t="n">
        <v>0.108039493800453</v>
      </c>
      <c r="C69" s="29" t="n">
        <v>1391.08635335777</v>
      </c>
      <c r="D69" s="29" t="n">
        <v>104.756264334892</v>
      </c>
      <c r="E69" s="62" t="n">
        <v>0.085287538509209</v>
      </c>
      <c r="F69" s="41" t="n">
        <f aca="false">03_Tunings!C6</f>
        <v>0.113131446039143</v>
      </c>
      <c r="G69" s="41" t="n">
        <f aca="false">03_Tunings!C13</f>
        <v>0.0489816586430991</v>
      </c>
    </row>
    <row r="70" customFormat="false" ht="15" hidden="false" customHeight="false" outlineLevel="0" collapsed="false">
      <c r="A70" s="29" t="n">
        <v>3.25</v>
      </c>
      <c r="B70" s="62" t="n">
        <v>0.105766180837753</v>
      </c>
      <c r="C70" s="29" t="n">
        <v>1391.08635335777</v>
      </c>
      <c r="D70" s="29" t="n">
        <v>104.756264334892</v>
      </c>
      <c r="E70" s="62" t="n">
        <v>0.085287538509209</v>
      </c>
      <c r="F70" s="41" t="n">
        <f aca="false">03_Tunings!C6</f>
        <v>0.113131446039143</v>
      </c>
      <c r="G70" s="41" t="n">
        <f aca="false">03_Tunings!C13</f>
        <v>0.0489816586430991</v>
      </c>
    </row>
    <row r="71" customFormat="false" ht="15" hidden="false" customHeight="false" outlineLevel="0" collapsed="false">
      <c r="A71" s="29" t="n">
        <v>3.3</v>
      </c>
      <c r="B71" s="62" t="n">
        <v>0.103492867875052</v>
      </c>
      <c r="C71" s="29" t="n">
        <v>1391.08635335777</v>
      </c>
      <c r="D71" s="29" t="n">
        <v>104.756264334892</v>
      </c>
      <c r="E71" s="62" t="n">
        <v>0.085287538509209</v>
      </c>
      <c r="F71" s="41" t="n">
        <f aca="false">03_Tunings!C6</f>
        <v>0.113131446039143</v>
      </c>
      <c r="G71" s="41" t="n">
        <f aca="false">03_Tunings!C13</f>
        <v>0.0489816586430991</v>
      </c>
    </row>
    <row r="72" customFormat="false" ht="15" hidden="false" customHeight="false" outlineLevel="0" collapsed="false">
      <c r="A72" s="29" t="n">
        <v>3.35</v>
      </c>
      <c r="B72" s="62" t="n">
        <v>0.101219554912352</v>
      </c>
      <c r="C72" s="29" t="n">
        <v>1391.08635335777</v>
      </c>
      <c r="D72" s="29" t="n">
        <v>104.756264334892</v>
      </c>
      <c r="E72" s="62" t="n">
        <v>0.085287538509209</v>
      </c>
      <c r="F72" s="41" t="n">
        <f aca="false">03_Tunings!C6</f>
        <v>0.113131446039143</v>
      </c>
      <c r="G72" s="41" t="n">
        <f aca="false">03_Tunings!C13</f>
        <v>0.0489816586430991</v>
      </c>
    </row>
    <row r="73" customFormat="false" ht="15" hidden="false" customHeight="false" outlineLevel="0" collapsed="false">
      <c r="A73" s="29" t="n">
        <v>3.4</v>
      </c>
      <c r="B73" s="62" t="n">
        <v>0.0989462419496516</v>
      </c>
      <c r="C73" s="29" t="n">
        <v>1391.08635335777</v>
      </c>
      <c r="D73" s="29" t="n">
        <v>104.756264334892</v>
      </c>
      <c r="E73" s="62" t="n">
        <v>0.085287538509209</v>
      </c>
      <c r="F73" s="41" t="n">
        <f aca="false">03_Tunings!C6</f>
        <v>0.113131446039143</v>
      </c>
      <c r="G73" s="41" t="n">
        <f aca="false">03_Tunings!C13</f>
        <v>0.0489816586430991</v>
      </c>
    </row>
    <row r="74" customFormat="false" ht="15" hidden="false" customHeight="false" outlineLevel="0" collapsed="false">
      <c r="A74" s="29" t="n">
        <v>3.45</v>
      </c>
      <c r="B74" s="62" t="n">
        <v>0.0966729289869512</v>
      </c>
      <c r="C74" s="29" t="n">
        <v>1391.08635335777</v>
      </c>
      <c r="D74" s="29" t="n">
        <v>104.756264334892</v>
      </c>
      <c r="E74" s="62" t="n">
        <v>0.085287538509209</v>
      </c>
      <c r="F74" s="41" t="n">
        <f aca="false">03_Tunings!C6</f>
        <v>0.113131446039143</v>
      </c>
      <c r="G74" s="41" t="n">
        <f aca="false">03_Tunings!C13</f>
        <v>0.0489816586430991</v>
      </c>
    </row>
    <row r="75" customFormat="false" ht="15" hidden="false" customHeight="false" outlineLevel="0" collapsed="false">
      <c r="A75" s="29" t="n">
        <v>3.5</v>
      </c>
      <c r="B75" s="62" t="n">
        <v>0.0943996160242508</v>
      </c>
      <c r="C75" s="29" t="n">
        <v>1391.08635335777</v>
      </c>
      <c r="D75" s="29" t="n">
        <v>104.756264334892</v>
      </c>
      <c r="E75" s="62" t="n">
        <v>0.085287538509209</v>
      </c>
      <c r="F75" s="41" t="n">
        <f aca="false">03_Tunings!C6</f>
        <v>0.113131446039143</v>
      </c>
      <c r="G75" s="41" t="n">
        <f aca="false">03_Tunings!C13</f>
        <v>0.0489816586430991</v>
      </c>
    </row>
    <row r="76" customFormat="false" ht="15" hidden="false" customHeight="false" outlineLevel="0" collapsed="false">
      <c r="A76" s="29" t="n">
        <v>3.55</v>
      </c>
      <c r="B76" s="62" t="n">
        <v>0.0921263030615505</v>
      </c>
      <c r="C76" s="29" t="n">
        <v>1391.08635335777</v>
      </c>
      <c r="D76" s="29" t="n">
        <v>104.756264334892</v>
      </c>
      <c r="E76" s="62" t="n">
        <v>0.085287538509209</v>
      </c>
      <c r="F76" s="41" t="n">
        <f aca="false">03_Tunings!C6</f>
        <v>0.113131446039143</v>
      </c>
      <c r="G76" s="41" t="n">
        <f aca="false">03_Tunings!C13</f>
        <v>0.0489816586430991</v>
      </c>
    </row>
    <row r="77" customFormat="false" ht="15" hidden="false" customHeight="false" outlineLevel="0" collapsed="false">
      <c r="A77" s="29" t="n">
        <v>3.6</v>
      </c>
      <c r="B77" s="62" t="n">
        <v>0.0898529900988501</v>
      </c>
      <c r="C77" s="29" t="n">
        <v>1391.08635335777</v>
      </c>
      <c r="D77" s="29" t="n">
        <v>104.756264334892</v>
      </c>
      <c r="E77" s="62" t="n">
        <v>0.085287538509209</v>
      </c>
      <c r="F77" s="41" t="n">
        <f aca="false">03_Tunings!C6</f>
        <v>0.113131446039143</v>
      </c>
      <c r="G77" s="41" t="n">
        <f aca="false">03_Tunings!C13</f>
        <v>0.0489816586430991</v>
      </c>
    </row>
    <row r="78" customFormat="false" ht="15" hidden="false" customHeight="false" outlineLevel="0" collapsed="false">
      <c r="A78" s="29" t="n">
        <v>3.65</v>
      </c>
      <c r="B78" s="62" t="n">
        <v>0.0875796771361497</v>
      </c>
      <c r="C78" s="29" t="n">
        <v>1391.08635335777</v>
      </c>
      <c r="D78" s="29" t="n">
        <v>104.756264334892</v>
      </c>
      <c r="E78" s="62" t="n">
        <v>0.085287538509209</v>
      </c>
      <c r="F78" s="41" t="n">
        <f aca="false">03_Tunings!C6</f>
        <v>0.113131446039143</v>
      </c>
      <c r="G78" s="41" t="n">
        <f aca="false">03_Tunings!C13</f>
        <v>0.0489816586430991</v>
      </c>
    </row>
    <row r="79" customFormat="false" ht="15" hidden="false" customHeight="false" outlineLevel="0" collapsed="false">
      <c r="A79" s="29" t="n">
        <v>3.7</v>
      </c>
      <c r="B79" s="62" t="n">
        <v>0.0853063641734493</v>
      </c>
      <c r="C79" s="29" t="n">
        <v>1391.08635335777</v>
      </c>
      <c r="D79" s="29" t="n">
        <v>104.756264334892</v>
      </c>
      <c r="E79" s="62" t="n">
        <v>0.085287538509209</v>
      </c>
      <c r="F79" s="41" t="n">
        <f aca="false">03_Tunings!C6</f>
        <v>0.113131446039143</v>
      </c>
      <c r="G79" s="41" t="n">
        <f aca="false">03_Tunings!C13</f>
        <v>0.0489816586430991</v>
      </c>
    </row>
    <row r="80" customFormat="false" ht="15" hidden="false" customHeight="false" outlineLevel="0" collapsed="false">
      <c r="A80" s="29" t="n">
        <v>3.75</v>
      </c>
      <c r="B80" s="62" t="n">
        <v>0.083033051210749</v>
      </c>
      <c r="C80" s="29" t="n">
        <v>1391.08635335777</v>
      </c>
      <c r="D80" s="29" t="n">
        <v>104.756264334892</v>
      </c>
      <c r="E80" s="62" t="n">
        <v>0.085287538509209</v>
      </c>
      <c r="F80" s="41" t="n">
        <f aca="false">03_Tunings!C6</f>
        <v>0.113131446039143</v>
      </c>
      <c r="G80" s="41" t="n">
        <f aca="false">03_Tunings!C13</f>
        <v>0.0489816586430991</v>
      </c>
    </row>
    <row r="81" customFormat="false" ht="15" hidden="false" customHeight="false" outlineLevel="0" collapsed="false">
      <c r="A81" s="29" t="n">
        <v>3.8</v>
      </c>
      <c r="B81" s="62" t="n">
        <v>0.0807597382480486</v>
      </c>
      <c r="C81" s="29" t="n">
        <v>1391.08635335777</v>
      </c>
      <c r="D81" s="29" t="n">
        <v>104.756264334892</v>
      </c>
      <c r="E81" s="62" t="n">
        <v>0.085287538509209</v>
      </c>
      <c r="F81" s="41" t="n">
        <f aca="false">03_Tunings!C6</f>
        <v>0.113131446039143</v>
      </c>
      <c r="G81" s="41" t="n">
        <f aca="false">03_Tunings!C13</f>
        <v>0.0489816586430991</v>
      </c>
    </row>
    <row r="82" customFormat="false" ht="15" hidden="false" customHeight="false" outlineLevel="0" collapsed="false">
      <c r="A82" s="29" t="n">
        <v>3.85</v>
      </c>
      <c r="B82" s="62" t="n">
        <v>0.0784864252853482</v>
      </c>
      <c r="C82" s="29" t="n">
        <v>1391.08635335777</v>
      </c>
      <c r="D82" s="29" t="n">
        <v>104.756264334892</v>
      </c>
      <c r="E82" s="62" t="n">
        <v>0.085287538509209</v>
      </c>
      <c r="F82" s="41" t="n">
        <f aca="false">03_Tunings!C6</f>
        <v>0.113131446039143</v>
      </c>
      <c r="G82" s="41" t="n">
        <f aca="false">03_Tunings!C13</f>
        <v>0.0489816586430991</v>
      </c>
    </row>
    <row r="83" customFormat="false" ht="15" hidden="false" customHeight="false" outlineLevel="0" collapsed="false">
      <c r="A83" s="29" t="n">
        <v>3.9</v>
      </c>
      <c r="B83" s="62" t="n">
        <v>0.0762131123226478</v>
      </c>
      <c r="C83" s="29" t="n">
        <v>1391.08635335777</v>
      </c>
      <c r="D83" s="29" t="n">
        <v>104.756264334892</v>
      </c>
      <c r="E83" s="62" t="n">
        <v>0.085287538509209</v>
      </c>
      <c r="F83" s="41" t="n">
        <f aca="false">03_Tunings!C6</f>
        <v>0.113131446039143</v>
      </c>
      <c r="G83" s="41" t="n">
        <f aca="false">03_Tunings!C13</f>
        <v>0.0489816586430991</v>
      </c>
    </row>
    <row r="84" customFormat="false" ht="15" hidden="false" customHeight="false" outlineLevel="0" collapsed="false">
      <c r="A84" s="29" t="n">
        <v>3.95</v>
      </c>
      <c r="B84" s="62" t="n">
        <v>0.0739397993599475</v>
      </c>
      <c r="C84" s="29" t="n">
        <v>1391.08635335777</v>
      </c>
      <c r="D84" s="29" t="n">
        <v>104.756264334892</v>
      </c>
      <c r="E84" s="62" t="n">
        <v>0.085287538509209</v>
      </c>
      <c r="F84" s="41" t="n">
        <f aca="false">03_Tunings!C6</f>
        <v>0.113131446039143</v>
      </c>
      <c r="G84" s="41" t="n">
        <f aca="false">03_Tunings!C13</f>
        <v>0.0489816586430991</v>
      </c>
    </row>
    <row r="85" customFormat="false" ht="15" hidden="false" customHeight="false" outlineLevel="0" collapsed="false">
      <c r="A85" s="29" t="n">
        <v>4</v>
      </c>
      <c r="B85" s="62" t="n">
        <v>0.0716664863972471</v>
      </c>
      <c r="C85" s="29" t="n">
        <v>1391.08635335777</v>
      </c>
      <c r="D85" s="29" t="n">
        <v>104.756264334892</v>
      </c>
      <c r="E85" s="62" t="n">
        <v>0.085287538509209</v>
      </c>
      <c r="F85" s="41" t="n">
        <f aca="false">03_Tunings!C6</f>
        <v>0.113131446039143</v>
      </c>
      <c r="G85" s="41" t="n">
        <f aca="false">03_Tunings!C13</f>
        <v>0.0489816586430991</v>
      </c>
    </row>
    <row r="86" customFormat="false" ht="15" hidden="false" customHeight="false" outlineLevel="0" collapsed="false">
      <c r="A86" s="29" t="n">
        <v>4.05</v>
      </c>
      <c r="B86" s="62" t="n">
        <v>0.0693931734345468</v>
      </c>
      <c r="C86" s="29" t="n">
        <v>1391.08635335777</v>
      </c>
      <c r="D86" s="29" t="n">
        <v>104.756264334892</v>
      </c>
      <c r="E86" s="62" t="n">
        <v>0.085287538509209</v>
      </c>
      <c r="F86" s="41" t="n">
        <f aca="false">03_Tunings!C6</f>
        <v>0.113131446039143</v>
      </c>
      <c r="G86" s="41" t="n">
        <f aca="false">03_Tunings!C13</f>
        <v>0.0489816586430991</v>
      </c>
    </row>
    <row r="87" customFormat="false" ht="15" hidden="false" customHeight="false" outlineLevel="0" collapsed="false">
      <c r="A87" s="29" t="n">
        <v>4.1</v>
      </c>
      <c r="B87" s="62" t="n">
        <v>0.0671198604718463</v>
      </c>
      <c r="C87" s="29" t="n">
        <v>1391.08635335777</v>
      </c>
      <c r="D87" s="29" t="n">
        <v>104.756264334892</v>
      </c>
      <c r="E87" s="62" t="n">
        <v>0.085287538509209</v>
      </c>
      <c r="F87" s="41" t="n">
        <f aca="false">03_Tunings!C6</f>
        <v>0.113131446039143</v>
      </c>
      <c r="G87" s="41" t="n">
        <f aca="false">03_Tunings!C13</f>
        <v>0.0489816586430991</v>
      </c>
    </row>
    <row r="88" customFormat="false" ht="15" hidden="false" customHeight="false" outlineLevel="0" collapsed="false">
      <c r="A88" s="29" t="n">
        <v>4.15</v>
      </c>
      <c r="B88" s="62" t="n">
        <v>0.064846547509146</v>
      </c>
      <c r="C88" s="29" t="n">
        <v>1391.08635335777</v>
      </c>
      <c r="D88" s="29" t="n">
        <v>104.756264334892</v>
      </c>
      <c r="E88" s="62" t="n">
        <v>0.085287538509209</v>
      </c>
      <c r="F88" s="41" t="n">
        <f aca="false">03_Tunings!C6</f>
        <v>0.113131446039143</v>
      </c>
      <c r="G88" s="41" t="n">
        <f aca="false">03_Tunings!C13</f>
        <v>0.0489816586430991</v>
      </c>
    </row>
    <row r="89" customFormat="false" ht="15" hidden="false" customHeight="false" outlineLevel="0" collapsed="false">
      <c r="A89" s="29" t="n">
        <v>4.2</v>
      </c>
      <c r="B89" s="62" t="n">
        <v>0.0625732345464456</v>
      </c>
      <c r="C89" s="29" t="n">
        <v>1391.08635335777</v>
      </c>
      <c r="D89" s="29" t="n">
        <v>104.756264334892</v>
      </c>
      <c r="E89" s="62" t="n">
        <v>0.085287538509209</v>
      </c>
      <c r="F89" s="41" t="n">
        <f aca="false">03_Tunings!C6</f>
        <v>0.113131446039143</v>
      </c>
      <c r="G89" s="41" t="n">
        <f aca="false">03_Tunings!C13</f>
        <v>0.0489816586430991</v>
      </c>
    </row>
    <row r="90" customFormat="false" ht="15" hidden="false" customHeight="false" outlineLevel="0" collapsed="false">
      <c r="A90" s="29" t="n">
        <v>4.25</v>
      </c>
      <c r="B90" s="62" t="n">
        <v>0.0602999215837452</v>
      </c>
      <c r="C90" s="29" t="n">
        <v>1391.08635335777</v>
      </c>
      <c r="D90" s="29" t="n">
        <v>104.756264334892</v>
      </c>
      <c r="E90" s="62" t="n">
        <v>0.085287538509209</v>
      </c>
      <c r="F90" s="41" t="n">
        <f aca="false">03_Tunings!C6</f>
        <v>0.113131446039143</v>
      </c>
      <c r="G90" s="41" t="n">
        <f aca="false">03_Tunings!C13</f>
        <v>0.0489816586430991</v>
      </c>
    </row>
    <row r="91" customFormat="false" ht="15" hidden="false" customHeight="false" outlineLevel="0" collapsed="false">
      <c r="A91" s="29" t="n">
        <v>4.3</v>
      </c>
      <c r="B91" s="62" t="n">
        <v>0.0580266086210449</v>
      </c>
      <c r="C91" s="29" t="n">
        <v>1391.08635335777</v>
      </c>
      <c r="D91" s="29" t="n">
        <v>104.756264334892</v>
      </c>
      <c r="E91" s="62" t="n">
        <v>0.085287538509209</v>
      </c>
      <c r="F91" s="41" t="n">
        <f aca="false">03_Tunings!C6</f>
        <v>0.113131446039143</v>
      </c>
      <c r="G91" s="41" t="n">
        <f aca="false">03_Tunings!C13</f>
        <v>0.0489816586430991</v>
      </c>
    </row>
    <row r="92" customFormat="false" ht="15" hidden="false" customHeight="false" outlineLevel="0" collapsed="false">
      <c r="A92" s="29" t="n">
        <v>4.35</v>
      </c>
      <c r="B92" s="62" t="n">
        <v>0.0557532956583445</v>
      </c>
      <c r="C92" s="29" t="n">
        <v>1391.08635335777</v>
      </c>
      <c r="D92" s="29" t="n">
        <v>104.756264334892</v>
      </c>
      <c r="E92" s="62" t="n">
        <v>0.085287538509209</v>
      </c>
      <c r="F92" s="41" t="n">
        <f aca="false">03_Tunings!C6</f>
        <v>0.113131446039143</v>
      </c>
      <c r="G92" s="41" t="n">
        <f aca="false">03_Tunings!C13</f>
        <v>0.0489816586430991</v>
      </c>
    </row>
    <row r="93" customFormat="false" ht="15" hidden="false" customHeight="false" outlineLevel="0" collapsed="false">
      <c r="A93" s="29" t="n">
        <v>4.4</v>
      </c>
      <c r="B93" s="62" t="n">
        <v>0.0534799826956441</v>
      </c>
      <c r="C93" s="29" t="n">
        <v>1391.08635335777</v>
      </c>
      <c r="D93" s="29" t="n">
        <v>104.756264334892</v>
      </c>
      <c r="E93" s="62" t="n">
        <v>0.085287538509209</v>
      </c>
      <c r="F93" s="41" t="n">
        <f aca="false">03_Tunings!C6</f>
        <v>0.113131446039143</v>
      </c>
      <c r="G93" s="41" t="n">
        <f aca="false">03_Tunings!C13</f>
        <v>0.0489816586430991</v>
      </c>
    </row>
    <row r="94" customFormat="false" ht="15" hidden="false" customHeight="false" outlineLevel="0" collapsed="false">
      <c r="A94" s="29" t="n">
        <v>4.45</v>
      </c>
      <c r="B94" s="62" t="n">
        <v>0.0512066697329437</v>
      </c>
      <c r="C94" s="29" t="n">
        <v>1391.08635335777</v>
      </c>
      <c r="D94" s="29" t="n">
        <v>104.756264334892</v>
      </c>
      <c r="E94" s="62" t="n">
        <v>0.085287538509209</v>
      </c>
      <c r="F94" s="41" t="n">
        <f aca="false">03_Tunings!C6</f>
        <v>0.113131446039143</v>
      </c>
      <c r="G94" s="41" t="n">
        <f aca="false">03_Tunings!C13</f>
        <v>0.0489816586430991</v>
      </c>
    </row>
    <row r="95" customFormat="false" ht="15" hidden="false" customHeight="false" outlineLevel="0" collapsed="false">
      <c r="A95" s="29" t="n">
        <v>4.5</v>
      </c>
      <c r="B95" s="62" t="n">
        <v>0.0489333567702434</v>
      </c>
      <c r="C95" s="29" t="n">
        <v>1391.08635335777</v>
      </c>
      <c r="D95" s="29" t="n">
        <v>104.756264334892</v>
      </c>
      <c r="E95" s="62" t="n">
        <v>0.085287538509209</v>
      </c>
      <c r="F95" s="41" t="n">
        <f aca="false">03_Tunings!C6</f>
        <v>0.113131446039143</v>
      </c>
      <c r="G95" s="41" t="n">
        <f aca="false">03_Tunings!C13</f>
        <v>0.0489816586430991</v>
      </c>
    </row>
    <row r="96" customFormat="false" ht="15" hidden="false" customHeight="false" outlineLevel="0" collapsed="false">
      <c r="A96" s="29" t="n">
        <v>4.55</v>
      </c>
      <c r="B96" s="62" t="n">
        <v>0.046660043807543</v>
      </c>
      <c r="C96" s="29" t="n">
        <v>1391.08635335777</v>
      </c>
      <c r="D96" s="29" t="n">
        <v>104.756264334892</v>
      </c>
      <c r="E96" s="62" t="n">
        <v>0.085287538509209</v>
      </c>
      <c r="F96" s="41" t="n">
        <f aca="false">03_Tunings!C6</f>
        <v>0.113131446039143</v>
      </c>
      <c r="G96" s="41" t="n">
        <f aca="false">03_Tunings!C13</f>
        <v>0.0489816586430991</v>
      </c>
    </row>
    <row r="97" customFormat="false" ht="15" hidden="false" customHeight="false" outlineLevel="0" collapsed="false">
      <c r="A97" s="29" t="n">
        <v>4.6</v>
      </c>
      <c r="B97" s="62" t="n">
        <v>0.0443867308448426</v>
      </c>
      <c r="C97" s="29" t="n">
        <v>1391.08635335777</v>
      </c>
      <c r="D97" s="29" t="n">
        <v>104.756264334892</v>
      </c>
      <c r="E97" s="62" t="n">
        <v>0.085287538509209</v>
      </c>
      <c r="F97" s="41" t="n">
        <f aca="false">03_Tunings!C6</f>
        <v>0.113131446039143</v>
      </c>
      <c r="G97" s="41" t="n">
        <f aca="false">03_Tunings!C13</f>
        <v>0.0489816586430991</v>
      </c>
    </row>
    <row r="98" customFormat="false" ht="15" hidden="false" customHeight="false" outlineLevel="0" collapsed="false">
      <c r="A98" s="29" t="n">
        <v>4.65</v>
      </c>
      <c r="B98" s="62" t="n">
        <v>0.0421134178821422</v>
      </c>
      <c r="C98" s="29" t="n">
        <v>1391.08635335777</v>
      </c>
      <c r="D98" s="29" t="n">
        <v>104.756264334892</v>
      </c>
      <c r="E98" s="62" t="n">
        <v>0.085287538509209</v>
      </c>
      <c r="F98" s="41" t="n">
        <f aca="false">03_Tunings!C6</f>
        <v>0.113131446039143</v>
      </c>
      <c r="G98" s="41" t="n">
        <f aca="false">03_Tunings!C13</f>
        <v>0.0489816586430991</v>
      </c>
    </row>
    <row r="99" customFormat="false" ht="15" hidden="false" customHeight="false" outlineLevel="0" collapsed="false">
      <c r="A99" s="29" t="n">
        <v>4.7</v>
      </c>
      <c r="B99" s="62" t="n">
        <v>0.0398401049194419</v>
      </c>
      <c r="C99" s="29" t="n">
        <v>1391.08635335777</v>
      </c>
      <c r="D99" s="29" t="n">
        <v>104.756264334892</v>
      </c>
      <c r="E99" s="62" t="n">
        <v>0.085287538509209</v>
      </c>
      <c r="F99" s="41" t="n">
        <f aca="false">03_Tunings!C6</f>
        <v>0.113131446039143</v>
      </c>
      <c r="G99" s="41" t="n">
        <f aca="false">03_Tunings!C13</f>
        <v>0.0489816586430991</v>
      </c>
    </row>
    <row r="100" customFormat="false" ht="15" hidden="false" customHeight="false" outlineLevel="0" collapsed="false">
      <c r="A100" s="29" t="n">
        <v>4.75</v>
      </c>
      <c r="B100" s="62" t="n">
        <v>0.0375667919567415</v>
      </c>
      <c r="C100" s="29" t="n">
        <v>1391.08635335777</v>
      </c>
      <c r="D100" s="29" t="n">
        <v>104.756264334892</v>
      </c>
      <c r="E100" s="62" t="n">
        <v>0.085287538509209</v>
      </c>
      <c r="F100" s="41" t="n">
        <f aca="false">03_Tunings!C6</f>
        <v>0.113131446039143</v>
      </c>
      <c r="G100" s="41" t="n">
        <f aca="false">03_Tunings!C13</f>
        <v>0.0489816586430991</v>
      </c>
    </row>
    <row r="101" customFormat="false" ht="15" hidden="false" customHeight="false" outlineLevel="0" collapsed="false">
      <c r="A101" s="29" t="n">
        <v>4.8</v>
      </c>
      <c r="B101" s="62" t="n">
        <v>0.0352934789940411</v>
      </c>
      <c r="C101" s="29" t="n">
        <v>1391.08635335777</v>
      </c>
      <c r="D101" s="29" t="n">
        <v>104.756264334892</v>
      </c>
      <c r="E101" s="62" t="n">
        <v>0.085287538509209</v>
      </c>
      <c r="F101" s="41" t="n">
        <f aca="false">03_Tunings!C6</f>
        <v>0.113131446039143</v>
      </c>
      <c r="G101" s="41" t="n">
        <f aca="false">03_Tunings!C13</f>
        <v>0.0489816586430991</v>
      </c>
    </row>
    <row r="102" customFormat="false" ht="15" hidden="false" customHeight="false" outlineLevel="0" collapsed="false">
      <c r="A102" s="29" t="n">
        <v>4.85</v>
      </c>
      <c r="B102" s="62" t="n">
        <v>0.0330201660313408</v>
      </c>
      <c r="C102" s="29" t="n">
        <v>1391.08635335777</v>
      </c>
      <c r="D102" s="29" t="n">
        <v>104.756264334892</v>
      </c>
      <c r="E102" s="62" t="n">
        <v>0.085287538509209</v>
      </c>
      <c r="F102" s="41" t="n">
        <f aca="false">03_Tunings!C6</f>
        <v>0.113131446039143</v>
      </c>
      <c r="G102" s="41" t="n">
        <f aca="false">03_Tunings!C13</f>
        <v>0.0489816586430991</v>
      </c>
    </row>
    <row r="103" customFormat="false" ht="15" hidden="false" customHeight="false" outlineLevel="0" collapsed="false">
      <c r="A103" s="29" t="n">
        <v>4.9</v>
      </c>
      <c r="B103" s="62" t="n">
        <v>0.0307468530686404</v>
      </c>
      <c r="C103" s="29" t="n">
        <v>1391.08635335777</v>
      </c>
      <c r="D103" s="29" t="n">
        <v>104.756264334892</v>
      </c>
      <c r="E103" s="62" t="n">
        <v>0.085287538509209</v>
      </c>
      <c r="F103" s="41" t="n">
        <f aca="false">03_Tunings!C6</f>
        <v>0.113131446039143</v>
      </c>
      <c r="G103" s="41" t="n">
        <f aca="false">03_Tunings!C13</f>
        <v>0.0489816586430991</v>
      </c>
    </row>
    <row r="104" customFormat="false" ht="15" hidden="false" customHeight="false" outlineLevel="0" collapsed="false">
      <c r="A104" s="29" t="n">
        <v>4.95</v>
      </c>
      <c r="B104" s="62" t="n">
        <v>0.02847354010594</v>
      </c>
      <c r="C104" s="29" t="n">
        <v>1391.08635335777</v>
      </c>
      <c r="D104" s="29" t="n">
        <v>104.756264334892</v>
      </c>
      <c r="E104" s="62" t="n">
        <v>0.085287538509209</v>
      </c>
      <c r="F104" s="41" t="n">
        <f aca="false">03_Tunings!C6</f>
        <v>0.113131446039143</v>
      </c>
      <c r="G104" s="41" t="n">
        <f aca="false">03_Tunings!C13</f>
        <v>0.0489816586430991</v>
      </c>
    </row>
    <row r="105" customFormat="false" ht="15" hidden="false" customHeight="false" outlineLevel="0" collapsed="false">
      <c r="A105" s="29" t="n">
        <v>5</v>
      </c>
      <c r="B105" s="62" t="n">
        <v>0.0262002271432396</v>
      </c>
      <c r="C105" s="29" t="n">
        <v>1391.08635335777</v>
      </c>
      <c r="D105" s="29" t="n">
        <v>104.756264334892</v>
      </c>
      <c r="E105" s="62" t="n">
        <v>0.0818572936949017</v>
      </c>
      <c r="F105" s="41" t="n">
        <f aca="false">03_Tunings!C6</f>
        <v>0.113131446039143</v>
      </c>
      <c r="G105" s="41" t="n">
        <f aca="false">03_Tunings!C13</f>
        <v>0.0489816586430991</v>
      </c>
    </row>
    <row r="106" customFormat="false" ht="15" hidden="false" customHeight="false" outlineLevel="0" collapsed="false">
      <c r="A106" s="29" t="n">
        <v>5.05</v>
      </c>
      <c r="B106" s="62" t="n">
        <v>0.0239269141805392</v>
      </c>
      <c r="C106" s="29" t="n">
        <v>1391.08635335777</v>
      </c>
      <c r="D106" s="29" t="n">
        <v>104.756264334892</v>
      </c>
      <c r="E106" s="62" t="n">
        <v>0.077673272487063</v>
      </c>
      <c r="F106" s="41" t="n">
        <f aca="false">03_Tunings!C6</f>
        <v>0.113131446039143</v>
      </c>
      <c r="G106" s="41" t="n">
        <f aca="false">03_Tunings!C13</f>
        <v>0.0489816586430991</v>
      </c>
    </row>
    <row r="107" customFormat="false" ht="15" hidden="false" customHeight="false" outlineLevel="0" collapsed="false">
      <c r="A107" s="29" t="n">
        <v>5.1</v>
      </c>
      <c r="B107" s="62" t="n">
        <v>0.0216536012178389</v>
      </c>
      <c r="C107" s="29" t="n">
        <v>1391.08635335777</v>
      </c>
      <c r="D107" s="29" t="n">
        <v>104.756264334892</v>
      </c>
      <c r="E107" s="62" t="n">
        <v>0.0734892512792243</v>
      </c>
      <c r="F107" s="41" t="n">
        <f aca="false">03_Tunings!C6</f>
        <v>0.113131446039143</v>
      </c>
      <c r="G107" s="41" t="n">
        <f aca="false">03_Tunings!C13</f>
        <v>0.0489816586430991</v>
      </c>
    </row>
    <row r="108" customFormat="false" ht="15" hidden="false" customHeight="false" outlineLevel="0" collapsed="false">
      <c r="A108" s="29" t="n">
        <v>5.15</v>
      </c>
      <c r="B108" s="62" t="n">
        <v>0.0193802882551385</v>
      </c>
      <c r="C108" s="29" t="n">
        <v>1391.08635335777</v>
      </c>
      <c r="D108" s="29" t="n">
        <v>104.756264334892</v>
      </c>
      <c r="E108" s="62" t="n">
        <v>0.0674531355601822</v>
      </c>
      <c r="F108" s="41" t="n">
        <f aca="false">03_Tunings!C6</f>
        <v>0.113131446039143</v>
      </c>
      <c r="G108" s="41" t="n">
        <f aca="false">03_Tunings!C13</f>
        <v>0.0489816586430991</v>
      </c>
    </row>
    <row r="109" customFormat="false" ht="15" hidden="false" customHeight="false" outlineLevel="0" collapsed="false">
      <c r="A109" s="29" t="n">
        <v>5.2</v>
      </c>
      <c r="B109" s="62" t="n">
        <v>0.0171069752924382</v>
      </c>
      <c r="C109" s="29" t="n">
        <v>1391.08635335777</v>
      </c>
      <c r="D109" s="29" t="n">
        <v>104.756264334892</v>
      </c>
      <c r="E109" s="62" t="n">
        <v>0.0597881105082602</v>
      </c>
      <c r="F109" s="41" t="n">
        <f aca="false">03_Tunings!C6</f>
        <v>0.113131446039143</v>
      </c>
      <c r="G109" s="41" t="n">
        <f aca="false">03_Tunings!C13</f>
        <v>0.0489816586430991</v>
      </c>
    </row>
    <row r="110" customFormat="false" ht="15" hidden="false" customHeight="false" outlineLevel="0" collapsed="false">
      <c r="A110" s="29" t="n">
        <v>5.25</v>
      </c>
      <c r="B110" s="62" t="n">
        <v>0.0148336623297378</v>
      </c>
      <c r="C110" s="29" t="n">
        <v>1391.08635335777</v>
      </c>
      <c r="D110" s="29" t="n">
        <v>104.756264334892</v>
      </c>
      <c r="E110" s="62" t="n">
        <v>0.0521230854563382</v>
      </c>
      <c r="F110" s="41" t="n">
        <f aca="false">03_Tunings!C6</f>
        <v>0.113131446039143</v>
      </c>
      <c r="G110" s="41" t="n">
        <f aca="false">03_Tunings!C13</f>
        <v>0.0489816586430991</v>
      </c>
    </row>
    <row r="111" customFormat="false" ht="15" hidden="false" customHeight="false" outlineLevel="0" collapsed="false">
      <c r="A111" s="29" t="n">
        <v>5.3</v>
      </c>
      <c r="B111" s="62" t="n">
        <v>0.0125603493670374</v>
      </c>
      <c r="C111" s="29" t="n">
        <v>1391.08635335777</v>
      </c>
      <c r="D111" s="29" t="n">
        <v>104.756264334892</v>
      </c>
      <c r="E111" s="62" t="n">
        <v>0.0454336367199475</v>
      </c>
      <c r="F111" s="41" t="n">
        <f aca="false">03_Tunings!C6</f>
        <v>0.113131446039143</v>
      </c>
      <c r="G111" s="41" t="n">
        <f aca="false">03_Tunings!C13</f>
        <v>0.0489816586430991</v>
      </c>
    </row>
    <row r="112" customFormat="false" ht="15" hidden="false" customHeight="false" outlineLevel="0" collapsed="false">
      <c r="A112" s="29" t="n">
        <v>5.35</v>
      </c>
      <c r="B112" s="62" t="n">
        <v>0.010287036404337</v>
      </c>
      <c r="C112" s="29" t="n">
        <v>1391.08635335777</v>
      </c>
      <c r="D112" s="29" t="n">
        <v>104.756264334892</v>
      </c>
      <c r="E112" s="62" t="n">
        <v>0.0417624371037922</v>
      </c>
      <c r="F112" s="41" t="n">
        <f aca="false">03_Tunings!C6</f>
        <v>0.113131446039143</v>
      </c>
      <c r="G112" s="41" t="n">
        <f aca="false">03_Tunings!C13</f>
        <v>0.0489816586430991</v>
      </c>
    </row>
    <row r="113" customFormat="false" ht="15" hidden="false" customHeight="false" outlineLevel="0" collapsed="false">
      <c r="A113" s="29" t="n">
        <v>5.4</v>
      </c>
      <c r="B113" s="62" t="n">
        <v>0.00801372344163664</v>
      </c>
      <c r="C113" s="29" t="n">
        <v>1391.08635335777</v>
      </c>
      <c r="D113" s="29" t="n">
        <v>104.756264334892</v>
      </c>
      <c r="E113" s="62" t="n">
        <v>0.0380912374876369</v>
      </c>
      <c r="F113" s="41" t="n">
        <f aca="false">03_Tunings!C6</f>
        <v>0.113131446039143</v>
      </c>
      <c r="G113" s="41" t="n">
        <f aca="false">03_Tunings!C13</f>
        <v>0.0489816586430991</v>
      </c>
    </row>
    <row r="114" customFormat="false" ht="15" hidden="false" customHeight="false" outlineLevel="0" collapsed="false">
      <c r="A114" s="29" t="n">
        <v>5.45</v>
      </c>
      <c r="B114" s="62" t="n">
        <v>0.00574041047893628</v>
      </c>
      <c r="C114" s="29" t="n">
        <v>1391.08635335777</v>
      </c>
      <c r="D114" s="29" t="n">
        <v>104.756264334892</v>
      </c>
      <c r="E114" s="62" t="n">
        <v>0.0344200378714817</v>
      </c>
      <c r="F114" s="41" t="n">
        <f aca="false">03_Tunings!C6</f>
        <v>0.113131446039143</v>
      </c>
      <c r="G114" s="41" t="n">
        <f aca="false">03_Tunings!C13</f>
        <v>0.0489816586430991</v>
      </c>
    </row>
    <row r="115" customFormat="false" ht="15" hidden="false" customHeight="false" outlineLevel="0" collapsed="false">
      <c r="A115" s="29" t="n">
        <v>5.5</v>
      </c>
      <c r="B115" s="62" t="n">
        <v>0.00346709751623592</v>
      </c>
      <c r="C115" s="29" t="n">
        <v>1391.08635335777</v>
      </c>
      <c r="D115" s="29" t="n">
        <v>104.756264334892</v>
      </c>
      <c r="E115" s="62" t="n">
        <v>0.0323599381487951</v>
      </c>
      <c r="F115" s="41" t="n">
        <f aca="false">03_Tunings!C6</f>
        <v>0.113131446039143</v>
      </c>
      <c r="G115" s="41" t="n">
        <f aca="false">03_Tunings!C13</f>
        <v>0.0489816586430991</v>
      </c>
    </row>
    <row r="116" customFormat="false" ht="15" hidden="false" customHeight="false" outlineLevel="0" collapsed="false">
      <c r="A116" s="29" t="n">
        <v>5.55</v>
      </c>
      <c r="B116" s="62" t="n">
        <v>0.00341162395597613</v>
      </c>
      <c r="C116" s="29" t="n">
        <v>1373.3957497975</v>
      </c>
      <c r="D116" s="29" t="n">
        <v>102.881168244327</v>
      </c>
      <c r="E116" s="62" t="n">
        <v>0.030373135458428</v>
      </c>
      <c r="F116" s="41" t="n">
        <f aca="false">03_Tunings!C6</f>
        <v>0.113131446039143</v>
      </c>
      <c r="G116" s="41" t="n">
        <f aca="false">03_Tunings!C13</f>
        <v>0.0489816586430991</v>
      </c>
    </row>
    <row r="117" customFormat="false" ht="15" hidden="false" customHeight="false" outlineLevel="0" collapsed="false">
      <c r="A117" s="29" t="n">
        <v>5.6</v>
      </c>
      <c r="B117" s="62" t="n">
        <v>0.00335615039571636</v>
      </c>
      <c r="C117" s="29" t="n">
        <v>1355.70514623724</v>
      </c>
      <c r="D117" s="29" t="n">
        <v>101.006072153761</v>
      </c>
      <c r="E117" s="62" t="n">
        <v>0.0283863327680608</v>
      </c>
      <c r="F117" s="41" t="n">
        <f aca="false">03_Tunings!C6</f>
        <v>0.113131446039143</v>
      </c>
      <c r="G117" s="41" t="n">
        <f aca="false">03_Tunings!C13</f>
        <v>0.0489816586430991</v>
      </c>
    </row>
    <row r="118" customFormat="false" ht="15" hidden="false" customHeight="false" outlineLevel="0" collapsed="false">
      <c r="A118" s="29" t="n">
        <v>5.65</v>
      </c>
      <c r="B118" s="62" t="n">
        <v>0.00330067683545658</v>
      </c>
      <c r="C118" s="29" t="n">
        <v>1338.01454267697</v>
      </c>
      <c r="D118" s="29" t="n">
        <v>99.1309760631957</v>
      </c>
      <c r="E118" s="62" t="n">
        <v>0.0277446759898539</v>
      </c>
      <c r="F118" s="41" t="n">
        <f aca="false">03_Tunings!C6</f>
        <v>0.113131446039143</v>
      </c>
      <c r="G118" s="41" t="n">
        <f aca="false">03_Tunings!C13</f>
        <v>0.0489816586430991</v>
      </c>
    </row>
    <row r="119" customFormat="false" ht="15" hidden="false" customHeight="false" outlineLevel="0" collapsed="false">
      <c r="A119" s="29" t="n">
        <v>5.7</v>
      </c>
      <c r="B119" s="62" t="n">
        <v>0.00324520327519681</v>
      </c>
      <c r="C119" s="29" t="n">
        <v>1320.32393911671</v>
      </c>
      <c r="D119" s="29" t="n">
        <v>97.2558799726302</v>
      </c>
      <c r="E119" s="62" t="n">
        <v>0.0277694620711599</v>
      </c>
      <c r="F119" s="41" t="n">
        <f aca="false">03_Tunings!C6</f>
        <v>0.113131446039143</v>
      </c>
      <c r="G119" s="41" t="n">
        <f aca="false">03_Tunings!C13</f>
        <v>0.0489816586430991</v>
      </c>
    </row>
    <row r="120" customFormat="false" ht="15" hidden="false" customHeight="false" outlineLevel="0" collapsed="false">
      <c r="A120" s="29" t="n">
        <v>5.75</v>
      </c>
      <c r="B120" s="62" t="n">
        <v>0.00318972971493703</v>
      </c>
      <c r="C120" s="29" t="n">
        <v>1302.63333555644</v>
      </c>
      <c r="D120" s="29" t="n">
        <v>95.3807838820647</v>
      </c>
      <c r="E120" s="62" t="n">
        <v>0.0277942481524658</v>
      </c>
      <c r="F120" s="41" t="n">
        <f aca="false">03_Tunings!C6</f>
        <v>0.113131446039143</v>
      </c>
      <c r="G120" s="41" t="n">
        <f aca="false">03_Tunings!C13</f>
        <v>0.0489816586430991</v>
      </c>
    </row>
    <row r="121" customFormat="false" ht="15" hidden="false" customHeight="false" outlineLevel="0" collapsed="false">
      <c r="A121" s="29" t="n">
        <v>5.8</v>
      </c>
      <c r="B121" s="62" t="n">
        <v>0.00313425615467726</v>
      </c>
      <c r="C121" s="29" t="n">
        <v>1284.94273199618</v>
      </c>
      <c r="D121" s="29" t="n">
        <v>93.5056877914992</v>
      </c>
      <c r="E121" s="62" t="n">
        <v>0.0278190898923224</v>
      </c>
      <c r="F121" s="41" t="n">
        <f aca="false">03_Tunings!C6</f>
        <v>0.113131446039143</v>
      </c>
      <c r="G121" s="41" t="n">
        <f aca="false">03_Tunings!C13</f>
        <v>0.0489816586430991</v>
      </c>
    </row>
    <row r="122" customFormat="false" ht="15" hidden="false" customHeight="false" outlineLevel="0" collapsed="false">
      <c r="A122" s="29" t="n">
        <v>5.85</v>
      </c>
      <c r="B122" s="62" t="n">
        <v>0.00307878259441748</v>
      </c>
      <c r="C122" s="29" t="n">
        <v>1267.25212843591</v>
      </c>
      <c r="D122" s="29" t="n">
        <v>91.6305917009337</v>
      </c>
      <c r="E122" s="62" t="n">
        <v>0.0278440220928823</v>
      </c>
      <c r="F122" s="41" t="n">
        <f aca="false">03_Tunings!C6</f>
        <v>0.113131446039143</v>
      </c>
      <c r="G122" s="41" t="n">
        <f aca="false">03_Tunings!C13</f>
        <v>0.0489816586430991</v>
      </c>
    </row>
    <row r="123" customFormat="false" ht="15" hidden="false" customHeight="false" outlineLevel="0" collapsed="false">
      <c r="A123" s="29" t="n">
        <v>5.9</v>
      </c>
      <c r="B123" s="62" t="n">
        <v>0.00302330903415771</v>
      </c>
      <c r="C123" s="29" t="n">
        <v>1249.56152487565</v>
      </c>
      <c r="D123" s="29" t="n">
        <v>89.7554956103682</v>
      </c>
      <c r="E123" s="62" t="n">
        <v>0.0278689542934421</v>
      </c>
      <c r="F123" s="41" t="n">
        <f aca="false">03_Tunings!C6</f>
        <v>0.113131446039143</v>
      </c>
      <c r="G123" s="41" t="n">
        <f aca="false">03_Tunings!C13</f>
        <v>0.0489816586430991</v>
      </c>
    </row>
    <row r="124" customFormat="false" ht="15" hidden="false" customHeight="false" outlineLevel="0" collapsed="false">
      <c r="A124" s="29" t="n">
        <v>5.95</v>
      </c>
      <c r="B124" s="62" t="n">
        <v>0.00296783547389793</v>
      </c>
      <c r="C124" s="29" t="n">
        <v>1231.87092131538</v>
      </c>
      <c r="D124" s="29" t="n">
        <v>87.8803995198028</v>
      </c>
      <c r="E124" s="62" t="n">
        <v>0.0278939002220959</v>
      </c>
      <c r="F124" s="41" t="n">
        <f aca="false">03_Tunings!C6</f>
        <v>0.113131446039143</v>
      </c>
      <c r="G124" s="41" t="n">
        <f aca="false">03_Tunings!C13</f>
        <v>0.0489816586430991</v>
      </c>
    </row>
    <row r="125" customFormat="false" ht="15" hidden="false" customHeight="false" outlineLevel="0" collapsed="false">
      <c r="A125" s="29" t="n">
        <v>6</v>
      </c>
      <c r="B125" s="62" t="n">
        <v>0.00291236191363816</v>
      </c>
      <c r="C125" s="29" t="n">
        <v>1214.18031775512</v>
      </c>
      <c r="D125" s="29" t="n">
        <v>86.0053034292373</v>
      </c>
      <c r="E125" s="62" t="n">
        <v>0.027918979837836</v>
      </c>
      <c r="F125" s="41" t="n">
        <f aca="false">03_Tunings!C6</f>
        <v>0.113131446039143</v>
      </c>
      <c r="G125" s="41" t="n">
        <f aca="false">03_Tunings!C13</f>
        <v>0.0489816586430991</v>
      </c>
    </row>
    <row r="126" customFormat="false" ht="15" hidden="false" customHeight="false" outlineLevel="0" collapsed="false">
      <c r="A126" s="29" t="n">
        <v>6.05</v>
      </c>
      <c r="B126" s="62" t="n">
        <v>0.00285688835337839</v>
      </c>
      <c r="C126" s="29" t="n">
        <v>1196.48971419485</v>
      </c>
      <c r="D126" s="29" t="n">
        <v>84.1302073386717</v>
      </c>
      <c r="E126" s="62" t="n">
        <v>0.0279440594535761</v>
      </c>
      <c r="F126" s="41" t="n">
        <f aca="false">03_Tunings!C6</f>
        <v>0.113131446039143</v>
      </c>
      <c r="G126" s="41" t="n">
        <f aca="false">03_Tunings!C13</f>
        <v>0.0489816586430991</v>
      </c>
    </row>
    <row r="127" customFormat="false" ht="15" hidden="false" customHeight="false" outlineLevel="0" collapsed="false">
      <c r="A127" s="29" t="n">
        <v>6.1</v>
      </c>
      <c r="B127" s="62" t="n">
        <v>0.00280141479311861</v>
      </c>
      <c r="C127" s="29" t="n">
        <v>1178.79911063458</v>
      </c>
      <c r="D127" s="29" t="n">
        <v>82.2551112481063</v>
      </c>
      <c r="E127" s="62" t="n">
        <v>0.0279691390693162</v>
      </c>
      <c r="F127" s="41" t="n">
        <f aca="false">03_Tunings!C6</f>
        <v>0.113131446039143</v>
      </c>
      <c r="G127" s="41" t="n">
        <f aca="false">03_Tunings!C13</f>
        <v>0.0489816586430991</v>
      </c>
    </row>
    <row r="128" customFormat="false" ht="15" hidden="false" customHeight="false" outlineLevel="0" collapsed="false">
      <c r="A128" s="29" t="n">
        <v>6.15</v>
      </c>
      <c r="B128" s="62" t="n">
        <v>0.00274594123285884</v>
      </c>
      <c r="C128" s="29" t="n">
        <v>1161.10850707432</v>
      </c>
      <c r="D128" s="29" t="n">
        <v>80.3800151575408</v>
      </c>
      <c r="E128" s="62" t="n">
        <v>0.0279943384602782</v>
      </c>
      <c r="F128" s="41" t="n">
        <f aca="false">03_Tunings!C6</f>
        <v>0.113131446039143</v>
      </c>
      <c r="G128" s="41" t="n">
        <f aca="false">03_Tunings!C13</f>
        <v>0.0489816586430991</v>
      </c>
    </row>
    <row r="129" customFormat="false" ht="15" hidden="false" customHeight="false" outlineLevel="0" collapsed="false">
      <c r="A129" s="29" t="n">
        <v>6.2</v>
      </c>
      <c r="B129" s="62" t="n">
        <v>0.00269046767259906</v>
      </c>
      <c r="C129" s="29" t="n">
        <v>1143.41790351405</v>
      </c>
      <c r="D129" s="29" t="n">
        <v>78.5049190669753</v>
      </c>
      <c r="E129" s="62" t="n">
        <v>0.0280195668024949</v>
      </c>
      <c r="F129" s="41" t="n">
        <f aca="false">03_Tunings!C6</f>
        <v>0.113131446039143</v>
      </c>
      <c r="G129" s="41" t="n">
        <f aca="false">03_Tunings!C13</f>
        <v>0.0489816586430991</v>
      </c>
    </row>
    <row r="130" customFormat="false" ht="15" hidden="false" customHeight="false" outlineLevel="0" collapsed="false">
      <c r="A130" s="29" t="n">
        <v>6.25</v>
      </c>
      <c r="B130" s="62" t="n">
        <v>0.00263499411233929</v>
      </c>
      <c r="C130" s="29" t="n">
        <v>1125.72729995379</v>
      </c>
      <c r="D130" s="29" t="n">
        <v>76.6298229764098</v>
      </c>
      <c r="E130" s="62" t="n">
        <v>0.0280447951447116</v>
      </c>
      <c r="F130" s="41" t="n">
        <f aca="false">03_Tunings!C6</f>
        <v>0.113131446039143</v>
      </c>
      <c r="G130" s="41" t="n">
        <f aca="false">03_Tunings!C13</f>
        <v>0.0489816586430991</v>
      </c>
    </row>
    <row r="131" customFormat="false" ht="15" hidden="false" customHeight="false" outlineLevel="0" collapsed="false">
      <c r="A131" s="29" t="n">
        <v>6.3</v>
      </c>
      <c r="B131" s="62" t="n">
        <v>0.00257952055207951</v>
      </c>
      <c r="C131" s="29" t="n">
        <v>1108.03669639352</v>
      </c>
      <c r="D131" s="29" t="n">
        <v>74.7547268858443</v>
      </c>
      <c r="E131" s="62" t="n">
        <v>0.0280701011474244</v>
      </c>
      <c r="F131" s="41" t="n">
        <f aca="false">03_Tunings!C6</f>
        <v>0.113131446039143</v>
      </c>
      <c r="G131" s="41" t="n">
        <f aca="false">03_Tunings!C13</f>
        <v>0.0489816586430991</v>
      </c>
    </row>
    <row r="132" customFormat="false" ht="15" hidden="false" customHeight="false" outlineLevel="0" collapsed="false">
      <c r="A132" s="29" t="n">
        <v>6.35</v>
      </c>
      <c r="B132" s="62" t="n">
        <v>0.00252404699181974</v>
      </c>
      <c r="C132" s="29" t="n">
        <v>1090.34609283326</v>
      </c>
      <c r="D132" s="29" t="n">
        <v>72.8796307952788</v>
      </c>
      <c r="E132" s="62" t="n">
        <v>0.0280954795430129</v>
      </c>
      <c r="F132" s="41" t="n">
        <f aca="false">03_Tunings!C6</f>
        <v>0.113131446039143</v>
      </c>
      <c r="G132" s="41" t="n">
        <f aca="false">03_Tunings!C13</f>
        <v>0.0489816586430991</v>
      </c>
    </row>
    <row r="133" customFormat="false" ht="15" hidden="false" customHeight="false" outlineLevel="0" collapsed="false">
      <c r="A133" s="29" t="n">
        <v>6.4</v>
      </c>
      <c r="B133" s="62" t="n">
        <v>0.00246857343155996</v>
      </c>
      <c r="C133" s="29" t="n">
        <v>1072.65548927299</v>
      </c>
      <c r="D133" s="29" t="n">
        <v>71.0045347047133</v>
      </c>
      <c r="E133" s="62" t="n">
        <v>0.0281208579386013</v>
      </c>
      <c r="F133" s="41" t="n">
        <f aca="false">03_Tunings!C6</f>
        <v>0.113131446039143</v>
      </c>
      <c r="G133" s="41" t="n">
        <f aca="false">03_Tunings!C13</f>
        <v>0.0489816586430991</v>
      </c>
    </row>
    <row r="134" customFormat="false" ht="15" hidden="false" customHeight="false" outlineLevel="0" collapsed="false">
      <c r="A134" s="29" t="n">
        <v>6.45</v>
      </c>
      <c r="B134" s="62" t="n">
        <v>0.00241309987130019</v>
      </c>
      <c r="C134" s="29" t="n">
        <v>1054.96488571273</v>
      </c>
      <c r="D134" s="29" t="n">
        <v>69.1294386141478</v>
      </c>
      <c r="E134" s="62" t="n">
        <v>0.0281462711198728</v>
      </c>
      <c r="F134" s="41" t="n">
        <f aca="false">03_Tunings!C6</f>
        <v>0.113131446039143</v>
      </c>
      <c r="G134" s="41" t="n">
        <f aca="false">03_Tunings!C13</f>
        <v>0.0489816586430991</v>
      </c>
    </row>
    <row r="135" customFormat="false" ht="15" hidden="false" customHeight="false" outlineLevel="0" collapsed="false">
      <c r="A135" s="29" t="n">
        <v>6.5</v>
      </c>
      <c r="B135" s="62" t="n">
        <v>0.00235762631104042</v>
      </c>
      <c r="C135" s="29" t="n">
        <v>1037.27428215246</v>
      </c>
      <c r="D135" s="29" t="n">
        <v>67.2543425235823</v>
      </c>
      <c r="E135" s="62" t="n">
        <v>0.0281718009115594</v>
      </c>
      <c r="F135" s="41" t="n">
        <f aca="false">03_Tunings!C6</f>
        <v>0.113131446039143</v>
      </c>
      <c r="G135" s="41" t="n">
        <f aca="false">03_Tunings!C13</f>
        <v>0.0489816586430991</v>
      </c>
    </row>
    <row r="136" customFormat="false" ht="15" hidden="false" customHeight="false" outlineLevel="0" collapsed="false">
      <c r="A136" s="29" t="n">
        <v>6.55</v>
      </c>
      <c r="B136" s="62" t="n">
        <v>0.00230215275078064</v>
      </c>
      <c r="C136" s="29" t="n">
        <v>1019.5836785922</v>
      </c>
      <c r="D136" s="29" t="n">
        <v>65.3792464330168</v>
      </c>
      <c r="E136" s="62" t="n">
        <v>0.0281973307032461</v>
      </c>
      <c r="F136" s="41" t="n">
        <f aca="false">03_Tunings!C6</f>
        <v>0.113131446039143</v>
      </c>
      <c r="G136" s="41" t="n">
        <f aca="false">03_Tunings!C13</f>
        <v>0.0489816586430991</v>
      </c>
    </row>
    <row r="137" customFormat="false" ht="15" hidden="false" customHeight="false" outlineLevel="0" collapsed="false">
      <c r="A137" s="29" t="n">
        <v>6.6</v>
      </c>
      <c r="B137" s="62" t="n">
        <v>0.00224667919052087</v>
      </c>
      <c r="C137" s="29" t="n">
        <v>1001.89307503193</v>
      </c>
      <c r="D137" s="29" t="n">
        <v>63.5041503424513</v>
      </c>
      <c r="E137" s="62" t="n">
        <v>0.0282228604949327</v>
      </c>
      <c r="F137" s="41" t="n">
        <f aca="false">03_Tunings!C6</f>
        <v>0.113131446039143</v>
      </c>
      <c r="G137" s="41" t="n">
        <f aca="false">03_Tunings!C13</f>
        <v>0.0489816586430991</v>
      </c>
    </row>
    <row r="138" customFormat="false" ht="15" hidden="false" customHeight="false" outlineLevel="0" collapsed="false">
      <c r="A138" s="29" t="n">
        <v>6.65</v>
      </c>
      <c r="B138" s="62" t="n">
        <v>0.00219120563026109</v>
      </c>
      <c r="C138" s="29" t="n">
        <v>984.202471471669</v>
      </c>
      <c r="D138" s="29" t="n">
        <v>61.6290542518858</v>
      </c>
      <c r="E138" s="62" t="n">
        <v>0.0282485341786127</v>
      </c>
      <c r="F138" s="41" t="n">
        <f aca="false">03_Tunings!C6</f>
        <v>0.113131446039143</v>
      </c>
      <c r="G138" s="41" t="n">
        <f aca="false">03_Tunings!C13</f>
        <v>0.0489816586430991</v>
      </c>
    </row>
    <row r="139" customFormat="false" ht="15" hidden="false" customHeight="false" outlineLevel="0" collapsed="false">
      <c r="A139" s="29" t="n">
        <v>6.7</v>
      </c>
      <c r="B139" s="62" t="n">
        <v>0.00213573207000132</v>
      </c>
      <c r="C139" s="29" t="n">
        <v>966.511867911403</v>
      </c>
      <c r="D139" s="29" t="n">
        <v>59.7539581613203</v>
      </c>
      <c r="E139" s="62" t="n">
        <v>0.0282742167251921</v>
      </c>
      <c r="F139" s="41" t="n">
        <f aca="false">03_Tunings!C6</f>
        <v>0.113131446039143</v>
      </c>
      <c r="G139" s="41" t="n">
        <f aca="false">03_Tunings!C13</f>
        <v>0.0489816586430991</v>
      </c>
    </row>
    <row r="140" customFormat="false" ht="15" hidden="false" customHeight="false" outlineLevel="0" collapsed="false">
      <c r="A140" s="29" t="n">
        <v>6.75</v>
      </c>
      <c r="B140" s="62" t="n">
        <v>0.00208025850974154</v>
      </c>
      <c r="C140" s="29" t="n">
        <v>948.821264351138</v>
      </c>
      <c r="D140" s="29" t="n">
        <v>57.8788620707549</v>
      </c>
      <c r="E140" s="62" t="n">
        <v>0.0282998992717715</v>
      </c>
      <c r="F140" s="41" t="n">
        <f aca="false">03_Tunings!C6</f>
        <v>0.113131446039143</v>
      </c>
      <c r="G140" s="41" t="n">
        <f aca="false">03_Tunings!C13</f>
        <v>0.0489816586430991</v>
      </c>
    </row>
    <row r="141" customFormat="false" ht="15" hidden="false" customHeight="false" outlineLevel="0" collapsed="false">
      <c r="A141" s="29" t="n">
        <v>6.8</v>
      </c>
      <c r="B141" s="62" t="n">
        <v>0.00202478494948177</v>
      </c>
      <c r="C141" s="29" t="n">
        <v>931.130660790873</v>
      </c>
      <c r="D141" s="29" t="n">
        <v>56.0037659801893</v>
      </c>
      <c r="E141" s="62" t="n">
        <v>0.0283256826491405</v>
      </c>
      <c r="F141" s="41" t="n">
        <f aca="false">03_Tunings!C6</f>
        <v>0.113131446039143</v>
      </c>
      <c r="G141" s="41" t="n">
        <f aca="false">03_Tunings!C13</f>
        <v>0.0489816586430991</v>
      </c>
    </row>
    <row r="142" customFormat="false" ht="15" hidden="false" customHeight="false" outlineLevel="0" collapsed="false">
      <c r="A142" s="29" t="n">
        <v>6.85</v>
      </c>
      <c r="B142" s="62" t="n">
        <v>0.00196931138922199</v>
      </c>
      <c r="C142" s="29" t="n">
        <v>913.440057230608</v>
      </c>
      <c r="D142" s="29" t="n">
        <v>54.1286698896239</v>
      </c>
      <c r="E142" s="62" t="n">
        <v>0.0283515193257164</v>
      </c>
      <c r="F142" s="41" t="n">
        <f aca="false">03_Tunings!C6</f>
        <v>0.113131446039143</v>
      </c>
      <c r="G142" s="41" t="n">
        <f aca="false">03_Tunings!C13</f>
        <v>0.0489816586430991</v>
      </c>
    </row>
    <row r="143" customFormat="false" ht="15" hidden="false" customHeight="false" outlineLevel="0" collapsed="false">
      <c r="A143" s="29" t="n">
        <v>6.9</v>
      </c>
      <c r="B143" s="62" t="n">
        <v>0.00191383782896222</v>
      </c>
      <c r="C143" s="29" t="n">
        <v>895.749453670343</v>
      </c>
      <c r="D143" s="29" t="n">
        <v>52.2535737990584</v>
      </c>
      <c r="E143" s="62" t="n">
        <v>0.0283773560022923</v>
      </c>
      <c r="F143" s="41" t="n">
        <f aca="false">03_Tunings!C6</f>
        <v>0.113131446039143</v>
      </c>
      <c r="G143" s="41" t="n">
        <f aca="false">03_Tunings!C13</f>
        <v>0.0489816586430991</v>
      </c>
    </row>
    <row r="144" customFormat="false" ht="15" hidden="false" customHeight="false" outlineLevel="0" collapsed="false">
      <c r="A144" s="29" t="n">
        <v>6.95</v>
      </c>
      <c r="B144" s="62" t="n">
        <v>0.00185836426870245</v>
      </c>
      <c r="C144" s="29" t="n">
        <v>878.058850110078</v>
      </c>
      <c r="D144" s="29" t="n">
        <v>50.3784777084929</v>
      </c>
      <c r="E144" s="62" t="n">
        <v>0.0284032496630474</v>
      </c>
      <c r="F144" s="41" t="n">
        <f aca="false">03_Tunings!C6</f>
        <v>0.113131446039143</v>
      </c>
      <c r="G144" s="41" t="n">
        <f aca="false">03_Tunings!C13</f>
        <v>0.0489816586430991</v>
      </c>
    </row>
    <row r="145" customFormat="false" ht="15" hidden="false" customHeight="false" outlineLevel="0" collapsed="false">
      <c r="A145" s="29" t="n">
        <v>7</v>
      </c>
      <c r="B145" s="62" t="n">
        <v>0.00180289070844267</v>
      </c>
      <c r="C145" s="29" t="n">
        <v>860.368246549813</v>
      </c>
      <c r="D145" s="29" t="n">
        <v>48.5033816179274</v>
      </c>
      <c r="E145" s="62" t="n">
        <v>0.0284292418612782</v>
      </c>
      <c r="F145" s="41" t="n">
        <f aca="false">03_Tunings!C6</f>
        <v>0.113131446039143</v>
      </c>
      <c r="G145" s="41" t="n">
        <f aca="false">03_Tunings!C13</f>
        <v>0.0489816586430991</v>
      </c>
    </row>
    <row r="146" customFormat="false" ht="15" hidden="false" customHeight="false" outlineLevel="0" collapsed="false">
      <c r="A146" s="29" t="n">
        <v>7.05</v>
      </c>
      <c r="B146" s="62" t="n">
        <v>0.0017474171481829</v>
      </c>
      <c r="C146" s="29" t="n">
        <v>842.677642989548</v>
      </c>
      <c r="D146" s="29" t="n">
        <v>46.6282855273619</v>
      </c>
      <c r="E146" s="62" t="n">
        <v>0.0284552340595091</v>
      </c>
      <c r="F146" s="41" t="n">
        <f aca="false">03_Tunings!C6</f>
        <v>0.113131446039143</v>
      </c>
      <c r="G146" s="41" t="n">
        <f aca="false">03_Tunings!C13</f>
        <v>0.0489816586430991</v>
      </c>
    </row>
    <row r="147" customFormat="false" ht="15" hidden="false" customHeight="false" outlineLevel="0" collapsed="false">
      <c r="A147" s="29" t="n">
        <v>7.1</v>
      </c>
      <c r="B147" s="62" t="n">
        <v>0.00169194358792312</v>
      </c>
      <c r="C147" s="29" t="n">
        <v>824.987039429283</v>
      </c>
      <c r="D147" s="29" t="n">
        <v>44.7531894367964</v>
      </c>
      <c r="E147" s="62" t="n">
        <v>0.028481238595629</v>
      </c>
      <c r="F147" s="41" t="n">
        <f aca="false">03_Tunings!C6</f>
        <v>0.113131446039143</v>
      </c>
      <c r="G147" s="41" t="n">
        <f aca="false">03_Tunings!C13</f>
        <v>0.0489816586430991</v>
      </c>
    </row>
    <row r="148" customFormat="false" ht="15" hidden="false" customHeight="false" outlineLevel="0" collapsed="false">
      <c r="A148" s="29" t="n">
        <v>7.15</v>
      </c>
      <c r="B148" s="62" t="n">
        <v>0.00163647002766335</v>
      </c>
      <c r="C148" s="29" t="n">
        <v>807.296435869018</v>
      </c>
      <c r="D148" s="29" t="n">
        <v>42.8780933462309</v>
      </c>
      <c r="E148" s="62" t="n">
        <v>0.0285073877239776</v>
      </c>
      <c r="F148" s="41" t="n">
        <f aca="false">03_Tunings!C6</f>
        <v>0.113131446039143</v>
      </c>
      <c r="G148" s="41" t="n">
        <f aca="false">03_Tunings!C13</f>
        <v>0.0489816586430991</v>
      </c>
    </row>
    <row r="149" customFormat="false" ht="15" hidden="false" customHeight="false" outlineLevel="0" collapsed="false">
      <c r="A149" s="29" t="n">
        <v>7.2</v>
      </c>
      <c r="B149" s="62" t="n">
        <v>0.00158099646740357</v>
      </c>
      <c r="C149" s="29" t="n">
        <v>789.605832308753</v>
      </c>
      <c r="D149" s="29" t="n">
        <v>41.0029972556654</v>
      </c>
      <c r="E149" s="62" t="n">
        <v>0.0285335368523263</v>
      </c>
      <c r="F149" s="41" t="n">
        <f aca="false">03_Tunings!C6</f>
        <v>0.113131446039143</v>
      </c>
      <c r="G149" s="41" t="n">
        <f aca="false">03_Tunings!C13</f>
        <v>0.0489816586430991</v>
      </c>
    </row>
    <row r="150" customFormat="false" ht="15" hidden="false" customHeight="false" outlineLevel="0" collapsed="false">
      <c r="A150" s="29" t="n">
        <v>7.25</v>
      </c>
      <c r="B150" s="62" t="n">
        <v>0.0015255229071438</v>
      </c>
      <c r="C150" s="29" t="n">
        <v>771.915228748488</v>
      </c>
      <c r="D150" s="29" t="n">
        <v>39.1279011650999</v>
      </c>
      <c r="E150" s="62" t="n">
        <v>0.028559685980675</v>
      </c>
      <c r="F150" s="41" t="n">
        <f aca="false">03_Tunings!C6</f>
        <v>0.113131446039143</v>
      </c>
      <c r="G150" s="41" t="n">
        <f aca="false">03_Tunings!C13</f>
        <v>0.0489816586430991</v>
      </c>
    </row>
    <row r="151" customFormat="false" ht="15" hidden="false" customHeight="false" outlineLevel="0" collapsed="false">
      <c r="A151" s="29" t="n">
        <v>7.3</v>
      </c>
      <c r="B151" s="62" t="n">
        <v>0.00147004934688402</v>
      </c>
      <c r="C151" s="29" t="n">
        <v>754.224625188222</v>
      </c>
      <c r="D151" s="29" t="n">
        <v>37.2528050745344</v>
      </c>
      <c r="E151" s="62" t="n">
        <v>0.0285859603420211</v>
      </c>
      <c r="F151" s="41" t="n">
        <f aca="false">03_Tunings!C6</f>
        <v>0.113131446039143</v>
      </c>
      <c r="G151" s="41" t="n">
        <f aca="false">03_Tunings!C13</f>
        <v>0.0489816586430991</v>
      </c>
    </row>
    <row r="152" customFormat="false" ht="15" hidden="false" customHeight="false" outlineLevel="0" collapsed="false">
      <c r="A152" s="29" t="n">
        <v>7.35</v>
      </c>
      <c r="B152" s="62" t="n">
        <v>0.00141457578662425</v>
      </c>
      <c r="C152" s="29" t="n">
        <v>736.534021627957</v>
      </c>
      <c r="D152" s="29" t="n">
        <v>35.3777089839689</v>
      </c>
      <c r="E152" s="62" t="n">
        <v>0.0286122678260094</v>
      </c>
      <c r="F152" s="41" t="n">
        <f aca="false">03_Tunings!C6</f>
        <v>0.113131446039143</v>
      </c>
      <c r="G152" s="41" t="n">
        <f aca="false">03_Tunings!C13</f>
        <v>0.0489816586430991</v>
      </c>
    </row>
    <row r="153" customFormat="false" ht="15" hidden="false" customHeight="false" outlineLevel="0" collapsed="false">
      <c r="A153" s="29" t="n">
        <v>7.4</v>
      </c>
      <c r="B153" s="62" t="n">
        <v>0.00135910222636447</v>
      </c>
      <c r="C153" s="29" t="n">
        <v>718.843418067692</v>
      </c>
      <c r="D153" s="29" t="n">
        <v>33.5026128934034</v>
      </c>
      <c r="E153" s="62" t="n">
        <v>0.0286385753099978</v>
      </c>
      <c r="F153" s="41" t="n">
        <f aca="false">03_Tunings!C6</f>
        <v>0.113131446039143</v>
      </c>
      <c r="G153" s="41" t="n">
        <f aca="false">03_Tunings!C13</f>
        <v>0.0489816586430991</v>
      </c>
    </row>
    <row r="154" customFormat="false" ht="15" hidden="false" customHeight="false" outlineLevel="0" collapsed="false">
      <c r="A154" s="29" t="n">
        <v>7.45</v>
      </c>
      <c r="B154" s="62" t="n">
        <v>0.0013036286661047</v>
      </c>
      <c r="C154" s="29" t="n">
        <v>701.152814507427</v>
      </c>
      <c r="D154" s="29" t="n">
        <v>31.627516802838</v>
      </c>
      <c r="E154" s="62" t="n">
        <v>0.0286649631801942</v>
      </c>
      <c r="F154" s="41" t="n">
        <f aca="false">03_Tunings!C6</f>
        <v>0.113131446039143</v>
      </c>
      <c r="G154" s="41" t="n">
        <f aca="false">03_Tunings!C13</f>
        <v>0.0489816586430991</v>
      </c>
    </row>
    <row r="155" customFormat="false" ht="15" hidden="false" customHeight="false" outlineLevel="0" collapsed="false">
      <c r="A155" s="29" t="n">
        <v>7.5</v>
      </c>
      <c r="B155" s="62" t="n">
        <v>0.00124815510584493</v>
      </c>
      <c r="C155" s="29" t="n">
        <v>683.462210947162</v>
      </c>
      <c r="D155" s="29" t="n">
        <v>29.7524207122725</v>
      </c>
      <c r="E155" s="62" t="n">
        <v>0.0286914304626621</v>
      </c>
      <c r="F155" s="41" t="n">
        <f aca="false">03_Tunings!C6</f>
        <v>0.113131446039143</v>
      </c>
      <c r="G155" s="41" t="n">
        <f aca="false">03_Tunings!C13</f>
        <v>0.0489816586430991</v>
      </c>
    </row>
    <row r="156" customFormat="false" ht="15" hidden="false" customHeight="false" outlineLevel="0" collapsed="false">
      <c r="A156" s="29" t="n">
        <v>7.55</v>
      </c>
      <c r="B156" s="62" t="n">
        <v>0.00135910222636448</v>
      </c>
      <c r="C156" s="29" t="n">
        <v>683.462210947162</v>
      </c>
      <c r="D156" s="29" t="n">
        <v>29.7524207122725</v>
      </c>
      <c r="E156" s="62" t="n">
        <v>0.0287178977451299</v>
      </c>
      <c r="F156" s="41" t="n">
        <f aca="false">03_Tunings!C6</f>
        <v>0.113131446039143</v>
      </c>
      <c r="G156" s="41" t="n">
        <f aca="false">03_Tunings!C13</f>
        <v>0.0489816586430991</v>
      </c>
    </row>
    <row r="157" customFormat="false" ht="15" hidden="false" customHeight="false" outlineLevel="0" collapsed="false">
      <c r="A157" s="29" t="n">
        <v>7.6</v>
      </c>
      <c r="B157" s="62" t="n">
        <v>0.00147004934688403</v>
      </c>
      <c r="C157" s="29" t="n">
        <v>683.462210947162</v>
      </c>
      <c r="D157" s="29" t="n">
        <v>29.7524207122725</v>
      </c>
      <c r="E157" s="62" t="n">
        <v>0.0287443997403416</v>
      </c>
      <c r="F157" s="41" t="n">
        <f aca="false">03_Tunings!C6</f>
        <v>0.113131446039143</v>
      </c>
      <c r="G157" s="41" t="n">
        <f aca="false">03_Tunings!C13</f>
        <v>0.0489816586430991</v>
      </c>
    </row>
    <row r="158" customFormat="false" ht="15" hidden="false" customHeight="false" outlineLevel="0" collapsed="false">
      <c r="A158" s="29" t="n">
        <v>7.65</v>
      </c>
      <c r="B158" s="62" t="n">
        <v>0.00158099646740357</v>
      </c>
      <c r="C158" s="29" t="n">
        <v>683.462210947162</v>
      </c>
      <c r="D158" s="29" t="n">
        <v>29.7524207122725</v>
      </c>
      <c r="E158" s="62" t="n">
        <v>0.0287710282817106</v>
      </c>
      <c r="F158" s="41" t="n">
        <f aca="false">03_Tunings!C6</f>
        <v>0.113131446039143</v>
      </c>
      <c r="G158" s="41" t="n">
        <f aca="false">03_Tunings!C13</f>
        <v>0.0489816586430991</v>
      </c>
    </row>
    <row r="159" customFormat="false" ht="15" hidden="false" customHeight="false" outlineLevel="0" collapsed="false">
      <c r="A159" s="29" t="n">
        <v>7.7</v>
      </c>
      <c r="B159" s="62" t="n">
        <v>0.00169194358792312</v>
      </c>
      <c r="C159" s="29" t="n">
        <v>683.462210947162</v>
      </c>
      <c r="D159" s="29" t="n">
        <v>29.7524207122725</v>
      </c>
      <c r="E159" s="62" t="n">
        <v>0.0287976568230795</v>
      </c>
      <c r="F159" s="41" t="n">
        <f aca="false">03_Tunings!C6</f>
        <v>0.113131446039143</v>
      </c>
      <c r="G159" s="41" t="n">
        <f aca="false">03_Tunings!C13</f>
        <v>0.0489816586430991</v>
      </c>
    </row>
    <row r="160" customFormat="false" ht="15" hidden="false" customHeight="false" outlineLevel="0" collapsed="false">
      <c r="A160" s="29" t="n">
        <v>7.75</v>
      </c>
      <c r="B160" s="62" t="n">
        <v>0.00180289070844267</v>
      </c>
      <c r="C160" s="29" t="n">
        <v>683.462210947162</v>
      </c>
      <c r="D160" s="29" t="n">
        <v>29.7524207122725</v>
      </c>
      <c r="E160" s="62" t="n">
        <v>0.0288242853644485</v>
      </c>
      <c r="F160" s="41" t="n">
        <f aca="false">03_Tunings!C6</f>
        <v>0.113131446039143</v>
      </c>
      <c r="G160" s="41" t="n">
        <f aca="false">03_Tunings!C13</f>
        <v>0.0489816586430991</v>
      </c>
    </row>
    <row r="161" customFormat="false" ht="15" hidden="false" customHeight="false" outlineLevel="0" collapsed="false">
      <c r="A161" s="29" t="n">
        <v>7.8</v>
      </c>
      <c r="B161" s="62" t="n">
        <v>0.00191383782896222</v>
      </c>
      <c r="C161" s="29" t="n">
        <v>683.462210947162</v>
      </c>
      <c r="D161" s="29" t="n">
        <v>29.7524207122725</v>
      </c>
      <c r="E161" s="62" t="n">
        <v>0.0288510648403965</v>
      </c>
      <c r="F161" s="41" t="n">
        <f aca="false">03_Tunings!C6</f>
        <v>0.113131446039143</v>
      </c>
      <c r="G161" s="41" t="n">
        <f aca="false">03_Tunings!C13</f>
        <v>0.0489816586430991</v>
      </c>
    </row>
    <row r="162" customFormat="false" ht="15" hidden="false" customHeight="false" outlineLevel="0" collapsed="false">
      <c r="A162" s="29" t="n">
        <v>7.85</v>
      </c>
      <c r="B162" s="62" t="n">
        <v>0.00202478494948177</v>
      </c>
      <c r="C162" s="29" t="n">
        <v>683.462210947162</v>
      </c>
      <c r="D162" s="29" t="n">
        <v>29.7524207122725</v>
      </c>
      <c r="E162" s="62" t="n">
        <v>0.0288778561189385</v>
      </c>
      <c r="F162" s="41" t="n">
        <f aca="false">03_Tunings!C6</f>
        <v>0.113131446039143</v>
      </c>
      <c r="G162" s="41" t="n">
        <f aca="false">03_Tunings!C13</f>
        <v>0.0489816586430991</v>
      </c>
    </row>
    <row r="163" customFormat="false" ht="15" hidden="false" customHeight="false" outlineLevel="0" collapsed="false">
      <c r="A163" s="29" t="n">
        <v>7.9</v>
      </c>
      <c r="B163" s="62" t="n">
        <v>0.00213573207000132</v>
      </c>
      <c r="C163" s="29" t="n">
        <v>683.462210947162</v>
      </c>
      <c r="D163" s="29" t="n">
        <v>29.7524207122725</v>
      </c>
      <c r="E163" s="62" t="n">
        <v>0.0289046473974806</v>
      </c>
      <c r="F163" s="41" t="n">
        <f aca="false">03_Tunings!C6</f>
        <v>0.113131446039143</v>
      </c>
      <c r="G163" s="41" t="n">
        <f aca="false">03_Tunings!C13</f>
        <v>0.0489816586430991</v>
      </c>
    </row>
    <row r="164" customFormat="false" ht="15" hidden="false" customHeight="false" outlineLevel="0" collapsed="false">
      <c r="A164" s="29" t="n">
        <v>7.95</v>
      </c>
      <c r="B164" s="62" t="n">
        <v>0.00224667919052087</v>
      </c>
      <c r="C164" s="29" t="n">
        <v>683.462210947162</v>
      </c>
      <c r="D164" s="29" t="n">
        <v>29.7524207122725</v>
      </c>
      <c r="E164" s="62" t="n">
        <v>0.0289315437342761</v>
      </c>
      <c r="F164" s="41" t="n">
        <f aca="false">03_Tunings!C6</f>
        <v>0.113131446039143</v>
      </c>
      <c r="G164" s="41" t="n">
        <f aca="false">03_Tunings!C13</f>
        <v>0.0489816586430991</v>
      </c>
    </row>
    <row r="165" customFormat="false" ht="15" hidden="false" customHeight="false" outlineLevel="0" collapsed="false">
      <c r="A165" s="29" t="n">
        <v>8</v>
      </c>
      <c r="B165" s="62" t="n">
        <v>0.00235762631104042</v>
      </c>
      <c r="C165" s="29" t="n">
        <v>683.462210947162</v>
      </c>
      <c r="D165" s="29" t="n">
        <v>29.7524207122725</v>
      </c>
      <c r="E165" s="62" t="n">
        <v>0.0289584992463872</v>
      </c>
      <c r="F165" s="41" t="n">
        <f aca="false">03_Tunings!C6</f>
        <v>0.113131446039143</v>
      </c>
      <c r="G165" s="41" t="n">
        <f aca="false">03_Tunings!C13</f>
        <v>0.0489816586430991</v>
      </c>
    </row>
    <row r="166" customFormat="false" ht="15" hidden="false" customHeight="false" outlineLevel="0" collapsed="false">
      <c r="A166" s="29" t="n">
        <v>8.05</v>
      </c>
      <c r="B166" s="62" t="n">
        <v>0.00246857343155997</v>
      </c>
      <c r="C166" s="29" t="n">
        <v>683.462210947162</v>
      </c>
      <c r="D166" s="29" t="n">
        <v>29.7524207122725</v>
      </c>
      <c r="E166" s="62" t="n">
        <v>0.0289854547584982</v>
      </c>
      <c r="F166" s="41" t="n">
        <f aca="false">03_Tunings!C6</f>
        <v>0.113131446039143</v>
      </c>
      <c r="G166" s="41" t="n">
        <f aca="false">03_Tunings!C13</f>
        <v>0.0489816586430991</v>
      </c>
    </row>
    <row r="167" customFormat="false" ht="15" hidden="false" customHeight="false" outlineLevel="0" collapsed="false">
      <c r="A167" s="29" t="n">
        <v>8.1</v>
      </c>
      <c r="B167" s="62" t="n">
        <v>0.00257952055207951</v>
      </c>
      <c r="C167" s="29" t="n">
        <v>683.462210947162</v>
      </c>
      <c r="D167" s="29" t="n">
        <v>29.7524207122725</v>
      </c>
      <c r="E167" s="62" t="n">
        <v>0.0290124685977282</v>
      </c>
      <c r="F167" s="41" t="n">
        <f aca="false">03_Tunings!C6</f>
        <v>0.113131446039143</v>
      </c>
      <c r="G167" s="41" t="n">
        <f aca="false">03_Tunings!C13</f>
        <v>0.0489816586430991</v>
      </c>
    </row>
    <row r="168" customFormat="false" ht="15" hidden="false" customHeight="false" outlineLevel="0" collapsed="false">
      <c r="A168" s="29" t="n">
        <v>8.15</v>
      </c>
      <c r="B168" s="62" t="n">
        <v>0.00269046767259906</v>
      </c>
      <c r="C168" s="29" t="n">
        <v>683.462210947162</v>
      </c>
      <c r="D168" s="29" t="n">
        <v>29.7524207122725</v>
      </c>
      <c r="E168" s="62" t="n">
        <v>0.0290395898582068</v>
      </c>
      <c r="F168" s="41" t="n">
        <f aca="false">03_Tunings!C6</f>
        <v>0.113131446039143</v>
      </c>
      <c r="G168" s="41" t="n">
        <f aca="false">03_Tunings!C13</f>
        <v>0.0489816586430991</v>
      </c>
    </row>
    <row r="169" customFormat="false" ht="15" hidden="false" customHeight="false" outlineLevel="0" collapsed="false">
      <c r="A169" s="29" t="n">
        <v>8.2</v>
      </c>
      <c r="B169" s="62" t="n">
        <v>0.00280141479311861</v>
      </c>
      <c r="C169" s="29" t="n">
        <v>683.462210947162</v>
      </c>
      <c r="D169" s="29" t="n">
        <v>29.7524207122725</v>
      </c>
      <c r="E169" s="62" t="n">
        <v>0.0290667111186853</v>
      </c>
      <c r="F169" s="41" t="n">
        <f aca="false">03_Tunings!C6</f>
        <v>0.113131446039143</v>
      </c>
      <c r="G169" s="41" t="n">
        <f aca="false">03_Tunings!C13</f>
        <v>0.0489816586430991</v>
      </c>
    </row>
    <row r="170" customFormat="false" ht="15" hidden="false" customHeight="false" outlineLevel="0" collapsed="false">
      <c r="A170" s="29" t="n">
        <v>8.25</v>
      </c>
      <c r="B170" s="62" t="n">
        <v>0.00291236191363816</v>
      </c>
      <c r="C170" s="29" t="n">
        <v>683.462210947162</v>
      </c>
      <c r="D170" s="29" t="n">
        <v>29.7524207122725</v>
      </c>
      <c r="E170" s="62" t="n">
        <v>0.0290938431044694</v>
      </c>
      <c r="F170" s="41" t="n">
        <f aca="false">03_Tunings!C6</f>
        <v>0.113131446039143</v>
      </c>
      <c r="G170" s="41" t="n">
        <f aca="false">03_Tunings!C13</f>
        <v>0.0489816586430991</v>
      </c>
    </row>
    <row r="171" customFormat="false" ht="15" hidden="false" customHeight="false" outlineLevel="0" collapsed="false">
      <c r="A171" s="29" t="n">
        <v>8.3</v>
      </c>
      <c r="B171" s="62" t="n">
        <v>0.00302330903415771</v>
      </c>
      <c r="C171" s="29" t="n">
        <v>683.462210947162</v>
      </c>
      <c r="D171" s="29" t="n">
        <v>29.7524207122725</v>
      </c>
      <c r="E171" s="62" t="n">
        <v>0.0291211316468003</v>
      </c>
      <c r="F171" s="41" t="n">
        <f aca="false">03_Tunings!C6</f>
        <v>0.113131446039143</v>
      </c>
      <c r="G171" s="41" t="n">
        <f aca="false">03_Tunings!C13</f>
        <v>0.0489816586430991</v>
      </c>
    </row>
    <row r="172" customFormat="false" ht="15" hidden="false" customHeight="false" outlineLevel="0" collapsed="false">
      <c r="A172" s="29" t="n">
        <v>8.35</v>
      </c>
      <c r="B172" s="62" t="n">
        <v>0.00313425615467726</v>
      </c>
      <c r="C172" s="29" t="n">
        <v>683.462210947162</v>
      </c>
      <c r="D172" s="29" t="n">
        <v>29.7524207122725</v>
      </c>
      <c r="E172" s="62" t="n">
        <v>0.0291484201891311</v>
      </c>
      <c r="F172" s="41" t="n">
        <f aca="false">03_Tunings!C6</f>
        <v>0.113131446039143</v>
      </c>
      <c r="G172" s="41" t="n">
        <f aca="false">03_Tunings!C13</f>
        <v>0.0489816586430991</v>
      </c>
    </row>
    <row r="173" customFormat="false" ht="15" hidden="false" customHeight="false" outlineLevel="0" collapsed="false">
      <c r="A173" s="29" t="n">
        <v>8.4</v>
      </c>
      <c r="B173" s="62" t="n">
        <v>0.00324520327519681</v>
      </c>
      <c r="C173" s="29" t="n">
        <v>683.462210947162</v>
      </c>
      <c r="D173" s="29" t="n">
        <v>29.7524207122725</v>
      </c>
      <c r="E173" s="62" t="n">
        <v>0.029175708731462</v>
      </c>
      <c r="F173" s="41" t="n">
        <f aca="false">03_Tunings!C6</f>
        <v>0.113131446039143</v>
      </c>
      <c r="G173" s="41" t="n">
        <f aca="false">03_Tunings!C13</f>
        <v>0.0489816586430991</v>
      </c>
    </row>
    <row r="174" customFormat="false" ht="15" hidden="false" customHeight="false" outlineLevel="0" collapsed="false">
      <c r="A174" s="29" t="n">
        <v>8.45</v>
      </c>
      <c r="B174" s="62" t="n">
        <v>0.00335615039571636</v>
      </c>
      <c r="C174" s="29" t="n">
        <v>683.462210947162</v>
      </c>
      <c r="D174" s="29" t="n">
        <v>29.7524207122725</v>
      </c>
      <c r="E174" s="62" t="n">
        <v>0.0292031283447209</v>
      </c>
      <c r="F174" s="41" t="n">
        <f aca="false">03_Tunings!C6</f>
        <v>0.113131446039143</v>
      </c>
      <c r="G174" s="41" t="n">
        <f aca="false">03_Tunings!C13</f>
        <v>0.0489816586430991</v>
      </c>
    </row>
    <row r="175" customFormat="false" ht="15" hidden="false" customHeight="false" outlineLevel="0" collapsed="false">
      <c r="A175" s="29" t="n">
        <v>8.5</v>
      </c>
      <c r="B175" s="62" t="n">
        <v>0.00346709751623591</v>
      </c>
      <c r="C175" s="29" t="n">
        <v>683.462210947162</v>
      </c>
      <c r="D175" s="29" t="n">
        <v>29.7524207122725</v>
      </c>
      <c r="E175" s="62" t="n">
        <v>0.0292305857213642</v>
      </c>
      <c r="F175" s="41" t="n">
        <f aca="false">03_Tunings!C6</f>
        <v>0.113131446039143</v>
      </c>
      <c r="G175" s="41" t="n">
        <f aca="false">03_Tunings!C13</f>
        <v>0.0489816586430991</v>
      </c>
    </row>
    <row r="176" customFormat="false" ht="15" hidden="false" customHeight="false" outlineLevel="0" collapsed="false">
      <c r="A176" s="29" t="n">
        <v>8.55</v>
      </c>
      <c r="B176" s="62" t="n">
        <v>0.00957627679988149</v>
      </c>
      <c r="C176" s="29" t="n">
        <v>668.612136277476</v>
      </c>
      <c r="D176" s="29" t="n">
        <v>29.1727609402986</v>
      </c>
      <c r="E176" s="62" t="n">
        <v>0.0292580430980076</v>
      </c>
      <c r="F176" s="41" t="n">
        <f aca="false">03_Tunings!C6</f>
        <v>0.113131446039143</v>
      </c>
      <c r="G176" s="41" t="n">
        <f aca="false">03_Tunings!C13</f>
        <v>0.0489816586430991</v>
      </c>
    </row>
    <row r="177" customFormat="false" ht="15" hidden="false" customHeight="false" outlineLevel="0" collapsed="false">
      <c r="A177" s="29" t="n">
        <v>8.6</v>
      </c>
      <c r="B177" s="62" t="n">
        <v>0.0156854560835269</v>
      </c>
      <c r="C177" s="29" t="n">
        <v>653.76206160779</v>
      </c>
      <c r="D177" s="29" t="n">
        <v>28.5931011683248</v>
      </c>
      <c r="E177" s="62" t="n">
        <v>0.0296873986986889</v>
      </c>
      <c r="F177" s="41" t="n">
        <f aca="false">03_Tunings!C6</f>
        <v>0.113131446039143</v>
      </c>
      <c r="G177" s="41" t="n">
        <f aca="false">03_Tunings!C13</f>
        <v>0.0489816586430991</v>
      </c>
    </row>
    <row r="178" customFormat="false" ht="15" hidden="false" customHeight="false" outlineLevel="0" collapsed="false">
      <c r="A178" s="29" t="n">
        <v>8.65</v>
      </c>
      <c r="B178" s="62" t="n">
        <v>0.0217946353671724</v>
      </c>
      <c r="C178" s="29" t="n">
        <v>638.911986938104</v>
      </c>
      <c r="D178" s="29" t="n">
        <v>28.013441396351</v>
      </c>
      <c r="E178" s="62" t="n">
        <v>0.0305375038410949</v>
      </c>
      <c r="F178" s="41" t="n">
        <f aca="false">03_Tunings!C6</f>
        <v>0.113131446039143</v>
      </c>
      <c r="G178" s="41" t="n">
        <f aca="false">03_Tunings!C13</f>
        <v>0.0489816586430991</v>
      </c>
    </row>
    <row r="179" customFormat="false" ht="15" hidden="false" customHeight="false" outlineLevel="0" collapsed="false">
      <c r="A179" s="29" t="n">
        <v>8.7</v>
      </c>
      <c r="B179" s="62" t="n">
        <v>0.027903814650818</v>
      </c>
      <c r="C179" s="29" t="n">
        <v>624.061912268418</v>
      </c>
      <c r="D179" s="29" t="n">
        <v>27.4337816243771</v>
      </c>
      <c r="E179" s="62" t="n">
        <v>0.031387608983501</v>
      </c>
      <c r="F179" s="41" t="n">
        <f aca="false">03_Tunings!C6</f>
        <v>0.113131446039143</v>
      </c>
      <c r="G179" s="41" t="n">
        <f aca="false">03_Tunings!C13</f>
        <v>0.0489816586430991</v>
      </c>
    </row>
    <row r="180" customFormat="false" ht="15" hidden="false" customHeight="false" outlineLevel="0" collapsed="false">
      <c r="A180" s="29" t="n">
        <v>8.75</v>
      </c>
      <c r="B180" s="62" t="n">
        <v>0.0340129939344634</v>
      </c>
      <c r="C180" s="29" t="n">
        <v>609.211837598732</v>
      </c>
      <c r="D180" s="29" t="n">
        <v>26.8541218524033</v>
      </c>
      <c r="E180" s="62" t="n">
        <v>0.0332382644012585</v>
      </c>
      <c r="F180" s="41" t="n">
        <f aca="false">03_Tunings!C6</f>
        <v>0.113131446039143</v>
      </c>
      <c r="G180" s="41" t="n">
        <f aca="false">03_Tunings!C13</f>
        <v>0.0489816586430991</v>
      </c>
    </row>
    <row r="181" customFormat="false" ht="15" hidden="false" customHeight="false" outlineLevel="0" collapsed="false">
      <c r="A181" s="29" t="n">
        <v>8.8</v>
      </c>
      <c r="B181" s="62" t="n">
        <v>0.040122173218109</v>
      </c>
      <c r="C181" s="29" t="n">
        <v>594.361762929046</v>
      </c>
      <c r="D181" s="29" t="n">
        <v>26.2744620804294</v>
      </c>
      <c r="E181" s="62" t="n">
        <v>0.0390722855037115</v>
      </c>
      <c r="F181" s="41" t="n">
        <f aca="false">03_Tunings!C6</f>
        <v>0.113131446039143</v>
      </c>
      <c r="G181" s="41" t="n">
        <f aca="false">03_Tunings!C13</f>
        <v>0.0489816586430991</v>
      </c>
    </row>
    <row r="182" customFormat="false" ht="15" hidden="false" customHeight="false" outlineLevel="0" collapsed="false">
      <c r="A182" s="29" t="n">
        <v>8.85</v>
      </c>
      <c r="B182" s="62" t="n">
        <v>0.0462313525017543</v>
      </c>
      <c r="C182" s="29" t="n">
        <v>579.51168825936</v>
      </c>
      <c r="D182" s="29" t="n">
        <v>25.6948023084556</v>
      </c>
      <c r="E182" s="62" t="n">
        <v>0.0449063066061643</v>
      </c>
      <c r="F182" s="41" t="n">
        <f aca="false">03_Tunings!C6</f>
        <v>0.113131446039143</v>
      </c>
      <c r="G182" s="41" t="n">
        <f aca="false">03_Tunings!C13</f>
        <v>0.0489816586430991</v>
      </c>
    </row>
    <row r="183" customFormat="false" ht="15" hidden="false" customHeight="false" outlineLevel="0" collapsed="false">
      <c r="A183" s="29" t="n">
        <v>8.9</v>
      </c>
      <c r="B183" s="62" t="n">
        <v>0.0523405317853999</v>
      </c>
      <c r="C183" s="29" t="n">
        <v>564.661613589674</v>
      </c>
      <c r="D183" s="29" t="n">
        <v>25.1151425364818</v>
      </c>
      <c r="E183" s="62" t="n">
        <v>0.0507403277086173</v>
      </c>
      <c r="F183" s="41" t="n">
        <f aca="false">03_Tunings!C6</f>
        <v>0.113131446039143</v>
      </c>
      <c r="G183" s="41" t="n">
        <f aca="false">03_Tunings!C13</f>
        <v>0.0489816586430991</v>
      </c>
    </row>
    <row r="184" customFormat="false" ht="15" hidden="false" customHeight="false" outlineLevel="0" collapsed="false">
      <c r="A184" s="29" t="n">
        <v>8.95</v>
      </c>
      <c r="B184" s="62" t="n">
        <v>0.0584497110690455</v>
      </c>
      <c r="C184" s="29" t="n">
        <v>549.811538919987</v>
      </c>
      <c r="D184" s="29" t="n">
        <v>24.5354827645079</v>
      </c>
      <c r="E184" s="62" t="n">
        <v>0.0607003213692637</v>
      </c>
      <c r="F184" s="41" t="n">
        <f aca="false">03_Tunings!C6</f>
        <v>0.113131446039143</v>
      </c>
      <c r="G184" s="41" t="n">
        <f aca="false">03_Tunings!C13</f>
        <v>0.0489816586430991</v>
      </c>
    </row>
    <row r="185" customFormat="false" ht="15" hidden="false" customHeight="false" outlineLevel="0" collapsed="false">
      <c r="A185" s="29" t="n">
        <v>9</v>
      </c>
      <c r="B185" s="62" t="n">
        <v>0.0645588903526909</v>
      </c>
      <c r="C185" s="29" t="n">
        <v>534.961464250302</v>
      </c>
      <c r="D185" s="29" t="n">
        <v>23.9558229925341</v>
      </c>
      <c r="E185" s="62" t="n">
        <v>0.0710536314359241</v>
      </c>
      <c r="F185" s="41" t="n">
        <f aca="false">03_Tunings!C6</f>
        <v>0.113131446039143</v>
      </c>
      <c r="G185" s="41" t="n">
        <f aca="false">03_Tunings!C13</f>
        <v>0.0489816586430991</v>
      </c>
    </row>
    <row r="186" customFormat="false" ht="15" hidden="false" customHeight="false" outlineLevel="0" collapsed="false">
      <c r="A186" s="29" t="n">
        <v>9.05</v>
      </c>
      <c r="B186" s="62" t="n">
        <v>0.0706680696363365</v>
      </c>
      <c r="C186" s="29" t="n">
        <v>520.111389580615</v>
      </c>
      <c r="D186" s="29" t="n">
        <v>23.3761632205603</v>
      </c>
      <c r="E186" s="62" t="n">
        <v>0.0814069415025849</v>
      </c>
      <c r="F186" s="41" t="n">
        <f aca="false">03_Tunings!C6</f>
        <v>0.113131446039143</v>
      </c>
      <c r="G186" s="41" t="n">
        <f aca="false">03_Tunings!C13</f>
        <v>0.0489816586430991</v>
      </c>
    </row>
    <row r="187" customFormat="false" ht="15" hidden="false" customHeight="false" outlineLevel="0" collapsed="false">
      <c r="A187" s="29" t="n">
        <v>9.1</v>
      </c>
      <c r="B187" s="62" t="n">
        <v>0.0767772489199818</v>
      </c>
      <c r="C187" s="29" t="n">
        <v>505.26131491093</v>
      </c>
      <c r="D187" s="29" t="n">
        <v>22.7965034485865</v>
      </c>
      <c r="E187" s="62" t="n">
        <v>0.085287538509209</v>
      </c>
      <c r="F187" s="41" t="n">
        <f aca="false">03_Tunings!C6</f>
        <v>0.113131446039143</v>
      </c>
      <c r="G187" s="41" t="n">
        <f aca="false">03_Tunings!C13</f>
        <v>0.0489816586430991</v>
      </c>
    </row>
    <row r="188" customFormat="false" ht="15" hidden="false" customHeight="false" outlineLevel="0" collapsed="false">
      <c r="A188" s="29" t="n">
        <v>9.15</v>
      </c>
      <c r="B188" s="62" t="n">
        <v>0.0828864282036274</v>
      </c>
      <c r="C188" s="29" t="n">
        <v>490.411240241243</v>
      </c>
      <c r="D188" s="29" t="n">
        <v>22.2168436766126</v>
      </c>
      <c r="E188" s="62" t="n">
        <v>0.085287538509209</v>
      </c>
      <c r="F188" s="41" t="n">
        <f aca="false">03_Tunings!C6</f>
        <v>0.113131446039143</v>
      </c>
      <c r="G188" s="41" t="n">
        <f aca="false">03_Tunings!C13</f>
        <v>0.0489816586430991</v>
      </c>
    </row>
    <row r="189" customFormat="false" ht="15" hidden="false" customHeight="false" outlineLevel="0" collapsed="false">
      <c r="A189" s="29" t="n">
        <v>9.2</v>
      </c>
      <c r="B189" s="62" t="n">
        <v>0.088995607487273</v>
      </c>
      <c r="C189" s="29" t="n">
        <v>475.561165571557</v>
      </c>
      <c r="D189" s="29" t="n">
        <v>21.6371839046388</v>
      </c>
      <c r="E189" s="62" t="n">
        <v>0.085287538509209</v>
      </c>
      <c r="F189" s="41" t="n">
        <f aca="false">03_Tunings!C6</f>
        <v>0.113131446039143</v>
      </c>
      <c r="G189" s="41" t="n">
        <f aca="false">03_Tunings!C13</f>
        <v>0.0489816586430991</v>
      </c>
    </row>
    <row r="190" customFormat="false" ht="15" hidden="false" customHeight="false" outlineLevel="0" collapsed="false">
      <c r="A190" s="29" t="n">
        <v>9.25</v>
      </c>
      <c r="B190" s="62" t="n">
        <v>0.0951047867709184</v>
      </c>
      <c r="C190" s="29" t="n">
        <v>460.711090901871</v>
      </c>
      <c r="D190" s="29" t="n">
        <v>21.057524132665</v>
      </c>
      <c r="E190" s="62" t="n">
        <v>0.085287538509209</v>
      </c>
      <c r="F190" s="41" t="n">
        <f aca="false">03_Tunings!C6</f>
        <v>0.113131446039143</v>
      </c>
      <c r="G190" s="41" t="n">
        <f aca="false">03_Tunings!C13</f>
        <v>0.0489816586430991</v>
      </c>
    </row>
    <row r="191" customFormat="false" ht="15" hidden="false" customHeight="false" outlineLevel="0" collapsed="false">
      <c r="A191" s="29" t="n">
        <v>9.3</v>
      </c>
      <c r="B191" s="62" t="n">
        <v>0.101213966054564</v>
      </c>
      <c r="C191" s="29" t="n">
        <v>445.861016232185</v>
      </c>
      <c r="D191" s="29" t="n">
        <v>20.4778643606911</v>
      </c>
      <c r="E191" s="62" t="n">
        <v>0.085287538509209</v>
      </c>
      <c r="F191" s="41" t="n">
        <f aca="false">03_Tunings!C6</f>
        <v>0.113131446039143</v>
      </c>
      <c r="G191" s="41" t="n">
        <f aca="false">03_Tunings!C13</f>
        <v>0.0489816586430991</v>
      </c>
    </row>
    <row r="192" customFormat="false" ht="15" hidden="false" customHeight="false" outlineLevel="0" collapsed="false">
      <c r="A192" s="29" t="n">
        <v>9.35</v>
      </c>
      <c r="B192" s="62" t="n">
        <v>0.107323145338209</v>
      </c>
      <c r="C192" s="29" t="n">
        <v>431.010941562499</v>
      </c>
      <c r="D192" s="29" t="n">
        <v>19.8982045887173</v>
      </c>
      <c r="E192" s="62" t="n">
        <v>0.085287538509209</v>
      </c>
      <c r="F192" s="41" t="n">
        <f aca="false">03_Tunings!C6</f>
        <v>0.113131446039143</v>
      </c>
      <c r="G192" s="41" t="n">
        <f aca="false">03_Tunings!C13</f>
        <v>0.0489816586430991</v>
      </c>
    </row>
    <row r="193" customFormat="false" ht="15" hidden="false" customHeight="false" outlineLevel="0" collapsed="false">
      <c r="A193" s="29" t="n">
        <v>9.4</v>
      </c>
      <c r="B193" s="62" t="n">
        <v>0.113432324621855</v>
      </c>
      <c r="C193" s="29" t="n">
        <v>416.160866892813</v>
      </c>
      <c r="D193" s="29" t="n">
        <v>19.3185448167434</v>
      </c>
      <c r="E193" s="62" t="n">
        <v>0.085287538509209</v>
      </c>
      <c r="F193" s="41" t="n">
        <f aca="false">03_Tunings!C6</f>
        <v>0.113131446039143</v>
      </c>
      <c r="G193" s="41" t="n">
        <f aca="false">03_Tunings!C13</f>
        <v>0.0489816586430991</v>
      </c>
    </row>
    <row r="194" customFormat="false" ht="15" hidden="false" customHeight="false" outlineLevel="0" collapsed="false">
      <c r="A194" s="29" t="n">
        <v>9.45</v>
      </c>
      <c r="B194" s="62" t="n">
        <v>0.119541503905501</v>
      </c>
      <c r="C194" s="29" t="n">
        <v>401.310792223127</v>
      </c>
      <c r="D194" s="29" t="n">
        <v>18.7388850447696</v>
      </c>
      <c r="E194" s="62" t="n">
        <v>0.085287538509209</v>
      </c>
      <c r="F194" s="41" t="n">
        <f aca="false">03_Tunings!C6</f>
        <v>0.113131446039143</v>
      </c>
      <c r="G194" s="41" t="n">
        <f aca="false">03_Tunings!C13</f>
        <v>0.0489816586430991</v>
      </c>
    </row>
    <row r="195" customFormat="false" ht="15" hidden="false" customHeight="false" outlineLevel="0" collapsed="false">
      <c r="A195" s="29" t="n">
        <v>9.5</v>
      </c>
      <c r="B195" s="62" t="n">
        <v>0.125650683189146</v>
      </c>
      <c r="C195" s="29" t="n">
        <v>386.460717553441</v>
      </c>
      <c r="D195" s="29" t="n">
        <v>18.1592252727958</v>
      </c>
      <c r="E195" s="62" t="n">
        <v>0.085287538509209</v>
      </c>
      <c r="F195" s="41" t="n">
        <f aca="false">03_Tunings!C6</f>
        <v>0.113131446039143</v>
      </c>
      <c r="G195" s="41" t="n">
        <f aca="false">03_Tunings!C13</f>
        <v>0.0489816586430991</v>
      </c>
    </row>
    <row r="196" customFormat="false" ht="15" hidden="false" customHeight="false" outlineLevel="0" collapsed="false">
      <c r="A196" s="29" t="n">
        <v>9.55</v>
      </c>
      <c r="B196" s="62" t="n">
        <v>0.125650683189146</v>
      </c>
      <c r="C196" s="29" t="n">
        <v>386.460717553441</v>
      </c>
      <c r="D196" s="29" t="n">
        <v>18.1592252727958</v>
      </c>
      <c r="E196" s="62" t="n">
        <v>0.085287538509209</v>
      </c>
      <c r="F196" s="41" t="n">
        <f aca="false">03_Tunings!C6</f>
        <v>0.113131446039143</v>
      </c>
      <c r="G196" s="41" t="n">
        <f aca="false">03_Tunings!C13</f>
        <v>0.0489816586430991</v>
      </c>
    </row>
    <row r="197" customFormat="false" ht="15" hidden="false" customHeight="false" outlineLevel="0" collapsed="false">
      <c r="A197" s="29" t="n">
        <v>9.6</v>
      </c>
      <c r="B197" s="62" t="n">
        <v>0.125650683189146</v>
      </c>
      <c r="C197" s="29" t="n">
        <v>386.460717553441</v>
      </c>
      <c r="D197" s="29" t="n">
        <v>18.1592252727958</v>
      </c>
      <c r="E197" s="62" t="n">
        <v>0.085287538509209</v>
      </c>
      <c r="F197" s="41" t="n">
        <f aca="false">03_Tunings!C6</f>
        <v>0.113131446039143</v>
      </c>
      <c r="G197" s="41" t="n">
        <f aca="false">03_Tunings!C13</f>
        <v>0.0489816586430991</v>
      </c>
    </row>
    <row r="198" customFormat="false" ht="15" hidden="false" customHeight="false" outlineLevel="0" collapsed="false">
      <c r="A198" s="29" t="n">
        <v>9.65</v>
      </c>
      <c r="B198" s="62" t="n">
        <v>0.125650683189146</v>
      </c>
      <c r="C198" s="29" t="n">
        <v>386.460717553441</v>
      </c>
      <c r="D198" s="29" t="n">
        <v>18.1592252727958</v>
      </c>
      <c r="E198" s="62" t="n">
        <v>0.085287538509209</v>
      </c>
      <c r="F198" s="41" t="n">
        <f aca="false">03_Tunings!C6</f>
        <v>0.113131446039143</v>
      </c>
      <c r="G198" s="41" t="n">
        <f aca="false">03_Tunings!C13</f>
        <v>0.0489816586430991</v>
      </c>
    </row>
    <row r="199" customFormat="false" ht="15" hidden="false" customHeight="false" outlineLevel="0" collapsed="false">
      <c r="A199" s="29" t="n">
        <v>9.7</v>
      </c>
      <c r="B199" s="62" t="n">
        <v>0.125650683189146</v>
      </c>
      <c r="C199" s="29" t="n">
        <v>386.460717553441</v>
      </c>
      <c r="D199" s="29" t="n">
        <v>18.1592252727958</v>
      </c>
      <c r="E199" s="62" t="n">
        <v>0.085287538509209</v>
      </c>
      <c r="F199" s="41" t="n">
        <f aca="false">03_Tunings!C6</f>
        <v>0.113131446039143</v>
      </c>
      <c r="G199" s="41" t="n">
        <f aca="false">03_Tunings!C13</f>
        <v>0.0489816586430991</v>
      </c>
    </row>
    <row r="200" customFormat="false" ht="15" hidden="false" customHeight="false" outlineLevel="0" collapsed="false">
      <c r="A200" s="29" t="n">
        <v>9.75</v>
      </c>
      <c r="B200" s="62" t="n">
        <v>0.125650683189146</v>
      </c>
      <c r="C200" s="29" t="n">
        <v>386.460717553441</v>
      </c>
      <c r="D200" s="29" t="n">
        <v>18.1592252727958</v>
      </c>
      <c r="E200" s="62" t="n">
        <v>0.085287538509209</v>
      </c>
      <c r="F200" s="41" t="n">
        <f aca="false">03_Tunings!C6</f>
        <v>0.113131446039143</v>
      </c>
      <c r="G200" s="41" t="n">
        <f aca="false">03_Tunings!C13</f>
        <v>0.0489816586430991</v>
      </c>
    </row>
    <row r="201" customFormat="false" ht="15" hidden="false" customHeight="false" outlineLevel="0" collapsed="false">
      <c r="A201" s="29" t="n">
        <v>9.8</v>
      </c>
      <c r="B201" s="62" t="n">
        <v>0.125650683189146</v>
      </c>
      <c r="C201" s="29" t="n">
        <v>386.460717553441</v>
      </c>
      <c r="D201" s="29" t="n">
        <v>18.1592252727958</v>
      </c>
      <c r="E201" s="62" t="n">
        <v>0.085287538509209</v>
      </c>
      <c r="F201" s="41" t="n">
        <f aca="false">03_Tunings!C6</f>
        <v>0.113131446039143</v>
      </c>
      <c r="G201" s="41" t="n">
        <f aca="false">03_Tunings!C13</f>
        <v>0.0489816586430991</v>
      </c>
    </row>
    <row r="202" customFormat="false" ht="15" hidden="false" customHeight="false" outlineLevel="0" collapsed="false">
      <c r="A202" s="29" t="n">
        <v>9.85</v>
      </c>
      <c r="B202" s="62" t="n">
        <v>0.125650683189146</v>
      </c>
      <c r="C202" s="29" t="n">
        <v>386.460717553441</v>
      </c>
      <c r="D202" s="29" t="n">
        <v>18.1592252727958</v>
      </c>
      <c r="E202" s="62" t="n">
        <v>0.085287538509209</v>
      </c>
      <c r="F202" s="41" t="n">
        <f aca="false">03_Tunings!C6</f>
        <v>0.113131446039143</v>
      </c>
      <c r="G202" s="41" t="n">
        <f aca="false">03_Tunings!C13</f>
        <v>0.0489816586430991</v>
      </c>
    </row>
    <row r="203" customFormat="false" ht="15" hidden="false" customHeight="false" outlineLevel="0" collapsed="false">
      <c r="A203" s="29" t="n">
        <v>9.9</v>
      </c>
      <c r="B203" s="62" t="n">
        <v>0.125650683189146</v>
      </c>
      <c r="C203" s="29" t="n">
        <v>386.460717553441</v>
      </c>
      <c r="D203" s="29" t="n">
        <v>18.1592252727958</v>
      </c>
      <c r="E203" s="62" t="n">
        <v>0.085287538509209</v>
      </c>
      <c r="F203" s="41" t="n">
        <f aca="false">03_Tunings!C6</f>
        <v>0.113131446039143</v>
      </c>
      <c r="G203" s="41" t="n">
        <f aca="false">03_Tunings!C13</f>
        <v>0.0489816586430991</v>
      </c>
    </row>
    <row r="204" customFormat="false" ht="15" hidden="false" customHeight="false" outlineLevel="0" collapsed="false">
      <c r="A204" s="29" t="n">
        <v>9.95</v>
      </c>
      <c r="B204" s="62" t="n">
        <v>0.125650683189146</v>
      </c>
      <c r="C204" s="29" t="n">
        <v>386.460717553441</v>
      </c>
      <c r="D204" s="29" t="n">
        <v>18.1592252727958</v>
      </c>
      <c r="E204" s="62" t="n">
        <v>0.085287538509209</v>
      </c>
      <c r="F204" s="41" t="n">
        <f aca="false">03_Tunings!C6</f>
        <v>0.113131446039143</v>
      </c>
      <c r="G204" s="41" t="n">
        <f aca="false">03_Tunings!C13</f>
        <v>0.0489816586430991</v>
      </c>
    </row>
    <row r="205" customFormat="false" ht="15" hidden="false" customHeight="false" outlineLevel="0" collapsed="false">
      <c r="A205" s="29" t="n">
        <v>10</v>
      </c>
      <c r="B205" s="62" t="n">
        <v>0.125650683189146</v>
      </c>
      <c r="C205" s="29" t="n">
        <v>386.460717553441</v>
      </c>
      <c r="D205" s="29" t="n">
        <v>18.1592252727958</v>
      </c>
      <c r="E205" s="62" t="n">
        <v>0.085287538509209</v>
      </c>
      <c r="F205" s="41" t="n">
        <f aca="false">03_Tunings!C6</f>
        <v>0.113131446039143</v>
      </c>
      <c r="G205" s="41" t="n">
        <f aca="false">03_Tunings!C13</f>
        <v>0.0489816586430991</v>
      </c>
    </row>
    <row r="206" customFormat="false" ht="15" hidden="false" customHeight="false" outlineLevel="0" collapsed="false">
      <c r="A206" s="29" t="n">
        <v>10.05</v>
      </c>
      <c r="B206" s="62" t="n">
        <v>0.125650683189146</v>
      </c>
      <c r="C206" s="29" t="n">
        <v>386.460717553441</v>
      </c>
      <c r="D206" s="29" t="n">
        <v>18.1592252727958</v>
      </c>
      <c r="E206" s="62" t="n">
        <v>0.085287538509209</v>
      </c>
      <c r="F206" s="41" t="n">
        <f aca="false">03_Tunings!C6</f>
        <v>0.113131446039143</v>
      </c>
      <c r="G206" s="41" t="n">
        <f aca="false">03_Tunings!C13</f>
        <v>0.0489816586430991</v>
      </c>
    </row>
    <row r="207" customFormat="false" ht="15" hidden="false" customHeight="false" outlineLevel="0" collapsed="false">
      <c r="A207" s="29" t="n">
        <v>10.1</v>
      </c>
      <c r="B207" s="62" t="n">
        <v>0.125650683189146</v>
      </c>
      <c r="C207" s="29" t="n">
        <v>386.460717553441</v>
      </c>
      <c r="D207" s="29" t="n">
        <v>18.1592252727958</v>
      </c>
      <c r="E207" s="62" t="n">
        <v>0.085287538509209</v>
      </c>
      <c r="F207" s="41" t="n">
        <f aca="false">03_Tunings!C6</f>
        <v>0.113131446039143</v>
      </c>
      <c r="G207" s="41" t="n">
        <f aca="false">03_Tunings!C13</f>
        <v>0.0489816586430991</v>
      </c>
    </row>
    <row r="208" customFormat="false" ht="15" hidden="false" customHeight="false" outlineLevel="0" collapsed="false">
      <c r="A208" s="29" t="n">
        <v>10.15</v>
      </c>
      <c r="B208" s="62" t="n">
        <v>0.125650683189146</v>
      </c>
      <c r="C208" s="29" t="n">
        <v>386.460717553441</v>
      </c>
      <c r="D208" s="29" t="n">
        <v>18.1592252727958</v>
      </c>
      <c r="E208" s="62" t="n">
        <v>0.085287538509209</v>
      </c>
      <c r="F208" s="41" t="n">
        <f aca="false">03_Tunings!C6</f>
        <v>0.113131446039143</v>
      </c>
      <c r="G208" s="41" t="n">
        <f aca="false">03_Tunings!C13</f>
        <v>0.0489816586430991</v>
      </c>
    </row>
    <row r="209" customFormat="false" ht="15" hidden="false" customHeight="false" outlineLevel="0" collapsed="false">
      <c r="A209" s="29" t="n">
        <v>10.2</v>
      </c>
      <c r="B209" s="62" t="n">
        <v>0.125650683189146</v>
      </c>
      <c r="C209" s="29" t="n">
        <v>386.460717553441</v>
      </c>
      <c r="D209" s="29" t="n">
        <v>18.1592252727958</v>
      </c>
      <c r="E209" s="62" t="n">
        <v>0.085287538509209</v>
      </c>
      <c r="F209" s="41" t="n">
        <f aca="false">03_Tunings!C6</f>
        <v>0.113131446039143</v>
      </c>
      <c r="G209" s="41" t="n">
        <f aca="false">03_Tunings!C13</f>
        <v>0.0489816586430991</v>
      </c>
    </row>
    <row r="210" customFormat="false" ht="15" hidden="false" customHeight="false" outlineLevel="0" collapsed="false">
      <c r="A210" s="29" t="n">
        <v>10.25</v>
      </c>
      <c r="B210" s="62" t="n">
        <v>0.125650683189146</v>
      </c>
      <c r="C210" s="29" t="n">
        <v>386.460717553441</v>
      </c>
      <c r="D210" s="29" t="n">
        <v>18.1592252727958</v>
      </c>
      <c r="E210" s="62" t="n">
        <v>0.085287538509209</v>
      </c>
      <c r="F210" s="41" t="n">
        <f aca="false">03_Tunings!C6</f>
        <v>0.113131446039143</v>
      </c>
      <c r="G210" s="41" t="n">
        <f aca="false">03_Tunings!C13</f>
        <v>0.0489816586430991</v>
      </c>
    </row>
    <row r="211" customFormat="false" ht="15" hidden="false" customHeight="false" outlineLevel="0" collapsed="false">
      <c r="A211" s="29" t="n">
        <v>10.3</v>
      </c>
      <c r="B211" s="62" t="n">
        <v>0.125650683189146</v>
      </c>
      <c r="C211" s="29" t="n">
        <v>386.460717553441</v>
      </c>
      <c r="D211" s="29" t="n">
        <v>18.1592252727958</v>
      </c>
      <c r="E211" s="62" t="n">
        <v>0.085287538509209</v>
      </c>
      <c r="F211" s="41" t="n">
        <f aca="false">03_Tunings!C6</f>
        <v>0.113131446039143</v>
      </c>
      <c r="G211" s="41" t="n">
        <f aca="false">03_Tunings!C13</f>
        <v>0.0489816586430991</v>
      </c>
    </row>
    <row r="212" customFormat="false" ht="15" hidden="false" customHeight="false" outlineLevel="0" collapsed="false">
      <c r="A212" s="29" t="n">
        <v>10.35</v>
      </c>
      <c r="B212" s="62" t="n">
        <v>0.125650683189146</v>
      </c>
      <c r="C212" s="29" t="n">
        <v>386.460717553441</v>
      </c>
      <c r="D212" s="29" t="n">
        <v>18.1592252727958</v>
      </c>
      <c r="E212" s="62" t="n">
        <v>0.085287538509209</v>
      </c>
      <c r="F212" s="41" t="n">
        <f aca="false">03_Tunings!C6</f>
        <v>0.113131446039143</v>
      </c>
      <c r="G212" s="41" t="n">
        <f aca="false">03_Tunings!C13</f>
        <v>0.0489816586430991</v>
      </c>
    </row>
    <row r="213" customFormat="false" ht="15" hidden="false" customHeight="false" outlineLevel="0" collapsed="false">
      <c r="A213" s="29" t="n">
        <v>10.4</v>
      </c>
      <c r="B213" s="62" t="n">
        <v>0.125650683189146</v>
      </c>
      <c r="C213" s="29" t="n">
        <v>386.460717553441</v>
      </c>
      <c r="D213" s="29" t="n">
        <v>18.1592252727958</v>
      </c>
      <c r="E213" s="62" t="n">
        <v>0.085287538509209</v>
      </c>
      <c r="F213" s="41" t="n">
        <f aca="false">03_Tunings!C6</f>
        <v>0.113131446039143</v>
      </c>
      <c r="G213" s="41" t="n">
        <f aca="false">03_Tunings!C13</f>
        <v>0.0489816586430991</v>
      </c>
    </row>
    <row r="214" customFormat="false" ht="15" hidden="false" customHeight="false" outlineLevel="0" collapsed="false">
      <c r="A214" s="29" t="n">
        <v>10.45</v>
      </c>
      <c r="B214" s="62" t="n">
        <v>0.125650683189146</v>
      </c>
      <c r="C214" s="29" t="n">
        <v>386.460717553441</v>
      </c>
      <c r="D214" s="29" t="n">
        <v>18.1592252727958</v>
      </c>
      <c r="E214" s="62" t="n">
        <v>0.085287538509209</v>
      </c>
      <c r="F214" s="41" t="n">
        <f aca="false">03_Tunings!C6</f>
        <v>0.113131446039143</v>
      </c>
      <c r="G214" s="41" t="n">
        <f aca="false">03_Tunings!C13</f>
        <v>0.0489816586430991</v>
      </c>
    </row>
    <row r="215" customFormat="false" ht="15" hidden="false" customHeight="false" outlineLevel="0" collapsed="false">
      <c r="A215" s="29" t="n">
        <v>10.5</v>
      </c>
      <c r="B215" s="62" t="n">
        <v>0.125650683189146</v>
      </c>
      <c r="C215" s="29" t="n">
        <v>386.460717553441</v>
      </c>
      <c r="D215" s="29" t="n">
        <v>18.1592252727958</v>
      </c>
      <c r="E215" s="62" t="n">
        <v>0.085287538509209</v>
      </c>
      <c r="F215" s="41" t="n">
        <f aca="false">03_Tunings!C6</f>
        <v>0.113131446039143</v>
      </c>
      <c r="G215" s="41" t="n">
        <f aca="false">03_Tunings!C13</f>
        <v>0.0489816586430991</v>
      </c>
    </row>
    <row r="216" customFormat="false" ht="15" hidden="false" customHeight="false" outlineLevel="0" collapsed="false">
      <c r="A216" s="29" t="n">
        <v>10.55</v>
      </c>
      <c r="B216" s="62" t="n">
        <v>0.125650683189146</v>
      </c>
      <c r="C216" s="29" t="n">
        <v>386.460717553441</v>
      </c>
      <c r="D216" s="29" t="n">
        <v>18.1592252727958</v>
      </c>
      <c r="E216" s="62" t="n">
        <v>0.085287538509209</v>
      </c>
      <c r="F216" s="41" t="n">
        <f aca="false">03_Tunings!C6</f>
        <v>0.113131446039143</v>
      </c>
      <c r="G216" s="41" t="n">
        <f aca="false">03_Tunings!C13</f>
        <v>0.0489816586430991</v>
      </c>
    </row>
    <row r="217" customFormat="false" ht="15" hidden="false" customHeight="false" outlineLevel="0" collapsed="false">
      <c r="A217" s="29" t="n">
        <v>10.6</v>
      </c>
      <c r="B217" s="62" t="n">
        <v>0.125650683189146</v>
      </c>
      <c r="C217" s="29" t="n">
        <v>386.460717553441</v>
      </c>
      <c r="D217" s="29" t="n">
        <v>18.1592252727958</v>
      </c>
      <c r="E217" s="62" t="n">
        <v>0.085287538509209</v>
      </c>
      <c r="F217" s="41" t="n">
        <f aca="false">03_Tunings!C6</f>
        <v>0.113131446039143</v>
      </c>
      <c r="G217" s="41" t="n">
        <f aca="false">03_Tunings!C13</f>
        <v>0.0489816586430991</v>
      </c>
    </row>
    <row r="218" customFormat="false" ht="15" hidden="false" customHeight="false" outlineLevel="0" collapsed="false">
      <c r="A218" s="29" t="n">
        <v>10.65</v>
      </c>
      <c r="B218" s="62" t="n">
        <v>0.125650683189146</v>
      </c>
      <c r="C218" s="29" t="n">
        <v>386.460717553441</v>
      </c>
      <c r="D218" s="29" t="n">
        <v>18.1592252727958</v>
      </c>
      <c r="E218" s="62" t="n">
        <v>0.085287538509209</v>
      </c>
      <c r="F218" s="41" t="n">
        <f aca="false">03_Tunings!C6</f>
        <v>0.113131446039143</v>
      </c>
      <c r="G218" s="41" t="n">
        <f aca="false">03_Tunings!C13</f>
        <v>0.0489816586430991</v>
      </c>
    </row>
    <row r="219" customFormat="false" ht="15" hidden="false" customHeight="false" outlineLevel="0" collapsed="false">
      <c r="A219" s="29" t="n">
        <v>10.7</v>
      </c>
      <c r="B219" s="62" t="n">
        <v>0.125650683189146</v>
      </c>
      <c r="C219" s="29" t="n">
        <v>386.460717553441</v>
      </c>
      <c r="D219" s="29" t="n">
        <v>18.1592252727958</v>
      </c>
      <c r="E219" s="62" t="n">
        <v>0.085287538509209</v>
      </c>
      <c r="F219" s="41" t="n">
        <f aca="false">03_Tunings!C6</f>
        <v>0.113131446039143</v>
      </c>
      <c r="G219" s="41" t="n">
        <f aca="false">03_Tunings!C13</f>
        <v>0.0489816586430991</v>
      </c>
    </row>
    <row r="220" customFormat="false" ht="15" hidden="false" customHeight="false" outlineLevel="0" collapsed="false">
      <c r="A220" s="29" t="n">
        <v>10.75</v>
      </c>
      <c r="B220" s="62" t="n">
        <v>0.125650683189146</v>
      </c>
      <c r="C220" s="29" t="n">
        <v>386.460717553441</v>
      </c>
      <c r="D220" s="29" t="n">
        <v>18.1592252727958</v>
      </c>
      <c r="E220" s="62" t="n">
        <v>0.085287538509209</v>
      </c>
      <c r="F220" s="41" t="n">
        <f aca="false">03_Tunings!C6</f>
        <v>0.113131446039143</v>
      </c>
      <c r="G220" s="41" t="n">
        <f aca="false">03_Tunings!C13</f>
        <v>0.0489816586430991</v>
      </c>
    </row>
    <row r="221" customFormat="false" ht="15" hidden="false" customHeight="false" outlineLevel="0" collapsed="false">
      <c r="A221" s="29" t="n">
        <v>10.8</v>
      </c>
      <c r="B221" s="62" t="n">
        <v>0.125650683189146</v>
      </c>
      <c r="C221" s="29" t="n">
        <v>386.460717553441</v>
      </c>
      <c r="D221" s="29" t="n">
        <v>18.1592252727958</v>
      </c>
      <c r="E221" s="62" t="n">
        <v>0.085287538509209</v>
      </c>
      <c r="F221" s="41" t="n">
        <f aca="false">03_Tunings!C6</f>
        <v>0.113131446039143</v>
      </c>
      <c r="G221" s="41" t="n">
        <f aca="false">03_Tunings!C13</f>
        <v>0.0489816586430991</v>
      </c>
    </row>
    <row r="222" customFormat="false" ht="15" hidden="false" customHeight="false" outlineLevel="0" collapsed="false">
      <c r="A222" s="29" t="n">
        <v>10.85</v>
      </c>
      <c r="B222" s="62" t="n">
        <v>0.125650683189146</v>
      </c>
      <c r="C222" s="29" t="n">
        <v>386.460717553441</v>
      </c>
      <c r="D222" s="29" t="n">
        <v>18.1592252727958</v>
      </c>
      <c r="E222" s="62" t="n">
        <v>0.085287538509209</v>
      </c>
      <c r="F222" s="41" t="n">
        <f aca="false">03_Tunings!C6</f>
        <v>0.113131446039143</v>
      </c>
      <c r="G222" s="41" t="n">
        <f aca="false">03_Tunings!C13</f>
        <v>0.0489816586430991</v>
      </c>
    </row>
    <row r="223" customFormat="false" ht="15" hidden="false" customHeight="false" outlineLevel="0" collapsed="false">
      <c r="A223" s="29" t="n">
        <v>10.9</v>
      </c>
      <c r="B223" s="62" t="n">
        <v>0.125650683189146</v>
      </c>
      <c r="C223" s="29" t="n">
        <v>386.460717553441</v>
      </c>
      <c r="D223" s="29" t="n">
        <v>18.1592252727958</v>
      </c>
      <c r="E223" s="62" t="n">
        <v>0.085287538509209</v>
      </c>
      <c r="F223" s="41" t="n">
        <f aca="false">03_Tunings!C6</f>
        <v>0.113131446039143</v>
      </c>
      <c r="G223" s="41" t="n">
        <f aca="false">03_Tunings!C13</f>
        <v>0.0489816586430991</v>
      </c>
    </row>
    <row r="224" customFormat="false" ht="15" hidden="false" customHeight="false" outlineLevel="0" collapsed="false">
      <c r="A224" s="29" t="n">
        <v>10.95</v>
      </c>
      <c r="B224" s="62" t="n">
        <v>0.125650683189146</v>
      </c>
      <c r="C224" s="29" t="n">
        <v>386.460717553441</v>
      </c>
      <c r="D224" s="29" t="n">
        <v>18.1592252727958</v>
      </c>
      <c r="E224" s="62" t="n">
        <v>0.085287538509209</v>
      </c>
      <c r="F224" s="41" t="n">
        <f aca="false">03_Tunings!C6</f>
        <v>0.113131446039143</v>
      </c>
      <c r="G224" s="41" t="n">
        <f aca="false">03_Tunings!C13</f>
        <v>0.0489816586430991</v>
      </c>
    </row>
    <row r="225" customFormat="false" ht="15" hidden="false" customHeight="false" outlineLevel="0" collapsed="false">
      <c r="A225" s="29" t="n">
        <v>11</v>
      </c>
      <c r="B225" s="62" t="n">
        <v>0.125650683189146</v>
      </c>
      <c r="C225" s="29" t="n">
        <v>386.460717553441</v>
      </c>
      <c r="D225" s="29" t="n">
        <v>18.1592252727958</v>
      </c>
      <c r="E225" s="62" t="n">
        <v>0.085287538509209</v>
      </c>
      <c r="F225" s="41" t="n">
        <f aca="false">03_Tunings!C6</f>
        <v>0.113131446039143</v>
      </c>
      <c r="G225" s="41" t="n">
        <f aca="false">03_Tunings!C13</f>
        <v>0.0489816586430991</v>
      </c>
    </row>
    <row r="226" customFormat="false" ht="15" hidden="false" customHeight="false" outlineLevel="0" collapsed="false">
      <c r="A226" s="29" t="n">
        <v>11.05</v>
      </c>
      <c r="B226" s="62" t="n">
        <v>0.125650683189146</v>
      </c>
      <c r="C226" s="29" t="n">
        <v>386.460717553441</v>
      </c>
      <c r="D226" s="29" t="n">
        <v>18.1592252727958</v>
      </c>
      <c r="E226" s="62" t="n">
        <v>0.085287538509209</v>
      </c>
      <c r="F226" s="41" t="n">
        <f aca="false">03_Tunings!C6</f>
        <v>0.113131446039143</v>
      </c>
      <c r="G226" s="41" t="n">
        <f aca="false">03_Tunings!C13</f>
        <v>0.0489816586430991</v>
      </c>
    </row>
    <row r="227" customFormat="false" ht="15" hidden="false" customHeight="false" outlineLevel="0" collapsed="false">
      <c r="A227" s="29" t="n">
        <v>11.1</v>
      </c>
      <c r="B227" s="62" t="n">
        <v>0.125650683189146</v>
      </c>
      <c r="C227" s="29" t="n">
        <v>386.460717553441</v>
      </c>
      <c r="D227" s="29" t="n">
        <v>18.1592252727958</v>
      </c>
      <c r="E227" s="62" t="n">
        <v>0.085287538509209</v>
      </c>
      <c r="F227" s="41" t="n">
        <f aca="false">03_Tunings!C6</f>
        <v>0.113131446039143</v>
      </c>
      <c r="G227" s="41" t="n">
        <f aca="false">03_Tunings!C13</f>
        <v>0.0489816586430991</v>
      </c>
    </row>
    <row r="228" customFormat="false" ht="15" hidden="false" customHeight="false" outlineLevel="0" collapsed="false">
      <c r="A228" s="29" t="n">
        <v>11.15</v>
      </c>
      <c r="B228" s="62" t="n">
        <v>0.125650683189146</v>
      </c>
      <c r="C228" s="29" t="n">
        <v>386.460717553441</v>
      </c>
      <c r="D228" s="29" t="n">
        <v>18.1592252727958</v>
      </c>
      <c r="E228" s="62" t="n">
        <v>0.085287538509209</v>
      </c>
      <c r="F228" s="41" t="n">
        <f aca="false">03_Tunings!C6</f>
        <v>0.113131446039143</v>
      </c>
      <c r="G228" s="41" t="n">
        <f aca="false">03_Tunings!C13</f>
        <v>0.0489816586430991</v>
      </c>
    </row>
    <row r="229" customFormat="false" ht="15" hidden="false" customHeight="false" outlineLevel="0" collapsed="false">
      <c r="A229" s="29" t="n">
        <v>11.2</v>
      </c>
      <c r="B229" s="62" t="n">
        <v>0.125650683189146</v>
      </c>
      <c r="C229" s="29" t="n">
        <v>386.460717553441</v>
      </c>
      <c r="D229" s="29" t="n">
        <v>18.1592252727958</v>
      </c>
      <c r="E229" s="62" t="n">
        <v>0.085287538509209</v>
      </c>
      <c r="F229" s="41" t="n">
        <f aca="false">03_Tunings!C6</f>
        <v>0.113131446039143</v>
      </c>
      <c r="G229" s="41" t="n">
        <f aca="false">03_Tunings!C13</f>
        <v>0.0489816586430991</v>
      </c>
    </row>
    <row r="230" customFormat="false" ht="15" hidden="false" customHeight="false" outlineLevel="0" collapsed="false">
      <c r="A230" s="29" t="n">
        <v>11.25</v>
      </c>
      <c r="B230" s="62" t="n">
        <v>0.125650683189146</v>
      </c>
      <c r="C230" s="29" t="n">
        <v>386.460717553441</v>
      </c>
      <c r="D230" s="29" t="n">
        <v>18.1592252727958</v>
      </c>
      <c r="E230" s="62" t="n">
        <v>0.085287538509209</v>
      </c>
      <c r="F230" s="41" t="n">
        <f aca="false">03_Tunings!C6</f>
        <v>0.113131446039143</v>
      </c>
      <c r="G230" s="41" t="n">
        <f aca="false">03_Tunings!C13</f>
        <v>0.0489816586430991</v>
      </c>
    </row>
    <row r="231" customFormat="false" ht="15" hidden="false" customHeight="false" outlineLevel="0" collapsed="false">
      <c r="A231" s="29" t="n">
        <v>11.3</v>
      </c>
      <c r="B231" s="62" t="n">
        <v>0.125650683189146</v>
      </c>
      <c r="C231" s="29" t="n">
        <v>386.460717553441</v>
      </c>
      <c r="D231" s="29" t="n">
        <v>18.1592252727958</v>
      </c>
      <c r="E231" s="62" t="n">
        <v>0.085287538509209</v>
      </c>
      <c r="F231" s="41" t="n">
        <f aca="false">03_Tunings!C6</f>
        <v>0.113131446039143</v>
      </c>
      <c r="G231" s="41" t="n">
        <f aca="false">03_Tunings!C13</f>
        <v>0.0489816586430991</v>
      </c>
    </row>
    <row r="232" customFormat="false" ht="15" hidden="false" customHeight="false" outlineLevel="0" collapsed="false">
      <c r="A232" s="29" t="n">
        <v>11.35</v>
      </c>
      <c r="B232" s="62" t="n">
        <v>0.125650683189146</v>
      </c>
      <c r="C232" s="29" t="n">
        <v>386.460717553441</v>
      </c>
      <c r="D232" s="29" t="n">
        <v>18.1592252727958</v>
      </c>
      <c r="E232" s="62" t="n">
        <v>0.085287538509209</v>
      </c>
      <c r="F232" s="41" t="n">
        <f aca="false">03_Tunings!C6</f>
        <v>0.113131446039143</v>
      </c>
      <c r="G232" s="41" t="n">
        <f aca="false">03_Tunings!C13</f>
        <v>0.0489816586430991</v>
      </c>
    </row>
    <row r="233" customFormat="false" ht="15" hidden="false" customHeight="false" outlineLevel="0" collapsed="false">
      <c r="A233" s="29" t="n">
        <v>11.4</v>
      </c>
      <c r="B233" s="62" t="n">
        <v>0.125650683189146</v>
      </c>
      <c r="C233" s="29" t="n">
        <v>386.460717553441</v>
      </c>
      <c r="D233" s="29" t="n">
        <v>18.1592252727958</v>
      </c>
      <c r="E233" s="62" t="n">
        <v>0.085287538509209</v>
      </c>
      <c r="F233" s="41" t="n">
        <f aca="false">03_Tunings!C6</f>
        <v>0.113131446039143</v>
      </c>
      <c r="G233" s="41" t="n">
        <f aca="false">03_Tunings!C13</f>
        <v>0.0489816586430991</v>
      </c>
    </row>
    <row r="234" customFormat="false" ht="15" hidden="false" customHeight="false" outlineLevel="0" collapsed="false">
      <c r="A234" s="29" t="n">
        <v>11.45</v>
      </c>
      <c r="B234" s="62" t="n">
        <v>0.125650683189146</v>
      </c>
      <c r="C234" s="29" t="n">
        <v>386.460717553441</v>
      </c>
      <c r="D234" s="29" t="n">
        <v>18.1592252727958</v>
      </c>
      <c r="E234" s="62" t="n">
        <v>0.085287538509209</v>
      </c>
      <c r="F234" s="41" t="n">
        <f aca="false">03_Tunings!C6</f>
        <v>0.113131446039143</v>
      </c>
      <c r="G234" s="41" t="n">
        <f aca="false">03_Tunings!C13</f>
        <v>0.0489816586430991</v>
      </c>
    </row>
    <row r="235" customFormat="false" ht="15" hidden="false" customHeight="false" outlineLevel="0" collapsed="false">
      <c r="A235" s="29" t="n">
        <v>11.5</v>
      </c>
      <c r="B235" s="62" t="n">
        <v>0.125650683189146</v>
      </c>
      <c r="C235" s="29" t="n">
        <v>386.460717553441</v>
      </c>
      <c r="D235" s="29" t="n">
        <v>18.1592252727958</v>
      </c>
      <c r="E235" s="62" t="n">
        <v>0.085287538509209</v>
      </c>
      <c r="F235" s="41" t="n">
        <f aca="false">03_Tunings!C6</f>
        <v>0.113131446039143</v>
      </c>
      <c r="G235" s="41" t="n">
        <f aca="false">03_Tunings!C13</f>
        <v>0.0489816586430991</v>
      </c>
    </row>
    <row r="236" customFormat="false" ht="15" hidden="false" customHeight="false" outlineLevel="0" collapsed="false">
      <c r="A236" s="29" t="n">
        <v>11.55</v>
      </c>
      <c r="B236" s="62" t="n">
        <v>0.125650683189146</v>
      </c>
      <c r="C236" s="29" t="n">
        <v>386.460717553441</v>
      </c>
      <c r="D236" s="29" t="n">
        <v>18.1592252727958</v>
      </c>
      <c r="E236" s="62" t="n">
        <v>0.085287538509209</v>
      </c>
      <c r="F236" s="41" t="n">
        <f aca="false">03_Tunings!C6</f>
        <v>0.113131446039143</v>
      </c>
      <c r="G236" s="41" t="n">
        <f aca="false">03_Tunings!C13</f>
        <v>0.0489816586430991</v>
      </c>
    </row>
    <row r="237" customFormat="false" ht="15" hidden="false" customHeight="false" outlineLevel="0" collapsed="false">
      <c r="A237" s="29" t="n">
        <v>11.6</v>
      </c>
      <c r="B237" s="62" t="n">
        <v>0.125650683189146</v>
      </c>
      <c r="C237" s="29" t="n">
        <v>386.460717553441</v>
      </c>
      <c r="D237" s="29" t="n">
        <v>18.1592252727958</v>
      </c>
      <c r="E237" s="62" t="n">
        <v>0.085287538509209</v>
      </c>
      <c r="F237" s="41" t="n">
        <f aca="false">03_Tunings!C6</f>
        <v>0.113131446039143</v>
      </c>
      <c r="G237" s="41" t="n">
        <f aca="false">03_Tunings!C13</f>
        <v>0.0489816586430991</v>
      </c>
    </row>
    <row r="238" customFormat="false" ht="15" hidden="false" customHeight="false" outlineLevel="0" collapsed="false">
      <c r="A238" s="29" t="n">
        <v>11.65</v>
      </c>
      <c r="B238" s="62" t="n">
        <v>0.125650683189146</v>
      </c>
      <c r="C238" s="29" t="n">
        <v>386.460717553441</v>
      </c>
      <c r="D238" s="29" t="n">
        <v>18.1592252727958</v>
      </c>
      <c r="E238" s="62" t="n">
        <v>0.085287538509209</v>
      </c>
      <c r="F238" s="41" t="n">
        <f aca="false">03_Tunings!C6</f>
        <v>0.113131446039143</v>
      </c>
      <c r="G238" s="41" t="n">
        <f aca="false">03_Tunings!C13</f>
        <v>0.0489816586430991</v>
      </c>
    </row>
    <row r="239" customFormat="false" ht="15" hidden="false" customHeight="false" outlineLevel="0" collapsed="false">
      <c r="A239" s="29" t="n">
        <v>11.7</v>
      </c>
      <c r="B239" s="62" t="n">
        <v>0.125650683189146</v>
      </c>
      <c r="C239" s="29" t="n">
        <v>386.460717553441</v>
      </c>
      <c r="D239" s="29" t="n">
        <v>18.1592252727958</v>
      </c>
      <c r="E239" s="62" t="n">
        <v>0.085287538509209</v>
      </c>
      <c r="F239" s="41" t="n">
        <f aca="false">03_Tunings!C6</f>
        <v>0.113131446039143</v>
      </c>
      <c r="G239" s="41" t="n">
        <f aca="false">03_Tunings!C13</f>
        <v>0.0489816586430991</v>
      </c>
    </row>
    <row r="240" customFormat="false" ht="15" hidden="false" customHeight="false" outlineLevel="0" collapsed="false">
      <c r="A240" s="29" t="n">
        <v>11.75</v>
      </c>
      <c r="B240" s="62" t="n">
        <v>0.125650683189146</v>
      </c>
      <c r="C240" s="29" t="n">
        <v>386.460717553441</v>
      </c>
      <c r="D240" s="29" t="n">
        <v>18.1592252727958</v>
      </c>
      <c r="E240" s="62" t="n">
        <v>0.085287538509209</v>
      </c>
      <c r="F240" s="41" t="n">
        <f aca="false">03_Tunings!C6</f>
        <v>0.113131446039143</v>
      </c>
      <c r="G240" s="41" t="n">
        <f aca="false">03_Tunings!C13</f>
        <v>0.0489816586430991</v>
      </c>
    </row>
    <row r="241" customFormat="false" ht="15" hidden="false" customHeight="false" outlineLevel="0" collapsed="false">
      <c r="A241" s="29" t="n">
        <v>11.8</v>
      </c>
      <c r="B241" s="62" t="n">
        <v>0.125650683189146</v>
      </c>
      <c r="C241" s="29" t="n">
        <v>386.460717553441</v>
      </c>
      <c r="D241" s="29" t="n">
        <v>18.1592252727958</v>
      </c>
      <c r="E241" s="62" t="n">
        <v>0.085287538509209</v>
      </c>
      <c r="F241" s="41" t="n">
        <f aca="false">03_Tunings!C6</f>
        <v>0.113131446039143</v>
      </c>
      <c r="G241" s="41" t="n">
        <f aca="false">03_Tunings!C13</f>
        <v>0.0489816586430991</v>
      </c>
    </row>
    <row r="242" customFormat="false" ht="15" hidden="false" customHeight="false" outlineLevel="0" collapsed="false">
      <c r="A242" s="29" t="n">
        <v>11.85</v>
      </c>
      <c r="B242" s="62" t="n">
        <v>0.125650683189146</v>
      </c>
      <c r="C242" s="29" t="n">
        <v>386.460717553441</v>
      </c>
      <c r="D242" s="29" t="n">
        <v>18.1592252727958</v>
      </c>
      <c r="E242" s="62" t="n">
        <v>0.085287538509209</v>
      </c>
      <c r="F242" s="41" t="n">
        <f aca="false">03_Tunings!C6</f>
        <v>0.113131446039143</v>
      </c>
      <c r="G242" s="41" t="n">
        <f aca="false">03_Tunings!C13</f>
        <v>0.0489816586430991</v>
      </c>
    </row>
    <row r="243" customFormat="false" ht="15" hidden="false" customHeight="false" outlineLevel="0" collapsed="false">
      <c r="A243" s="29" t="n">
        <v>11.9</v>
      </c>
      <c r="B243" s="62" t="n">
        <v>0.125650683189146</v>
      </c>
      <c r="C243" s="29" t="n">
        <v>386.460717553441</v>
      </c>
      <c r="D243" s="29" t="n">
        <v>18.1592252727958</v>
      </c>
      <c r="E243" s="62" t="n">
        <v>0.085287538509209</v>
      </c>
      <c r="F243" s="41" t="n">
        <f aca="false">03_Tunings!C6</f>
        <v>0.113131446039143</v>
      </c>
      <c r="G243" s="41" t="n">
        <f aca="false">03_Tunings!C13</f>
        <v>0.0489816586430991</v>
      </c>
    </row>
    <row r="244" customFormat="false" ht="15" hidden="false" customHeight="false" outlineLevel="0" collapsed="false">
      <c r="A244" s="29" t="n">
        <v>11.95</v>
      </c>
      <c r="B244" s="62" t="n">
        <v>0.125650683189146</v>
      </c>
      <c r="C244" s="29" t="n">
        <v>386.460717553441</v>
      </c>
      <c r="D244" s="29" t="n">
        <v>18.1592252727958</v>
      </c>
      <c r="E244" s="62" t="n">
        <v>0.085287538509209</v>
      </c>
      <c r="F244" s="41" t="n">
        <f aca="false">03_Tunings!C6</f>
        <v>0.113131446039143</v>
      </c>
      <c r="G244" s="41" t="n">
        <f aca="false">03_Tunings!C13</f>
        <v>0.0489816586430991</v>
      </c>
    </row>
    <row r="245" customFormat="false" ht="15" hidden="false" customHeight="false" outlineLevel="0" collapsed="false">
      <c r="A245" s="29" t="n">
        <v>12</v>
      </c>
      <c r="B245" s="62" t="n">
        <v>0.125650683189146</v>
      </c>
      <c r="C245" s="29" t="n">
        <v>386.460717553441</v>
      </c>
      <c r="D245" s="29" t="n">
        <v>18.1592252727958</v>
      </c>
      <c r="E245" s="62" t="n">
        <v>0.085287538509209</v>
      </c>
      <c r="F245" s="41" t="n">
        <f aca="false">03_Tunings!C6</f>
        <v>0.113131446039143</v>
      </c>
      <c r="G245" s="41" t="n">
        <f aca="false">03_Tunings!C13</f>
        <v>0.0489816586430991</v>
      </c>
    </row>
    <row r="246" customFormat="false" ht="15" hidden="false" customHeight="false" outlineLevel="0" collapsed="false">
      <c r="A246" s="29" t="n">
        <v>12.05</v>
      </c>
      <c r="B246" s="62" t="n">
        <v>0.125650683189146</v>
      </c>
      <c r="C246" s="29" t="n">
        <v>386.460717553441</v>
      </c>
      <c r="D246" s="29" t="n">
        <v>18.1592252727958</v>
      </c>
      <c r="E246" s="62" t="n">
        <v>0.085287538509209</v>
      </c>
      <c r="F246" s="41" t="n">
        <f aca="false">03_Tunings!C6</f>
        <v>0.113131446039143</v>
      </c>
      <c r="G246" s="41" t="n">
        <f aca="false">03_Tunings!C13</f>
        <v>0.0489816586430991</v>
      </c>
    </row>
    <row r="247" customFormat="false" ht="15" hidden="false" customHeight="false" outlineLevel="0" collapsed="false">
      <c r="A247" s="29" t="n">
        <v>12.1</v>
      </c>
      <c r="B247" s="62" t="n">
        <v>0.125650683189146</v>
      </c>
      <c r="C247" s="29" t="n">
        <v>386.460717553441</v>
      </c>
      <c r="D247" s="29" t="n">
        <v>18.1592252727958</v>
      </c>
      <c r="E247" s="62" t="n">
        <v>0.085287538509209</v>
      </c>
      <c r="F247" s="41" t="n">
        <f aca="false">03_Tunings!C6</f>
        <v>0.113131446039143</v>
      </c>
      <c r="G247" s="41" t="n">
        <f aca="false">03_Tunings!C13</f>
        <v>0.0489816586430991</v>
      </c>
    </row>
    <row r="248" customFormat="false" ht="15" hidden="false" customHeight="false" outlineLevel="0" collapsed="false">
      <c r="A248" s="29" t="n">
        <v>12.15</v>
      </c>
      <c r="B248" s="62" t="n">
        <v>0.125650683189146</v>
      </c>
      <c r="C248" s="29" t="n">
        <v>386.460717553441</v>
      </c>
      <c r="D248" s="29" t="n">
        <v>18.1592252727958</v>
      </c>
      <c r="E248" s="62" t="n">
        <v>0.085287538509209</v>
      </c>
      <c r="F248" s="41" t="n">
        <f aca="false">03_Tunings!C6</f>
        <v>0.113131446039143</v>
      </c>
      <c r="G248" s="41" t="n">
        <f aca="false">03_Tunings!C13</f>
        <v>0.0489816586430991</v>
      </c>
    </row>
    <row r="249" customFormat="false" ht="15" hidden="false" customHeight="false" outlineLevel="0" collapsed="false">
      <c r="A249" s="29" t="n">
        <v>12.2</v>
      </c>
      <c r="B249" s="62" t="n">
        <v>0.125650683189146</v>
      </c>
      <c r="C249" s="29" t="n">
        <v>386.460717553441</v>
      </c>
      <c r="D249" s="29" t="n">
        <v>18.1592252727958</v>
      </c>
      <c r="E249" s="62" t="n">
        <v>0.085287538509209</v>
      </c>
      <c r="F249" s="41" t="n">
        <f aca="false">03_Tunings!C6</f>
        <v>0.113131446039143</v>
      </c>
      <c r="G249" s="41" t="n">
        <f aca="false">03_Tunings!C13</f>
        <v>0.0489816586430991</v>
      </c>
    </row>
    <row r="250" customFormat="false" ht="15" hidden="false" customHeight="false" outlineLevel="0" collapsed="false">
      <c r="A250" s="29" t="n">
        <v>12.25</v>
      </c>
      <c r="B250" s="62" t="n">
        <v>0.125650683189146</v>
      </c>
      <c r="C250" s="29" t="n">
        <v>386.460717553441</v>
      </c>
      <c r="D250" s="29" t="n">
        <v>18.1592252727958</v>
      </c>
      <c r="E250" s="62" t="n">
        <v>0.085287538509209</v>
      </c>
      <c r="F250" s="41" t="n">
        <f aca="false">03_Tunings!C6</f>
        <v>0.113131446039143</v>
      </c>
      <c r="G250" s="41" t="n">
        <f aca="false">03_Tunings!C13</f>
        <v>0.0489816586430991</v>
      </c>
    </row>
    <row r="251" customFormat="false" ht="15" hidden="false" customHeight="false" outlineLevel="0" collapsed="false">
      <c r="A251" s="29" t="n">
        <v>12.3</v>
      </c>
      <c r="B251" s="62" t="n">
        <v>0.125650683189146</v>
      </c>
      <c r="C251" s="29" t="n">
        <v>386.460717553441</v>
      </c>
      <c r="D251" s="29" t="n">
        <v>18.1592252727958</v>
      </c>
      <c r="E251" s="62" t="n">
        <v>0.085287538509209</v>
      </c>
      <c r="F251" s="41" t="n">
        <f aca="false">03_Tunings!C6</f>
        <v>0.113131446039143</v>
      </c>
      <c r="G251" s="41" t="n">
        <f aca="false">03_Tunings!C13</f>
        <v>0.0489816586430991</v>
      </c>
    </row>
    <row r="252" customFormat="false" ht="15" hidden="false" customHeight="false" outlineLevel="0" collapsed="false">
      <c r="A252" s="29" t="n">
        <v>12.35</v>
      </c>
      <c r="B252" s="62" t="n">
        <v>0.125650683189146</v>
      </c>
      <c r="C252" s="29" t="n">
        <v>386.460717553441</v>
      </c>
      <c r="D252" s="29" t="n">
        <v>18.1592252727958</v>
      </c>
      <c r="E252" s="62" t="n">
        <v>0.085287538509209</v>
      </c>
      <c r="F252" s="41" t="n">
        <f aca="false">03_Tunings!C6</f>
        <v>0.113131446039143</v>
      </c>
      <c r="G252" s="41" t="n">
        <f aca="false">03_Tunings!C13</f>
        <v>0.0489816586430991</v>
      </c>
    </row>
    <row r="253" customFormat="false" ht="15" hidden="false" customHeight="false" outlineLevel="0" collapsed="false">
      <c r="A253" s="29" t="n">
        <v>12.4</v>
      </c>
      <c r="B253" s="62" t="n">
        <v>0.125650683189146</v>
      </c>
      <c r="C253" s="29" t="n">
        <v>386.460717553441</v>
      </c>
      <c r="D253" s="29" t="n">
        <v>18.1592252727958</v>
      </c>
      <c r="E253" s="62" t="n">
        <v>0.085287538509209</v>
      </c>
      <c r="F253" s="41" t="n">
        <f aca="false">03_Tunings!C6</f>
        <v>0.113131446039143</v>
      </c>
      <c r="G253" s="41" t="n">
        <f aca="false">03_Tunings!C13</f>
        <v>0.0489816586430991</v>
      </c>
    </row>
    <row r="254" customFormat="false" ht="15" hidden="false" customHeight="false" outlineLevel="0" collapsed="false">
      <c r="A254" s="29" t="n">
        <v>12.45</v>
      </c>
      <c r="B254" s="62" t="n">
        <v>0.125650683189146</v>
      </c>
      <c r="C254" s="29" t="n">
        <v>386.460717553441</v>
      </c>
      <c r="D254" s="29" t="n">
        <v>18.1592252727958</v>
      </c>
      <c r="E254" s="62" t="n">
        <v>0.085287538509209</v>
      </c>
      <c r="F254" s="41" t="n">
        <f aca="false">03_Tunings!C6</f>
        <v>0.113131446039143</v>
      </c>
      <c r="G254" s="41" t="n">
        <f aca="false">03_Tunings!C13</f>
        <v>0.0489816586430991</v>
      </c>
    </row>
    <row r="255" customFormat="false" ht="15" hidden="false" customHeight="false" outlineLevel="0" collapsed="false">
      <c r="A255" s="29" t="n">
        <v>12.5</v>
      </c>
      <c r="B255" s="62" t="n">
        <v>0.125650683189146</v>
      </c>
      <c r="C255" s="29" t="n">
        <v>386.460717553441</v>
      </c>
      <c r="D255" s="29" t="n">
        <v>18.1592252727958</v>
      </c>
      <c r="E255" s="62" t="n">
        <v>0.085287538509209</v>
      </c>
      <c r="F255" s="41" t="n">
        <f aca="false">03_Tunings!C6</f>
        <v>0.113131446039143</v>
      </c>
      <c r="G255" s="41" t="n">
        <f aca="false">03_Tunings!C13</f>
        <v>0.0489816586430991</v>
      </c>
    </row>
    <row r="256" customFormat="false" ht="15" hidden="false" customHeight="false" outlineLevel="0" collapsed="false">
      <c r="A256" s="29" t="n">
        <v>12.55</v>
      </c>
      <c r="B256" s="62" t="n">
        <v>0.125650683189146</v>
      </c>
      <c r="C256" s="29" t="n">
        <v>386.460717553441</v>
      </c>
      <c r="D256" s="29" t="n">
        <v>18.1592252727958</v>
      </c>
      <c r="E256" s="62" t="n">
        <v>0.085287538509209</v>
      </c>
      <c r="F256" s="41" t="n">
        <f aca="false">03_Tunings!C6</f>
        <v>0.113131446039143</v>
      </c>
      <c r="G256" s="41" t="n">
        <f aca="false">03_Tunings!C13</f>
        <v>0.0489816586430991</v>
      </c>
    </row>
    <row r="257" customFormat="false" ht="15" hidden="false" customHeight="false" outlineLevel="0" collapsed="false">
      <c r="A257" s="29" t="n">
        <v>12.6</v>
      </c>
      <c r="B257" s="62" t="n">
        <v>0.125650683189146</v>
      </c>
      <c r="C257" s="29" t="n">
        <v>386.460717553441</v>
      </c>
      <c r="D257" s="29" t="n">
        <v>18.1592252727958</v>
      </c>
      <c r="E257" s="62" t="n">
        <v>0.085287538509209</v>
      </c>
      <c r="F257" s="41" t="n">
        <f aca="false">03_Tunings!C6</f>
        <v>0.113131446039143</v>
      </c>
      <c r="G257" s="41" t="n">
        <f aca="false">03_Tunings!C13</f>
        <v>0.0489816586430991</v>
      </c>
    </row>
    <row r="258" customFormat="false" ht="15" hidden="false" customHeight="false" outlineLevel="0" collapsed="false">
      <c r="A258" s="29" t="n">
        <v>12.65</v>
      </c>
      <c r="B258" s="62" t="n">
        <v>0.125650683189146</v>
      </c>
      <c r="C258" s="29" t="n">
        <v>386.460717553441</v>
      </c>
      <c r="D258" s="29" t="n">
        <v>18.1592252727958</v>
      </c>
      <c r="E258" s="62" t="n">
        <v>0.085287538509209</v>
      </c>
      <c r="F258" s="41" t="n">
        <f aca="false">03_Tunings!C6</f>
        <v>0.113131446039143</v>
      </c>
      <c r="G258" s="41" t="n">
        <f aca="false">03_Tunings!C13</f>
        <v>0.0489816586430991</v>
      </c>
    </row>
    <row r="259" customFormat="false" ht="15" hidden="false" customHeight="false" outlineLevel="0" collapsed="false">
      <c r="A259" s="29" t="n">
        <v>12.7</v>
      </c>
      <c r="B259" s="62" t="n">
        <v>0.125650683189146</v>
      </c>
      <c r="C259" s="29" t="n">
        <v>386.460717553441</v>
      </c>
      <c r="D259" s="29" t="n">
        <v>18.1592252727958</v>
      </c>
      <c r="E259" s="62" t="n">
        <v>0.085287538509209</v>
      </c>
      <c r="F259" s="41" t="n">
        <f aca="false">03_Tunings!C6</f>
        <v>0.113131446039143</v>
      </c>
      <c r="G259" s="41" t="n">
        <f aca="false">03_Tunings!C13</f>
        <v>0.0489816586430991</v>
      </c>
    </row>
    <row r="260" customFormat="false" ht="15" hidden="false" customHeight="false" outlineLevel="0" collapsed="false">
      <c r="A260" s="29" t="n">
        <v>12.75</v>
      </c>
      <c r="B260" s="62" t="n">
        <v>0.125650683189146</v>
      </c>
      <c r="C260" s="29" t="n">
        <v>386.460717553441</v>
      </c>
      <c r="D260" s="29" t="n">
        <v>18.1592252727958</v>
      </c>
      <c r="E260" s="62" t="n">
        <v>0.085287538509209</v>
      </c>
      <c r="F260" s="41" t="n">
        <f aca="false">03_Tunings!C6</f>
        <v>0.113131446039143</v>
      </c>
      <c r="G260" s="41" t="n">
        <f aca="false">03_Tunings!C13</f>
        <v>0.0489816586430991</v>
      </c>
    </row>
    <row r="261" customFormat="false" ht="15" hidden="false" customHeight="false" outlineLevel="0" collapsed="false">
      <c r="A261" s="29" t="n">
        <v>12.8</v>
      </c>
      <c r="B261" s="62" t="n">
        <v>0.125650683189146</v>
      </c>
      <c r="C261" s="29" t="n">
        <v>386.460717553441</v>
      </c>
      <c r="D261" s="29" t="n">
        <v>18.1592252727958</v>
      </c>
      <c r="E261" s="62" t="n">
        <v>0.085287538509209</v>
      </c>
      <c r="F261" s="41" t="n">
        <f aca="false">03_Tunings!C6</f>
        <v>0.113131446039143</v>
      </c>
      <c r="G261" s="41" t="n">
        <f aca="false">03_Tunings!C13</f>
        <v>0.0489816586430991</v>
      </c>
    </row>
    <row r="262" customFormat="false" ht="15" hidden="false" customHeight="false" outlineLevel="0" collapsed="false">
      <c r="A262" s="29" t="n">
        <v>12.85</v>
      </c>
      <c r="B262" s="62" t="n">
        <v>0.125650683189146</v>
      </c>
      <c r="C262" s="29" t="n">
        <v>386.460717553441</v>
      </c>
      <c r="D262" s="29" t="n">
        <v>18.1592252727958</v>
      </c>
      <c r="E262" s="62" t="n">
        <v>0.085287538509209</v>
      </c>
      <c r="F262" s="41" t="n">
        <f aca="false">03_Tunings!C6</f>
        <v>0.113131446039143</v>
      </c>
      <c r="G262" s="41" t="n">
        <f aca="false">03_Tunings!C13</f>
        <v>0.0489816586430991</v>
      </c>
    </row>
    <row r="263" customFormat="false" ht="15" hidden="false" customHeight="false" outlineLevel="0" collapsed="false">
      <c r="A263" s="29" t="n">
        <v>12.9</v>
      </c>
      <c r="B263" s="62" t="n">
        <v>0.125650683189146</v>
      </c>
      <c r="C263" s="29" t="n">
        <v>386.460717553441</v>
      </c>
      <c r="D263" s="29" t="n">
        <v>18.1592252727958</v>
      </c>
      <c r="E263" s="62" t="n">
        <v>0.085287538509209</v>
      </c>
      <c r="F263" s="41" t="n">
        <f aca="false">03_Tunings!C6</f>
        <v>0.113131446039143</v>
      </c>
      <c r="G263" s="41" t="n">
        <f aca="false">03_Tunings!C13</f>
        <v>0.0489816586430991</v>
      </c>
    </row>
    <row r="264" customFormat="false" ht="15" hidden="false" customHeight="false" outlineLevel="0" collapsed="false">
      <c r="A264" s="29" t="n">
        <v>12.95</v>
      </c>
      <c r="B264" s="62" t="n">
        <v>0.125650683189146</v>
      </c>
      <c r="C264" s="29" t="n">
        <v>386.460717553441</v>
      </c>
      <c r="D264" s="29" t="n">
        <v>18.1592252727958</v>
      </c>
      <c r="E264" s="62" t="n">
        <v>0.085287538509209</v>
      </c>
      <c r="F264" s="41" t="n">
        <f aca="false">03_Tunings!C6</f>
        <v>0.113131446039143</v>
      </c>
      <c r="G264" s="41" t="n">
        <f aca="false">03_Tunings!C13</f>
        <v>0.0489816586430991</v>
      </c>
    </row>
    <row r="265" customFormat="false" ht="15" hidden="false" customHeight="false" outlineLevel="0" collapsed="false">
      <c r="A265" s="29" t="n">
        <v>13</v>
      </c>
      <c r="B265" s="62" t="n">
        <v>0.125650683189146</v>
      </c>
      <c r="C265" s="29" t="n">
        <v>386.460717553441</v>
      </c>
      <c r="D265" s="29" t="n">
        <v>18.1592252727958</v>
      </c>
      <c r="E265" s="62" t="n">
        <v>0.085287538509209</v>
      </c>
      <c r="F265" s="41" t="n">
        <f aca="false">03_Tunings!C6</f>
        <v>0.113131446039143</v>
      </c>
      <c r="G265" s="41" t="n">
        <f aca="false">03_Tunings!C13</f>
        <v>0.0489816586430991</v>
      </c>
    </row>
    <row r="266" customFormat="false" ht="15" hidden="false" customHeight="false" outlineLevel="0" collapsed="false">
      <c r="A266" s="29" t="n">
        <v>13.05</v>
      </c>
      <c r="B266" s="62" t="n">
        <v>0.125650683189146</v>
      </c>
      <c r="C266" s="29" t="n">
        <v>386.460717553441</v>
      </c>
      <c r="D266" s="29" t="n">
        <v>18.1592252727958</v>
      </c>
      <c r="E266" s="62" t="n">
        <v>0.085287538509209</v>
      </c>
      <c r="F266" s="41" t="n">
        <f aca="false">03_Tunings!C6</f>
        <v>0.113131446039143</v>
      </c>
      <c r="G266" s="41" t="n">
        <f aca="false">03_Tunings!C13</f>
        <v>0.0489816586430991</v>
      </c>
    </row>
    <row r="267" customFormat="false" ht="15" hidden="false" customHeight="false" outlineLevel="0" collapsed="false">
      <c r="A267" s="29" t="n">
        <v>13.1</v>
      </c>
      <c r="B267" s="62" t="n">
        <v>0.125650683189146</v>
      </c>
      <c r="C267" s="29" t="n">
        <v>386.460717553441</v>
      </c>
      <c r="D267" s="29" t="n">
        <v>18.1592252727958</v>
      </c>
      <c r="E267" s="62" t="n">
        <v>0.085287538509209</v>
      </c>
      <c r="F267" s="41" t="n">
        <f aca="false">03_Tunings!C6</f>
        <v>0.113131446039143</v>
      </c>
      <c r="G267" s="41" t="n">
        <f aca="false">03_Tunings!C13</f>
        <v>0.0489816586430991</v>
      </c>
    </row>
    <row r="268" customFormat="false" ht="15" hidden="false" customHeight="false" outlineLevel="0" collapsed="false">
      <c r="A268" s="29" t="n">
        <v>13.15</v>
      </c>
      <c r="B268" s="62" t="n">
        <v>0.125650683189146</v>
      </c>
      <c r="C268" s="29" t="n">
        <v>386.460717553441</v>
      </c>
      <c r="D268" s="29" t="n">
        <v>18.1592252727958</v>
      </c>
      <c r="E268" s="62" t="n">
        <v>0.085287538509209</v>
      </c>
      <c r="F268" s="41" t="n">
        <f aca="false">03_Tunings!C6</f>
        <v>0.113131446039143</v>
      </c>
      <c r="G268" s="41" t="n">
        <f aca="false">03_Tunings!C13</f>
        <v>0.0489816586430991</v>
      </c>
    </row>
    <row r="269" customFormat="false" ht="15" hidden="false" customHeight="false" outlineLevel="0" collapsed="false">
      <c r="A269" s="29" t="n">
        <v>13.2</v>
      </c>
      <c r="B269" s="62" t="n">
        <v>0.125650683189146</v>
      </c>
      <c r="C269" s="29" t="n">
        <v>386.460717553441</v>
      </c>
      <c r="D269" s="29" t="n">
        <v>18.1592252727958</v>
      </c>
      <c r="E269" s="62" t="n">
        <v>0.085287538509209</v>
      </c>
      <c r="F269" s="41" t="n">
        <f aca="false">03_Tunings!C6</f>
        <v>0.113131446039143</v>
      </c>
      <c r="G269" s="41" t="n">
        <f aca="false">03_Tunings!C13</f>
        <v>0.0489816586430991</v>
      </c>
    </row>
    <row r="270" customFormat="false" ht="15" hidden="false" customHeight="false" outlineLevel="0" collapsed="false">
      <c r="A270" s="29" t="n">
        <v>13.25</v>
      </c>
      <c r="B270" s="62" t="n">
        <v>0.125650683189146</v>
      </c>
      <c r="C270" s="29" t="n">
        <v>386.460717553441</v>
      </c>
      <c r="D270" s="29" t="n">
        <v>18.1592252727958</v>
      </c>
      <c r="E270" s="62" t="n">
        <v>0.085287538509209</v>
      </c>
      <c r="F270" s="41" t="n">
        <f aca="false">03_Tunings!C6</f>
        <v>0.113131446039143</v>
      </c>
      <c r="G270" s="41" t="n">
        <f aca="false">03_Tunings!C13</f>
        <v>0.0489816586430991</v>
      </c>
    </row>
    <row r="271" customFormat="false" ht="15" hidden="false" customHeight="false" outlineLevel="0" collapsed="false">
      <c r="A271" s="29" t="n">
        <v>13.3</v>
      </c>
      <c r="B271" s="62" t="n">
        <v>0.125650683189146</v>
      </c>
      <c r="C271" s="29" t="n">
        <v>386.460717553441</v>
      </c>
      <c r="D271" s="29" t="n">
        <v>18.1592252727958</v>
      </c>
      <c r="E271" s="62" t="n">
        <v>0.085287538509209</v>
      </c>
      <c r="F271" s="41" t="n">
        <f aca="false">03_Tunings!C6</f>
        <v>0.113131446039143</v>
      </c>
      <c r="G271" s="41" t="n">
        <f aca="false">03_Tunings!C13</f>
        <v>0.0489816586430991</v>
      </c>
    </row>
    <row r="272" customFormat="false" ht="15" hidden="false" customHeight="false" outlineLevel="0" collapsed="false">
      <c r="A272" s="29" t="n">
        <v>13.35</v>
      </c>
      <c r="B272" s="62" t="n">
        <v>0.125650683189146</v>
      </c>
      <c r="C272" s="29" t="n">
        <v>386.460717553441</v>
      </c>
      <c r="D272" s="29" t="n">
        <v>18.1592252727958</v>
      </c>
      <c r="E272" s="62" t="n">
        <v>0.085287538509209</v>
      </c>
      <c r="F272" s="41" t="n">
        <f aca="false">03_Tunings!C6</f>
        <v>0.113131446039143</v>
      </c>
      <c r="G272" s="41" t="n">
        <f aca="false">03_Tunings!C13</f>
        <v>0.0489816586430991</v>
      </c>
    </row>
    <row r="273" customFormat="false" ht="15" hidden="false" customHeight="false" outlineLevel="0" collapsed="false">
      <c r="A273" s="29" t="n">
        <v>13.4</v>
      </c>
      <c r="B273" s="62" t="n">
        <v>0.125650683189146</v>
      </c>
      <c r="C273" s="29" t="n">
        <v>386.460717553441</v>
      </c>
      <c r="D273" s="29" t="n">
        <v>18.1592252727958</v>
      </c>
      <c r="E273" s="62" t="n">
        <v>0.085287538509209</v>
      </c>
      <c r="F273" s="41" t="n">
        <f aca="false">03_Tunings!C6</f>
        <v>0.113131446039143</v>
      </c>
      <c r="G273" s="41" t="n">
        <f aca="false">03_Tunings!C13</f>
        <v>0.0489816586430991</v>
      </c>
    </row>
    <row r="274" customFormat="false" ht="15" hidden="false" customHeight="false" outlineLevel="0" collapsed="false">
      <c r="A274" s="29" t="n">
        <v>13.45</v>
      </c>
      <c r="B274" s="62" t="n">
        <v>0.125650683189146</v>
      </c>
      <c r="C274" s="29" t="n">
        <v>386.460717553441</v>
      </c>
      <c r="D274" s="29" t="n">
        <v>18.1592252727958</v>
      </c>
      <c r="E274" s="62" t="n">
        <v>0.085287538509209</v>
      </c>
      <c r="F274" s="41" t="n">
        <f aca="false">03_Tunings!C6</f>
        <v>0.113131446039143</v>
      </c>
      <c r="G274" s="41" t="n">
        <f aca="false">03_Tunings!C13</f>
        <v>0.0489816586430991</v>
      </c>
    </row>
    <row r="275" customFormat="false" ht="15" hidden="false" customHeight="false" outlineLevel="0" collapsed="false">
      <c r="A275" s="29" t="n">
        <v>13.5</v>
      </c>
      <c r="B275" s="62" t="n">
        <v>0.125650683189146</v>
      </c>
      <c r="C275" s="29" t="n">
        <v>386.460717553441</v>
      </c>
      <c r="D275" s="29" t="n">
        <v>18.1592252727958</v>
      </c>
      <c r="E275" s="62" t="n">
        <v>0.085287538509209</v>
      </c>
      <c r="F275" s="41" t="n">
        <f aca="false">03_Tunings!C6</f>
        <v>0.113131446039143</v>
      </c>
      <c r="G275" s="41" t="n">
        <f aca="false">03_Tunings!C13</f>
        <v>0.0489816586430991</v>
      </c>
    </row>
    <row r="276" customFormat="false" ht="15" hidden="false" customHeight="false" outlineLevel="0" collapsed="false">
      <c r="A276" s="29" t="n">
        <v>13.55</v>
      </c>
      <c r="B276" s="62" t="n">
        <v>0.125650683189146</v>
      </c>
      <c r="C276" s="29" t="n">
        <v>386.460717553441</v>
      </c>
      <c r="D276" s="29" t="n">
        <v>18.1592252727958</v>
      </c>
      <c r="E276" s="62" t="n">
        <v>0.085287538509209</v>
      </c>
      <c r="F276" s="41" t="n">
        <f aca="false">03_Tunings!C6</f>
        <v>0.113131446039143</v>
      </c>
      <c r="G276" s="41" t="n">
        <f aca="false">03_Tunings!C13</f>
        <v>0.0489816586430991</v>
      </c>
    </row>
    <row r="277" customFormat="false" ht="15" hidden="false" customHeight="false" outlineLevel="0" collapsed="false">
      <c r="A277" s="29" t="n">
        <v>13.6</v>
      </c>
      <c r="B277" s="62" t="n">
        <v>0.125650683189146</v>
      </c>
      <c r="C277" s="29" t="n">
        <v>386.460717553441</v>
      </c>
      <c r="D277" s="29" t="n">
        <v>18.1592252727958</v>
      </c>
      <c r="E277" s="62" t="n">
        <v>0.085287538509209</v>
      </c>
      <c r="F277" s="41" t="n">
        <f aca="false">03_Tunings!C6</f>
        <v>0.113131446039143</v>
      </c>
      <c r="G277" s="41" t="n">
        <f aca="false">03_Tunings!C13</f>
        <v>0.0489816586430991</v>
      </c>
    </row>
    <row r="278" customFormat="false" ht="15" hidden="false" customHeight="false" outlineLevel="0" collapsed="false">
      <c r="A278" s="29" t="n">
        <v>13.65</v>
      </c>
      <c r="B278" s="62" t="n">
        <v>0.125650683189146</v>
      </c>
      <c r="C278" s="29" t="n">
        <v>386.460717553441</v>
      </c>
      <c r="D278" s="29" t="n">
        <v>18.1592252727958</v>
      </c>
      <c r="E278" s="62" t="n">
        <v>0.085287538509209</v>
      </c>
      <c r="F278" s="41" t="n">
        <f aca="false">03_Tunings!C6</f>
        <v>0.113131446039143</v>
      </c>
      <c r="G278" s="41" t="n">
        <f aca="false">03_Tunings!C13</f>
        <v>0.0489816586430991</v>
      </c>
    </row>
    <row r="279" customFormat="false" ht="15" hidden="false" customHeight="false" outlineLevel="0" collapsed="false">
      <c r="A279" s="29" t="n">
        <v>13.7</v>
      </c>
      <c r="B279" s="62" t="n">
        <v>0.125650683189146</v>
      </c>
      <c r="C279" s="29" t="n">
        <v>386.460717553441</v>
      </c>
      <c r="D279" s="29" t="n">
        <v>18.1592252727958</v>
      </c>
      <c r="E279" s="62" t="n">
        <v>0.085287538509209</v>
      </c>
      <c r="F279" s="41" t="n">
        <f aca="false">03_Tunings!C6</f>
        <v>0.113131446039143</v>
      </c>
      <c r="G279" s="41" t="n">
        <f aca="false">03_Tunings!C13</f>
        <v>0.0489816586430991</v>
      </c>
    </row>
    <row r="280" customFormat="false" ht="15" hidden="false" customHeight="false" outlineLevel="0" collapsed="false">
      <c r="A280" s="29" t="n">
        <v>13.75</v>
      </c>
      <c r="B280" s="62" t="n">
        <v>0.125650683189146</v>
      </c>
      <c r="C280" s="29" t="n">
        <v>386.460717553441</v>
      </c>
      <c r="D280" s="29" t="n">
        <v>18.1592252727958</v>
      </c>
      <c r="E280" s="62" t="n">
        <v>0.085287538509209</v>
      </c>
      <c r="F280" s="41" t="n">
        <f aca="false">03_Tunings!C6</f>
        <v>0.113131446039143</v>
      </c>
      <c r="G280" s="41" t="n">
        <f aca="false">03_Tunings!C13</f>
        <v>0.0489816586430991</v>
      </c>
    </row>
    <row r="281" customFormat="false" ht="15" hidden="false" customHeight="false" outlineLevel="0" collapsed="false">
      <c r="A281" s="29" t="n">
        <v>13.8</v>
      </c>
      <c r="B281" s="62" t="n">
        <v>0.125650683189146</v>
      </c>
      <c r="C281" s="29" t="n">
        <v>386.460717553441</v>
      </c>
      <c r="D281" s="29" t="n">
        <v>18.1592252727958</v>
      </c>
      <c r="E281" s="62" t="n">
        <v>0.085287538509209</v>
      </c>
      <c r="F281" s="41" t="n">
        <f aca="false">03_Tunings!C6</f>
        <v>0.113131446039143</v>
      </c>
      <c r="G281" s="41" t="n">
        <f aca="false">03_Tunings!C13</f>
        <v>0.0489816586430991</v>
      </c>
    </row>
    <row r="282" customFormat="false" ht="15" hidden="false" customHeight="false" outlineLevel="0" collapsed="false">
      <c r="A282" s="29" t="n">
        <v>13.85</v>
      </c>
      <c r="B282" s="62" t="n">
        <v>0.125650683189146</v>
      </c>
      <c r="C282" s="29" t="n">
        <v>386.460717553441</v>
      </c>
      <c r="D282" s="29" t="n">
        <v>18.1592252727958</v>
      </c>
      <c r="E282" s="62" t="n">
        <v>0.085287538509209</v>
      </c>
      <c r="F282" s="41" t="n">
        <f aca="false">03_Tunings!C6</f>
        <v>0.113131446039143</v>
      </c>
      <c r="G282" s="41" t="n">
        <f aca="false">03_Tunings!C13</f>
        <v>0.0489816586430991</v>
      </c>
    </row>
    <row r="283" customFormat="false" ht="15" hidden="false" customHeight="false" outlineLevel="0" collapsed="false">
      <c r="A283" s="29" t="n">
        <v>13.9</v>
      </c>
      <c r="B283" s="62" t="n">
        <v>0.125650683189146</v>
      </c>
      <c r="C283" s="29" t="n">
        <v>386.460717553441</v>
      </c>
      <c r="D283" s="29" t="n">
        <v>18.1592252727958</v>
      </c>
      <c r="E283" s="62" t="n">
        <v>0.085287538509209</v>
      </c>
      <c r="F283" s="41" t="n">
        <f aca="false">03_Tunings!C6</f>
        <v>0.113131446039143</v>
      </c>
      <c r="G283" s="41" t="n">
        <f aca="false">03_Tunings!C13</f>
        <v>0.0489816586430991</v>
      </c>
    </row>
    <row r="284" customFormat="false" ht="15" hidden="false" customHeight="false" outlineLevel="0" collapsed="false">
      <c r="A284" s="29" t="n">
        <v>13.95</v>
      </c>
      <c r="B284" s="62" t="n">
        <v>0.125650683189146</v>
      </c>
      <c r="C284" s="29" t="n">
        <v>386.460717553441</v>
      </c>
      <c r="D284" s="29" t="n">
        <v>18.1592252727958</v>
      </c>
      <c r="E284" s="62" t="n">
        <v>0.085287538509209</v>
      </c>
      <c r="F284" s="41" t="n">
        <f aca="false">03_Tunings!C6</f>
        <v>0.113131446039143</v>
      </c>
      <c r="G284" s="41" t="n">
        <f aca="false">03_Tunings!C13</f>
        <v>0.0489816586430991</v>
      </c>
    </row>
    <row r="285" customFormat="false" ht="15" hidden="false" customHeight="false" outlineLevel="0" collapsed="false">
      <c r="A285" s="29" t="n">
        <v>14</v>
      </c>
      <c r="B285" s="62" t="n">
        <v>0.125650683189146</v>
      </c>
      <c r="C285" s="29" t="n">
        <v>386.460717553441</v>
      </c>
      <c r="D285" s="29" t="n">
        <v>18.1592252727958</v>
      </c>
      <c r="E285" s="62" t="n">
        <v>0.085287538509209</v>
      </c>
      <c r="F285" s="41" t="n">
        <f aca="false">03_Tunings!C6</f>
        <v>0.113131446039143</v>
      </c>
      <c r="G285" s="41" t="n">
        <f aca="false">03_Tunings!C13</f>
        <v>0.0489816586430991</v>
      </c>
    </row>
    <row r="287" customFormat="false" ht="33.75" hidden="false" customHeight="true" outlineLevel="0" collapsed="false">
      <c r="A287" s="63" t="s">
        <v>242</v>
      </c>
      <c r="B287" s="63"/>
      <c r="C287" s="63"/>
      <c r="D287" s="63"/>
      <c r="E287" s="63"/>
      <c r="F287" s="63"/>
      <c r="G287" s="63"/>
    </row>
  </sheetData>
  <mergeCells count="3">
    <mergeCell ref="A1:G1"/>
    <mergeCell ref="A2:G2"/>
    <mergeCell ref="A287:G2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CBF"/>
    <pageSetUpPr fitToPage="false"/>
  </sheetPr>
  <dimension ref="A1:H2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5" activeCellId="0" sqref="A15"/>
    </sheetView>
  </sheetViews>
  <sheetFormatPr defaultColWidth="8.66796875" defaultRowHeight="15" zeroHeight="false" outlineLevelRow="0" outlineLevelCol="0"/>
  <cols>
    <col collapsed="false" customWidth="true" hidden="false" outlineLevel="0" max="7" min="1" style="0" width="16"/>
  </cols>
  <sheetData>
    <row r="1" customFormat="false" ht="25.5" hidden="false" customHeight="true" outlineLevel="0" collapsed="false">
      <c r="A1" s="1" t="s">
        <v>243</v>
      </c>
      <c r="B1" s="1"/>
      <c r="C1" s="1"/>
      <c r="D1" s="1"/>
      <c r="E1" s="1"/>
      <c r="F1" s="1"/>
      <c r="G1" s="1"/>
      <c r="H1" s="1"/>
    </row>
    <row r="2" customFormat="false" ht="15.75" hidden="false" customHeight="true" outlineLevel="0" collapsed="false">
      <c r="A2" s="2" t="s">
        <v>244</v>
      </c>
      <c r="B2" s="2"/>
      <c r="C2" s="2"/>
      <c r="D2" s="2"/>
      <c r="E2" s="2"/>
      <c r="F2" s="2"/>
      <c r="G2" s="2"/>
      <c r="H2" s="2"/>
    </row>
    <row r="4" customFormat="false" ht="30" hidden="false" customHeight="true" outlineLevel="0" collapsed="false">
      <c r="A4" s="4" t="s">
        <v>245</v>
      </c>
      <c r="B4" s="4" t="s">
        <v>246</v>
      </c>
      <c r="C4" s="4" t="s">
        <v>247</v>
      </c>
      <c r="D4" s="4" t="s">
        <v>248</v>
      </c>
      <c r="E4" s="4" t="s">
        <v>249</v>
      </c>
      <c r="F4" s="4" t="s">
        <v>250</v>
      </c>
      <c r="G4" s="4" t="s">
        <v>251</v>
      </c>
    </row>
    <row r="5" customFormat="false" ht="15" hidden="false" customHeight="false" outlineLevel="0" collapsed="false">
      <c r="A5" s="64" t="n">
        <v>0.001</v>
      </c>
      <c r="B5" s="29" t="n">
        <v>12.5367749636941</v>
      </c>
      <c r="C5" s="29" t="n">
        <v>42.2237318292048</v>
      </c>
      <c r="D5" s="29" t="n">
        <v>14.4241547678478</v>
      </c>
      <c r="E5" s="29" t="n">
        <v>-64.9559622438128</v>
      </c>
      <c r="F5" s="29" t="n">
        <v>-36.6870836454393</v>
      </c>
      <c r="G5" s="29" t="n">
        <v>-22.3600093502588</v>
      </c>
    </row>
    <row r="6" customFormat="false" ht="15" hidden="false" customHeight="false" outlineLevel="0" collapsed="false">
      <c r="A6" s="64" t="n">
        <v>0.00103760501976691</v>
      </c>
      <c r="B6" s="29" t="n">
        <v>12.3352483741655</v>
      </c>
      <c r="C6" s="29" t="n">
        <v>42.1255235524943</v>
      </c>
      <c r="D6" s="29" t="n">
        <v>14.384765402461</v>
      </c>
      <c r="E6" s="29" t="n">
        <v>-66.4631188019543</v>
      </c>
      <c r="F6" s="29" t="n">
        <v>-37.7961792019257</v>
      </c>
      <c r="G6" s="29" t="n">
        <v>-23.13655756884</v>
      </c>
    </row>
    <row r="7" customFormat="false" ht="15" hidden="false" customHeight="false" outlineLevel="0" collapsed="false">
      <c r="A7" s="64" t="n">
        <v>0.00107662417704549</v>
      </c>
      <c r="B7" s="29" t="n">
        <v>12.128249461726</v>
      </c>
      <c r="C7" s="29" t="n">
        <v>42.0222152081143</v>
      </c>
      <c r="D7" s="29" t="n">
        <v>14.3427534523116</v>
      </c>
      <c r="E7" s="29" t="n">
        <v>-67.9777181514821</v>
      </c>
      <c r="F7" s="29" t="n">
        <v>-38.9237745060122</v>
      </c>
      <c r="G7" s="29" t="n">
        <v>-23.9355869149003</v>
      </c>
    </row>
    <row r="8" customFormat="false" ht="15" hidden="false" customHeight="false" outlineLevel="0" collapsed="false">
      <c r="A8" s="64" t="n">
        <v>0.00111711065050482</v>
      </c>
      <c r="B8" s="29" t="n">
        <v>11.915894533127</v>
      </c>
      <c r="C8" s="29" t="n">
        <v>41.9136712015549</v>
      </c>
      <c r="D8" s="29" t="n">
        <v>14.2979721133662</v>
      </c>
      <c r="E8" s="29" t="n">
        <v>-69.4992238803637</v>
      </c>
      <c r="F8" s="29" t="n">
        <v>-40.0690519106381</v>
      </c>
      <c r="G8" s="29" t="n">
        <v>-24.7572996569253</v>
      </c>
    </row>
    <row r="9" customFormat="false" ht="15" hidden="false" customHeight="false" outlineLevel="0" collapsed="false">
      <c r="A9" s="64" t="n">
        <v>0.00115911961859889</v>
      </c>
      <c r="B9" s="29" t="n">
        <v>11.6983103309941</v>
      </c>
      <c r="C9" s="29" t="n">
        <v>41.7997652712993</v>
      </c>
      <c r="D9" s="29" t="n">
        <v>14.2502700927453</v>
      </c>
      <c r="E9" s="29" t="n">
        <v>-71.0271846800355</v>
      </c>
      <c r="F9" s="29" t="n">
        <v>-41.2311276716549</v>
      </c>
      <c r="G9" s="29" t="n">
        <v>-25.6018544125737</v>
      </c>
    </row>
    <row r="10" customFormat="false" ht="15" hidden="false" customHeight="false" outlineLevel="0" collapsed="false">
      <c r="A10" s="64" t="n">
        <v>0.00120270833476851</v>
      </c>
      <c r="B10" s="29" t="n">
        <v>11.4756328735154</v>
      </c>
      <c r="C10" s="29" t="n">
        <v>41.6803816468641</v>
      </c>
      <c r="D10" s="29" t="n">
        <v>14.1994919740469</v>
      </c>
      <c r="E10" s="29" t="n">
        <v>-72.5612385212355</v>
      </c>
      <c r="F10" s="29" t="n">
        <v>-42.4090565378127</v>
      </c>
      <c r="G10" s="29" t="n">
        <v>-26.4693621403553</v>
      </c>
    </row>
    <row r="11" customFormat="false" ht="15" hidden="false" customHeight="false" outlineLevel="0" collapsed="false">
      <c r="A11" s="64" t="n">
        <v>0.00124793620547131</v>
      </c>
      <c r="B11" s="29" t="n">
        <v>11.2480062583331</v>
      </c>
      <c r="C11" s="29" t="n">
        <v>41.5554161491194</v>
      </c>
      <c r="D11" s="29" t="n">
        <v>14.1454786583805</v>
      </c>
      <c r="E11" s="29" t="n">
        <v>-74.1011157850296</v>
      </c>
      <c r="F11" s="29" t="n">
        <v>-43.6018372970594</v>
      </c>
      <c r="G11" s="29" t="n">
        <v>-27.3598821608216</v>
      </c>
    </row>
    <row r="12" customFormat="false" ht="15" hidden="false" customHeight="false" outlineLevel="0" collapsed="false">
      <c r="A12" s="64" t="n">
        <v>0.00129486487114591</v>
      </c>
      <c r="B12" s="29" t="n">
        <v>11.0155814508712</v>
      </c>
      <c r="C12" s="29" t="n">
        <v>41.4247772119197</v>
      </c>
      <c r="D12" s="29" t="n">
        <v>14.0880678848601</v>
      </c>
      <c r="E12" s="29" t="n">
        <v>-75.646641346882</v>
      </c>
      <c r="F12" s="29" t="n">
        <v>-44.8084192422778</v>
      </c>
      <c r="G12" s="29" t="n">
        <v>-28.2734182659359</v>
      </c>
    </row>
    <row r="13" customFormat="false" ht="15" hidden="false" customHeight="false" outlineLevel="0" collapsed="false">
      <c r="A13" s="64" t="n">
        <v>0.00134355829022083</v>
      </c>
      <c r="B13" s="29" t="n">
        <v>10.7785150761606</v>
      </c>
      <c r="C13" s="29" t="n">
        <v>41.2883868046645</v>
      </c>
      <c r="D13" s="29" t="n">
        <v>14.0270948333347</v>
      </c>
      <c r="E13" s="29" t="n">
        <v>-77.1977356300856</v>
      </c>
      <c r="F13" s="29" t="n">
        <v>-46.0277094964532</v>
      </c>
      <c r="G13" s="29" t="n">
        <v>-29.2099149823077</v>
      </c>
    </row>
    <row r="14" customFormat="false" ht="15" hidden="false" customHeight="false" outlineLevel="0" collapsed="false">
      <c r="A14" s="64" t="n">
        <v>0.00139408282628258</v>
      </c>
      <c r="B14" s="29" t="n">
        <v>10.5369682316265</v>
      </c>
      <c r="C14" s="29" t="n">
        <v>41.1461812366587</v>
      </c>
      <c r="D14" s="29" t="n">
        <v>13.9623928109325</v>
      </c>
      <c r="E14" s="29" t="n">
        <v>-78.7544146608564</v>
      </c>
      <c r="F14" s="29" t="n">
        <v>-47.2585811145364</v>
      </c>
      <c r="G14" s="29" t="n">
        <v>-30.1692540604783</v>
      </c>
    </row>
    <row r="15" customFormat="false" ht="15" hidden="false" customHeight="false" outlineLevel="0" collapsed="false">
      <c r="A15" s="64" t="n">
        <v>0.00144650733852165</v>
      </c>
      <c r="B15" s="29" t="n">
        <v>10.2911053363854</v>
      </c>
      <c r="C15" s="29" t="n">
        <v>40.9981118260483</v>
      </c>
      <c r="D15" s="29" t="n">
        <v>13.893794022557</v>
      </c>
      <c r="E15" s="29" t="n">
        <v>-80.3167891705654</v>
      </c>
      <c r="F15" s="29" t="n">
        <v>-48.499881857878</v>
      </c>
      <c r="G15" s="29" t="n">
        <v>-31.1512512680979</v>
      </c>
    </row>
    <row r="16" customFormat="false" ht="15" hidden="false" customHeight="false" outlineLevel="0" collapsed="false">
      <c r="A16" s="64" t="n">
        <v>0.00150090327557974</v>
      </c>
      <c r="B16" s="29" t="n">
        <v>10.0410930304597</v>
      </c>
      <c r="C16" s="29" t="n">
        <v>40.8441454186305</v>
      </c>
      <c r="D16" s="29" t="n">
        <v>13.821130423797</v>
      </c>
      <c r="E16" s="29" t="n">
        <v>-81.8850628007676</v>
      </c>
      <c r="F16" s="29" t="n">
        <v>-49.7504435179699</v>
      </c>
      <c r="G16" s="29" t="n">
        <v>-32.1556535693012</v>
      </c>
    </row>
    <row r="17" customFormat="false" ht="15" hidden="false" customHeight="false" outlineLevel="0" collapsed="false">
      <c r="A17" s="64" t="n">
        <v>0.00155734477292614</v>
      </c>
      <c r="B17" s="29" t="n">
        <v>9.78709913505335</v>
      </c>
      <c r="C17" s="29" t="n">
        <v>40.684264744909</v>
      </c>
      <c r="D17" s="29" t="n">
        <v>13.7442346528333</v>
      </c>
      <c r="E17" s="29" t="n">
        <v>-83.4595294738592</v>
      </c>
      <c r="F17" s="29" t="n">
        <v>-51.0090916502114</v>
      </c>
      <c r="G17" s="29" t="n">
        <v>-33.1821367754974</v>
      </c>
    </row>
    <row r="18" customFormat="false" ht="15" hidden="false" customHeight="false" outlineLevel="0" collapsed="false">
      <c r="A18" s="64" t="n">
        <v>0.00161590875389592</v>
      </c>
      <c r="B18" s="29" t="n">
        <v>9.52929168273153</v>
      </c>
      <c r="C18" s="29" t="n">
        <v>40.5184686072738</v>
      </c>
      <c r="D18" s="29" t="n">
        <v>13.6629410358499</v>
      </c>
      <c r="E18" s="29" t="n">
        <v>-85.0405699964669</v>
      </c>
      <c r="F18" s="29" t="n">
        <v>-52.2746555662579</v>
      </c>
      <c r="G18" s="29" t="n">
        <v>-34.2303037537744</v>
      </c>
    </row>
    <row r="19" customFormat="false" ht="15" hidden="false" customHeight="false" outlineLevel="0" collapsed="false">
      <c r="A19" s="64" t="n">
        <v>0.0016766750345277</v>
      </c>
      <c r="B19" s="29" t="n">
        <v>9.26783802409455</v>
      </c>
      <c r="C19" s="29" t="n">
        <v>40.3467718930116</v>
      </c>
      <c r="D19" s="29" t="n">
        <v>13.5770866582557</v>
      </c>
      <c r="E19" s="29" t="n">
        <v>-86.6286479642602</v>
      </c>
      <c r="F19" s="29" t="n">
        <v>-53.5459784257901</v>
      </c>
      <c r="G19" s="29" t="n">
        <v>-35.2996832778301</v>
      </c>
    </row>
    <row r="20" customFormat="false" ht="15" hidden="false" customHeight="false" outlineLevel="0" collapsed="false">
      <c r="A20" s="64" t="n">
        <v>0.0017397264323438</v>
      </c>
      <c r="B20" s="29" t="n">
        <v>9.00290401538862</v>
      </c>
      <c r="C20" s="29" t="n">
        <v>40.1692054128492</v>
      </c>
      <c r="D20" s="29" t="n">
        <v>13.4865124917338</v>
      </c>
      <c r="E20" s="29" t="n">
        <v>-88.2243050360832</v>
      </c>
      <c r="F20" s="29" t="n">
        <v>-54.8219272656317</v>
      </c>
      <c r="G20" s="29" t="n">
        <v>-36.3897296024679</v>
      </c>
    </row>
    <row r="21" customFormat="false" ht="15" hidden="false" customHeight="false" outlineLevel="0" collapsed="false">
      <c r="A21" s="64" t="n">
        <v>0.00180514887922111</v>
      </c>
      <c r="B21" s="29" t="n">
        <v>8.73465328951584</v>
      </c>
      <c r="C21" s="29" t="n">
        <v>39.9858155687346</v>
      </c>
      <c r="D21" s="29" t="n">
        <v>13.3910645648438</v>
      </c>
      <c r="E21" s="29" t="n">
        <v>-89.8281556424943</v>
      </c>
      <c r="F21" s="29" t="n">
        <v>-56.1014028061839</v>
      </c>
      <c r="G21" s="29" t="n">
        <v>-37.4998228360015</v>
      </c>
    </row>
    <row r="22" customFormat="false" ht="15" hidden="false" customHeight="false" outlineLevel="0" collapsed="false">
      <c r="A22" s="64" t="n">
        <v>0.00187303153850644</v>
      </c>
      <c r="B22" s="29" t="n">
        <v>8.46324661112211</v>
      </c>
      <c r="C22" s="29" t="n">
        <v>39.7966638584235</v>
      </c>
      <c r="D22" s="29" t="n">
        <v>13.2905951626882</v>
      </c>
      <c r="E22" s="29" t="n">
        <v>-91.4408811893709</v>
      </c>
      <c r="F22" s="29" t="n">
        <v>-57.3833488820293</v>
      </c>
      <c r="G22" s="29" t="n">
        <v>-38.6292701752386</v>
      </c>
    </row>
    <row r="23" customFormat="false" ht="15" hidden="false" customHeight="false" outlineLevel="0" collapsed="false">
      <c r="A23" s="64" t="n">
        <v>0.00194346692653602</v>
      </c>
      <c r="B23" s="29" t="n">
        <v>8.18884131488342</v>
      </c>
      <c r="C23" s="29" t="n">
        <v>39.6018262280055</v>
      </c>
      <c r="D23" s="29" t="n">
        <v>13.1849640391109</v>
      </c>
      <c r="E23" s="29" t="n">
        <v>-93.0632238115935</v>
      </c>
      <c r="F23" s="29" t="n">
        <v>-58.6667613549474</v>
      </c>
      <c r="G23" s="29" t="n">
        <v>-39.7773080550439</v>
      </c>
    </row>
    <row r="24" customFormat="false" ht="15" hidden="false" customHeight="false" outlineLevel="0" collapsed="false">
      <c r="A24" s="64" t="n">
        <v>0.00201655103872475</v>
      </c>
      <c r="B24" s="29" t="n">
        <v>7.91159082478842</v>
      </c>
      <c r="C24" s="29" t="n">
        <v>39.4013922866461</v>
      </c>
      <c r="D24" s="29" t="n">
        <v>13.0740396231254</v>
      </c>
      <c r="E24" s="29" t="n">
        <v>-94.6959797253888</v>
      </c>
      <c r="F24" s="29" t="n">
        <v>-59.9506963829265</v>
      </c>
      <c r="G24" s="29" t="n">
        <v>-40.9431052489014</v>
      </c>
    </row>
    <row r="25" customFormat="false" ht="15" hidden="false" customHeight="false" outlineLevel="0" collapsed="false">
      <c r="A25" s="64" t="n">
        <v>0.00209238348039698</v>
      </c>
      <c r="B25" s="29" t="n">
        <v>7.63164425112979</v>
      </c>
      <c r="C25" s="29" t="n">
        <v>39.1954644004295</v>
      </c>
      <c r="D25" s="29" t="n">
        <v>12.957700199874</v>
      </c>
      <c r="E25" s="29" t="n">
        <v>-96.3399922210602</v>
      </c>
      <c r="F25" s="29" t="n">
        <v>-61.2342779373286</v>
      </c>
      <c r="G25" s="29" t="n">
        <v>-42.1257669386893</v>
      </c>
    </row>
    <row r="26" customFormat="false" ht="15" hidden="false" customHeight="false" outlineLevel="0" collapsed="false">
      <c r="A26" s="64" t="n">
        <v>0.00217106760253727</v>
      </c>
      <c r="B26" s="29" t="n">
        <v>7.34914606106192</v>
      </c>
      <c r="C26" s="29" t="n">
        <v>38.9841566841926</v>
      </c>
      <c r="D26" s="29" t="n">
        <v>12.8358350454841</v>
      </c>
      <c r="E26" s="29" t="n">
        <v>-97.9961443309467</v>
      </c>
      <c r="F26" s="29" t="n">
        <v>-62.5167044813149</v>
      </c>
      <c r="G26" s="29" t="n">
        <v>-43.3243397514512</v>
      </c>
    </row>
    <row r="27" customFormat="false" ht="15" hidden="false" customHeight="false" outlineLevel="0" collapsed="false">
      <c r="A27" s="64" t="n">
        <v>0.00225271064264598</v>
      </c>
      <c r="B27" s="29" t="n">
        <v>7.06423581794319</v>
      </c>
      <c r="C27" s="29" t="n">
        <v>38.7675939115856</v>
      </c>
      <c r="D27" s="29" t="n">
        <v>12.7083454948052</v>
      </c>
      <c r="E27" s="29" t="n">
        <v>-99.6653512008502</v>
      </c>
      <c r="F27" s="29" t="n">
        <v>-63.7972547450533</v>
      </c>
      <c r="G27" s="29" t="n">
        <v>-44.5378177388811</v>
      </c>
    </row>
    <row r="28" customFormat="false" ht="15" hidden="false" customHeight="false" outlineLevel="0" collapsed="false">
      <c r="A28" s="64" t="n">
        <v>0.00233742387089182</v>
      </c>
      <c r="B28" s="29" t="n">
        <v>6.77704798423966</v>
      </c>
      <c r="C28" s="29" t="n">
        <v>38.5459103642827</v>
      </c>
      <c r="D28" s="29" t="n">
        <v>12.5751459212409</v>
      </c>
      <c r="E28" s="29" t="n">
        <v>-101.34855218716</v>
      </c>
      <c r="F28" s="29" t="n">
        <v>-65.0752925561718</v>
      </c>
      <c r="G28" s="29" t="n">
        <v>-45.7651492522548</v>
      </c>
    </row>
    <row r="29" customFormat="false" ht="15" hidden="false" customHeight="false" outlineLevel="0" collapsed="false">
      <c r="A29" s="64" t="n">
        <v>0.00242532274176035</v>
      </c>
      <c r="B29" s="29" t="n">
        <v>6.48771178250099</v>
      </c>
      <c r="C29" s="29" t="n">
        <v>38.3192486413059</v>
      </c>
      <c r="D29" s="29" t="n">
        <v>12.4361646087695</v>
      </c>
      <c r="E29" s="29" t="n">
        <v>-103.046702696739</v>
      </c>
      <c r="F29" s="29" t="n">
        <v>-66.3502707065069</v>
      </c>
      <c r="G29" s="29" t="n">
        <v>-47.0052446424645</v>
      </c>
    </row>
    <row r="30" customFormat="false" ht="15" hidden="false" customHeight="false" outlineLevel="0" collapsed="false">
      <c r="A30" s="64" t="n">
        <v>0.00251652705140539</v>
      </c>
      <c r="B30" s="29" t="n">
        <v>6.19635110880558</v>
      </c>
      <c r="C30" s="29" t="n">
        <v>38.0877584488712</v>
      </c>
      <c r="D30" s="29" t="n">
        <v>12.2913444977954</v>
      </c>
      <c r="E30" s="29" t="n">
        <v>-104.76076578254</v>
      </c>
      <c r="F30" s="29" t="n">
        <v>-67.6217338576167</v>
      </c>
      <c r="G30" s="29" t="n">
        <v>-48.2569846925588</v>
      </c>
    </row>
    <row r="31" customFormat="false" ht="15" hidden="false" customHeight="false" outlineLevel="0" collapsed="false">
      <c r="A31" s="64" t="n">
        <v>0.00261116110091746</v>
      </c>
      <c r="B31" s="29" t="n">
        <v>5.90308449308703</v>
      </c>
      <c r="C31" s="29" t="n">
        <v>37.8515953900845</v>
      </c>
      <c r="D31" s="29" t="n">
        <v>12.1406437886629</v>
      </c>
      <c r="E31" s="29" t="n">
        <v>-106.491703505099</v>
      </c>
      <c r="F31" s="29" t="n">
        <v>-68.8893205071015</v>
      </c>
      <c r="G31" s="29" t="n">
        <v>-49.5192296696791</v>
      </c>
    </row>
    <row r="32" customFormat="false" ht="15" hidden="false" customHeight="false" outlineLevel="0" collapsed="false">
      <c r="A32" s="64" t="n">
        <v>0.00270935386573205</v>
      </c>
      <c r="B32" s="29" t="n">
        <v>5.60802510087374</v>
      </c>
      <c r="C32" s="29" t="n">
        <v>37.6109197722969</v>
      </c>
      <c r="D32" s="29" t="n">
        <v>11.9840363894395</v>
      </c>
      <c r="E32" s="29" t="n">
        <v>-108.240468068639</v>
      </c>
      <c r="F32" s="29" t="n">
        <v>-70.1527640549768</v>
      </c>
      <c r="G32" s="29" t="n">
        <v>-50.7908288654267</v>
      </c>
    </row>
    <row r="33" customFormat="false" ht="15" hidden="false" customHeight="false" outlineLevel="0" collapsed="false">
      <c r="A33" s="64" t="n">
        <v>0.00281123917140846</v>
      </c>
      <c r="B33" s="29" t="n">
        <v>5.3112807711777</v>
      </c>
      <c r="C33" s="29" t="n">
        <v>37.3658954480648</v>
      </c>
      <c r="D33" s="29" t="n">
        <v>11.8215121978616</v>
      </c>
      <c r="E33" s="29" t="n">
        <v>-110.007992740629</v>
      </c>
      <c r="F33" s="29" t="n">
        <v>-71.4118930237765</v>
      </c>
      <c r="G33" s="29" t="n">
        <v>-52.0706304792993</v>
      </c>
    </row>
    <row r="34" customFormat="false" ht="15" hidden="false" customHeight="false" outlineLevel="0" collapsed="false">
      <c r="A34" s="64" t="n">
        <v>0.0029169558760188</v>
      </c>
      <c r="B34" s="29" t="n">
        <v>5.01295408553567</v>
      </c>
      <c r="C34" s="29" t="n">
        <v>37.1166887035591</v>
      </c>
      <c r="D34" s="29" t="n">
        <v>11.6530772109993</v>
      </c>
      <c r="E34" s="29" t="n">
        <v>-111.795182565476</v>
      </c>
      <c r="F34" s="29" t="n">
        <v>-72.6666304975412</v>
      </c>
      <c r="G34" s="29" t="n">
        <v>-53.3574916895815</v>
      </c>
    </row>
    <row r="35" customFormat="false" ht="15" hidden="false" customHeight="false" outlineLevel="0" collapsed="false">
      <c r="A35" s="64" t="n">
        <v>0.00302664805939569</v>
      </c>
      <c r="B35" s="29" t="n">
        <v>4.7131424635191</v>
      </c>
      <c r="C35" s="29" t="n">
        <v>36.8634672060181</v>
      </c>
      <c r="D35" s="29" t="n">
        <v>11.4787534601219</v>
      </c>
      <c r="E35" s="29" t="n">
        <v>-113.602904886434</v>
      </c>
      <c r="F35" s="29" t="n">
        <v>-73.9169928532724</v>
      </c>
      <c r="G35" s="29" t="n">
        <v>-54.650288750455</v>
      </c>
    </row>
    <row r="36" customFormat="false" ht="15" hidden="false" customHeight="false" outlineLevel="0" collapsed="false">
      <c r="A36" s="64" t="n">
        <v>0.00314046521949675</v>
      </c>
      <c r="B36" s="29" t="n">
        <v>4.41193828037293</v>
      </c>
      <c r="C36" s="29" t="n">
        <v>36.606399019541</v>
      </c>
      <c r="D36" s="29" t="n">
        <v>11.2985787722599</v>
      </c>
      <c r="E36" s="29" t="n">
        <v>-115.431979695075</v>
      </c>
      <c r="F36" s="29" t="n">
        <v>-75.1630878638946</v>
      </c>
      <c r="G36" s="29" t="n">
        <v>-55.9479269533654</v>
      </c>
    </row>
    <row r="37" customFormat="false" ht="15" hidden="false" customHeight="false" outlineLevel="0" collapsed="false">
      <c r="A37" s="64" t="n">
        <v>0.00325856247615323</v>
      </c>
      <c r="B37" s="29" t="n">
        <v>4.1094290028039</v>
      </c>
      <c r="C37" s="29" t="n">
        <v>36.345651696249</v>
      </c>
      <c r="D37" s="29" t="n">
        <v>11.1126063639242</v>
      </c>
      <c r="E37" s="29" t="n">
        <v>-117.283169834601</v>
      </c>
      <c r="F37" s="29" t="n">
        <v>-76.4051122544329</v>
      </c>
      <c r="G37" s="29" t="n">
        <v>-57.2493502948972</v>
      </c>
    </row>
    <row r="38" customFormat="false" ht="15" hidden="false" customHeight="false" outlineLevel="0" collapsed="false">
      <c r="A38" s="64" t="n">
        <v>0.00338110078248069</v>
      </c>
      <c r="B38" s="29" t="n">
        <v>3.80569733930559</v>
      </c>
      <c r="C38" s="29" t="n">
        <v>36.081391447669</v>
      </c>
      <c r="D38" s="29" t="n">
        <v>10.9209042761858</v>
      </c>
      <c r="E38" s="29" t="n">
        <v>-119.157171091847</v>
      </c>
      <c r="F38" s="29" t="n">
        <v>-77.6433487932442</v>
      </c>
      <c r="G38" s="29" t="n">
        <v>-58.5535507023294</v>
      </c>
    </row>
    <row r="39" customFormat="false" ht="15" hidden="false" customHeight="false" outlineLevel="0" collapsed="false">
      <c r="A39" s="64" t="n">
        <v>0.00350824714423979</v>
      </c>
      <c r="B39" s="29" t="n">
        <v>3.50082140177199</v>
      </c>
      <c r="C39" s="29" t="n">
        <v>35.8137823991789</v>
      </c>
      <c r="D39" s="29" t="n">
        <v>10.7235546637144</v>
      </c>
      <c r="E39" s="29" t="n">
        <v>-121.054602223072</v>
      </c>
      <c r="F39" s="29" t="n">
        <v>-78.8781629980603</v>
      </c>
      <c r="G39" s="29" t="n">
        <v>-59.8595766812526</v>
      </c>
    </row>
    <row r="40" customFormat="false" ht="15" hidden="false" customHeight="false" outlineLevel="0" collapsed="false">
      <c r="A40" s="64" t="n">
        <v>0.00364017484744614</v>
      </c>
      <c r="B40" s="29" t="n">
        <v>3.19487487550504</v>
      </c>
      <c r="C40" s="29" t="n">
        <v>35.542985928528</v>
      </c>
      <c r="D40" s="29" t="n">
        <v>10.5206529532885</v>
      </c>
      <c r="E40" s="29" t="n">
        <v>-122.975994970151</v>
      </c>
      <c r="F40" s="29" t="n">
        <v>-80.1099995326629</v>
      </c>
      <c r="G40" s="29" t="n">
        <v>-61.1665412664796</v>
      </c>
    </row>
    <row r="41" customFormat="false" ht="15" hidden="false" customHeight="false" outlineLevel="0" collapsed="false">
      <c r="A41" s="64" t="n">
        <v>0.00377706369453937</v>
      </c>
      <c r="B41" s="29" t="n">
        <v>2.88792719506141</v>
      </c>
      <c r="C41" s="29" t="n">
        <v>35.2691600878409</v>
      </c>
      <c r="D41" s="29" t="n">
        <v>10.312306889636</v>
      </c>
      <c r="E41" s="29" t="n">
        <v>-124.921784136656</v>
      </c>
      <c r="F41" s="29" t="n">
        <v>-81.3393783645856</v>
      </c>
      <c r="G41" s="29" t="n">
        <v>-62.4736291771911</v>
      </c>
    </row>
    <row r="42" customFormat="false" ht="15" hidden="false" customHeight="false" outlineLevel="0" collapsed="false">
      <c r="A42" s="64" t="n">
        <v>0.0039191002494334</v>
      </c>
      <c r="B42" s="29" t="n">
        <v>2.58004372370411</v>
      </c>
      <c r="C42" s="29" t="n">
        <v>34.9924591071459</v>
      </c>
      <c r="D42" s="29" t="n">
        <v>10.0986354881792</v>
      </c>
      <c r="E42" s="29" t="n">
        <v>-126.892297806906</v>
      </c>
      <c r="F42" s="29" t="n">
        <v>-82.5668907476767</v>
      </c>
      <c r="G42" s="29" t="n">
        <v>-63.7801030989387</v>
      </c>
    </row>
    <row r="43" customFormat="false" ht="15" hidden="false" customHeight="false" outlineLevel="0" collapsed="false">
      <c r="A43" s="64" t="n">
        <v>0.00406647809178185</v>
      </c>
      <c r="B43" s="29" t="n">
        <v>2.27128593452354</v>
      </c>
      <c r="C43" s="29" t="n">
        <v>34.7130329763361</v>
      </c>
      <c r="D43" s="29" t="n">
        <v>9.87976791530871</v>
      </c>
      <c r="E43" s="29" t="n">
        <v>-128.887747805328</v>
      </c>
      <c r="F43" s="29" t="n">
        <v>-83.7931950860097</v>
      </c>
      <c r="G43" s="29" t="n">
        <v>-65.0853090378497</v>
      </c>
    </row>
    <row r="44" customFormat="false" ht="15" hidden="false" customHeight="false" outlineLevel="0" collapsed="false">
      <c r="A44" s="64" t="n">
        <v>0.00421939808080502</v>
      </c>
      <c r="B44" s="29" t="n">
        <v>1.96171159156889</v>
      </c>
      <c r="C44" s="29" t="n">
        <v>34.431027101571</v>
      </c>
      <c r="D44" s="29" t="n">
        <v>9.65584231720386</v>
      </c>
      <c r="E44" s="29" t="n">
        <v>-130.908220507681</v>
      </c>
      <c r="F44" s="29" t="n">
        <v>-85.0190127277988</v>
      </c>
      <c r="G44" s="29" t="n">
        <v>-66.3886807152187</v>
      </c>
    </row>
    <row r="45" customFormat="false" ht="15" hidden="false" customHeight="false" outlineLevel="0" collapsed="false">
      <c r="A45" s="64" t="n">
        <v>0.00437806862903817</v>
      </c>
      <c r="B45" s="29" t="n">
        <v>1.65137492958321</v>
      </c>
      <c r="C45" s="29" t="n">
        <v>34.1465820314475</v>
      </c>
      <c r="D45" s="29" t="n">
        <v>9.42700461798615</v>
      </c>
      <c r="E45" s="29" t="n">
        <v>-132.953668129469</v>
      </c>
      <c r="F45" s="29" t="n">
        <v>-86.2451237299235</v>
      </c>
      <c r="G45" s="29" t="n">
        <v>-67.6897429927801</v>
      </c>
    </row>
    <row r="46" customFormat="false" ht="15" hidden="false" customHeight="false" outlineLevel="0" collapsed="false">
      <c r="A46" s="64" t="n">
        <v>0.00454270598637404</v>
      </c>
      <c r="B46" s="29" t="n">
        <v>1.34032683116432</v>
      </c>
      <c r="C46" s="29" t="n">
        <v>33.8598332477894</v>
      </c>
      <c r="D46" s="29" t="n">
        <v>9.19340730719108</v>
      </c>
      <c r="E46" s="29" t="n">
        <v>-135.023900629538</v>
      </c>
      <c r="F46" s="29" t="n">
        <v>-87.4723626256337</v>
      </c>
      <c r="G46" s="29" t="n">
        <v>-68.9881143395664</v>
      </c>
    </row>
    <row r="47" customFormat="false" ht="15" hidden="false" customHeight="false" outlineLevel="0" collapsed="false">
      <c r="A47" s="64" t="n">
        <v>0.00471353453478691</v>
      </c>
      <c r="B47" s="29" t="n">
        <v>1.0286150003796</v>
      </c>
      <c r="C47" s="29" t="n">
        <v>33.5709110156053</v>
      </c>
      <c r="D47" s="29" t="n">
        <v>8.95520823525665</v>
      </c>
      <c r="E47" s="29" t="n">
        <v>-137.118578377701</v>
      </c>
      <c r="F47" s="29" t="n">
        <v>-88.701614220161</v>
      </c>
      <c r="G47" s="29" t="n">
        <v>-70.2835083697747</v>
      </c>
    </row>
    <row r="48" customFormat="false" ht="15" hidden="false" customHeight="false" outlineLevel="0" collapsed="false">
      <c r="A48" s="64" t="n">
        <v>0.00489078709413959</v>
      </c>
      <c r="B48" s="29" t="n">
        <v>0.71628413204606</v>
      </c>
      <c r="C48" s="29" t="n">
        <v>33.2799402866249</v>
      </c>
      <c r="D48" s="29" t="n">
        <v>8.71256943404157</v>
      </c>
      <c r="E48" s="29" t="n">
        <v>-139.237205743565</v>
      </c>
      <c r="F48" s="29" t="n">
        <v>-89.9338094314613</v>
      </c>
      <c r="G48" s="29" t="n">
        <v>-71.57573449699</v>
      </c>
    </row>
    <row r="49" customFormat="false" ht="15" hidden="false" customHeight="false" outlineLevel="0" collapsed="false">
      <c r="A49" s="64" t="n">
        <v>0.00507470523949047</v>
      </c>
      <c r="B49" s="29" t="n">
        <v>0.403376076049419</v>
      </c>
      <c r="C49" s="29" t="n">
        <v>32.9870406508115</v>
      </c>
      <c r="D49" s="29" t="n">
        <v>8.46565597740416</v>
      </c>
      <c r="E49" s="29" t="n">
        <v>-141.37912576878</v>
      </c>
      <c r="F49" s="29" t="n">
        <v>-91.1699211862499</v>
      </c>
      <c r="G49" s="29" t="n">
        <v>-72.864697763184</v>
      </c>
    </row>
    <row r="50" customFormat="false" ht="15" hidden="false" customHeight="false" outlineLevel="0" collapsed="false">
      <c r="A50" s="64" t="n">
        <v>0.00526553963033276</v>
      </c>
      <c r="B50" s="29" t="n">
        <v>0.0899299962185691</v>
      </c>
      <c r="C50" s="29" t="n">
        <v>32.6923263303544</v>
      </c>
      <c r="D50" s="29" t="n">
        <v>8.21463489469273</v>
      </c>
      <c r="E50" s="29" t="n">
        <v>-143.543516085929</v>
      </c>
      <c r="F50" s="29" t="n">
        <v>-92.4109603749523</v>
      </c>
      <c r="G50" s="29" t="n">
        <v>-74.1503979109355</v>
      </c>
    </row>
    <row r="51" customFormat="false" ht="15" hidden="false" customHeight="false" outlineLevel="0" collapsed="false">
      <c r="A51" s="64" t="n">
        <v>0.00546355035221488</v>
      </c>
      <c r="B51" s="29" t="n">
        <v>-0.224017476603706</v>
      </c>
      <c r="C51" s="29" t="n">
        <v>32.3959062108287</v>
      </c>
      <c r="D51" s="29" t="n">
        <v>7.95967414771727</v>
      </c>
      <c r="E51" s="29" t="n">
        <v>-145.729386243552</v>
      </c>
      <c r="F51" s="29" t="n">
        <v>-93.6579718632166</v>
      </c>
      <c r="G51" s="29" t="n">
        <v>-75.4329277743284</v>
      </c>
    </row>
    <row r="52" customFormat="false" ht="15" hidden="false" customHeight="false" outlineLevel="0" collapsed="false">
      <c r="A52" s="64" t="n">
        <v>0.00566900727120743</v>
      </c>
      <c r="B52" s="29" t="n">
        <v>-0.538432097545522</v>
      </c>
      <c r="C52" s="29" t="n">
        <v>32.0978839044703</v>
      </c>
      <c r="D52" s="29" t="n">
        <v>7.70094167947689</v>
      </c>
      <c r="E52" s="29" t="n">
        <v>-147.935576587742</v>
      </c>
      <c r="F52" s="29" t="n">
        <v>-94.9120305522458</v>
      </c>
      <c r="G52" s="29" t="n">
        <v>-76.7124710680806</v>
      </c>
    </row>
    <row r="53" customFormat="false" ht="15" hidden="false" customHeight="false" outlineLevel="0" collapsed="false">
      <c r="A53" s="64" t="n">
        <v>0.00588219040169996</v>
      </c>
      <c r="B53" s="29" t="n">
        <v>-0.853281866905427</v>
      </c>
      <c r="C53" s="29" t="n">
        <v>31.7983578408176</v>
      </c>
      <c r="D53" s="29" t="n">
        <v>7.43860454068433</v>
      </c>
      <c r="E53" s="29" t="n">
        <v>-150.160758835937</v>
      </c>
      <c r="F53" s="29" t="n">
        <v>-96.1742374754215</v>
      </c>
      <c r="G53" s="29" t="n">
        <v>-77.9892996558565</v>
      </c>
    </row>
    <row r="54" customFormat="false" ht="15" hidden="false" customHeight="false" outlineLevel="0" collapsed="false">
      <c r="A54" s="64" t="n">
        <v>0.00610339028802862</v>
      </c>
      <c r="B54" s="29" t="n">
        <v>-1.16853689564742</v>
      </c>
      <c r="C54" s="29" t="n">
        <v>31.4974213803101</v>
      </c>
      <c r="D54" s="29" t="n">
        <v>7.17282809802003</v>
      </c>
      <c r="E54" s="29" t="n">
        <v>-152.403438457742</v>
      </c>
      <c r="F54" s="29" t="n">
        <v>-97.4457159144966</v>
      </c>
      <c r="G54" s="29" t="n">
        <v>-79.2637703777231</v>
      </c>
    </row>
    <row r="55" customFormat="false" ht="15" hidden="false" customHeight="false" outlineLevel="0" collapsed="false">
      <c r="A55" s="64" t="n">
        <v>0.00633290840045511</v>
      </c>
      <c r="B55" s="29" t="n">
        <v>-1.48416927720586</v>
      </c>
      <c r="C55" s="29" t="n">
        <v>31.195162946793</v>
      </c>
      <c r="D55" s="29" t="n">
        <v>6.90377532611309</v>
      </c>
      <c r="E55" s="29" t="n">
        <v>-154.661958950806</v>
      </c>
      <c r="F55" s="29" t="n">
        <v>-98.727607515026</v>
      </c>
      <c r="G55" s="29" t="n">
        <v>-80.5363215136499</v>
      </c>
    </row>
    <row r="56" customFormat="false" ht="15" hidden="false" customHeight="false" outlineLevel="0" collapsed="false">
      <c r="A56" s="64" t="n">
        <v>0.00657105754603627</v>
      </c>
      <c r="B56" s="29" t="n">
        <v>-1.80015296555931</v>
      </c>
      <c r="C56" s="29" t="n">
        <v>30.8916661752419</v>
      </c>
      <c r="D56" s="29" t="n">
        <v>6.63160618351751</v>
      </c>
      <c r="E56" s="29" t="n">
        <v>-156.934508067363</v>
      </c>
      <c r="F56" s="29" t="n">
        <v>-100.021068377673</v>
      </c>
      <c r="G56" s="29" t="n">
        <v>-81.8074689551966</v>
      </c>
    </row>
    <row r="57" customFormat="false" ht="15" hidden="false" customHeight="false" outlineLevel="0" collapsed="false">
      <c r="A57" s="64" t="n">
        <v>0.00681816229494448</v>
      </c>
      <c r="B57" s="29" t="n">
        <v>-2.11646365948688</v>
      </c>
      <c r="C57" s="29" t="n">
        <v>30.5870100713897</v>
      </c>
      <c r="D57" s="29" t="n">
        <v>6.35647707145221</v>
      </c>
      <c r="E57" s="29" t="n">
        <v>-159.219126009505</v>
      </c>
      <c r="F57" s="29" t="n">
        <v>-101.327265099557</v>
      </c>
      <c r="G57" s="29" t="n">
        <v>-83.0778021514499</v>
      </c>
    </row>
    <row r="58" customFormat="false" ht="15" hidden="false" customHeight="false" outlineLevel="0" collapsed="false">
      <c r="A58" s="64" t="n">
        <v>0.00707455942281988</v>
      </c>
      <c r="B58" s="29" t="n">
        <v>-2.43307869288342</v>
      </c>
      <c r="C58" s="29" t="n">
        <v>30.2812691802896</v>
      </c>
      <c r="D58" s="29" t="n">
        <v>6.07854037280967</v>
      </c>
      <c r="E58" s="29" t="n">
        <v>-161.513715569708</v>
      </c>
      <c r="F58" s="29" t="n">
        <v>-102.647370737893</v>
      </c>
      <c r="G58" s="29" t="n">
        <v>-84.3479798882033</v>
      </c>
    </row>
    <row r="59" customFormat="false" ht="15" hidden="false" customHeight="false" outlineLevel="0" collapsed="false">
      <c r="A59" s="64" t="n">
        <v>0.00734059836975721</v>
      </c>
      <c r="B59" s="29" t="n">
        <v>-2.74997693098015</v>
      </c>
      <c r="C59" s="29" t="n">
        <v>29.9745137611973</v>
      </c>
      <c r="D59" s="29" t="n">
        <v>5.79794406791166</v>
      </c>
      <c r="E59" s="29" t="n">
        <v>-163.816054148657</v>
      </c>
      <c r="F59" s="29" t="n">
        <v>-103.982560666822</v>
      </c>
      <c r="G59" s="29" t="n">
        <v>-85.6187259516643</v>
      </c>
    </row>
    <row r="60" customFormat="false" ht="15" hidden="false" customHeight="false" outlineLevel="0" collapsed="false">
      <c r="A60" s="64" t="n">
        <v>0.00761664171655289</v>
      </c>
      <c r="B60" s="29" t="n">
        <v>-3.06713867229439</v>
      </c>
      <c r="C60" s="29" t="n">
        <v>29.6668099664729</v>
      </c>
      <c r="D60" s="29" t="n">
        <v>5.51483142269042</v>
      </c>
      <c r="E60" s="29" t="n">
        <v>-166.123807536661</v>
      </c>
      <c r="F60" s="29" t="n">
        <v>-105.334008297542</v>
      </c>
      <c r="G60" s="29" t="n">
        <v>-86.8908247199036</v>
      </c>
    </row>
    <row r="61" customFormat="false" ht="15" hidden="false" customHeight="false" outlineLevel="0" collapsed="false">
      <c r="A61" s="64" t="n">
        <v>0.00790306567886135</v>
      </c>
      <c r="B61" s="29" t="n">
        <v>-3.38454555611416</v>
      </c>
      <c r="C61" s="29" t="n">
        <v>29.3582200225127</v>
      </c>
      <c r="D61" s="29" t="n">
        <v>5.22934074438582</v>
      </c>
      <c r="E61" s="29" t="n">
        <v>-168.434545299574</v>
      </c>
      <c r="F61" s="29" t="n">
        <v>-106.702880631634</v>
      </c>
      <c r="G61" s="29" t="n">
        <v>-88.1651167170844</v>
      </c>
    </row>
    <row r="62" customFormat="false" ht="15" hidden="false" customHeight="false" outlineLevel="0" collapsed="false">
      <c r="A62" s="64" t="n">
        <v>0.00820026061993413</v>
      </c>
      <c r="B62" s="29" t="n">
        <v>-3.70218047531068</v>
      </c>
      <c r="C62" s="29" t="n">
        <v>29.0488024109977</v>
      </c>
      <c r="D62" s="29" t="n">
        <v>4.9416051994534</v>
      </c>
      <c r="E62" s="29" t="n">
        <v>-170.745757566999</v>
      </c>
      <c r="F62" s="29" t="n">
        <v>-108.090333617907</v>
      </c>
      <c r="G62" s="29" t="n">
        <v>-89.4424941574435</v>
      </c>
    </row>
    <row r="63" customFormat="false" ht="15" hidden="false" customHeight="false" outlineLevel="0" collapsed="false">
      <c r="A63" s="64" t="n">
        <v>0.00850863158264058</v>
      </c>
      <c r="B63" s="29" t="n">
        <v>-4.02002749426308</v>
      </c>
      <c r="C63" s="29" t="n">
        <v>28.7386120490038</v>
      </c>
      <c r="D63" s="29" t="n">
        <v>4.65175268815249</v>
      </c>
      <c r="E63" s="29" t="n">
        <v>-173.054872981498</v>
      </c>
      <c r="F63" s="29" t="n">
        <v>-109.497507284151</v>
      </c>
      <c r="G63" s="29" t="n">
        <v>-90.7238964982022</v>
      </c>
    </row>
    <row r="64" customFormat="false" ht="15" hidden="false" customHeight="false" outlineLevel="0" collapsed="false">
      <c r="A64" s="64" t="n">
        <v>0.00882859884149515</v>
      </c>
      <c r="B64" s="29" t="n">
        <v>-4.33807177167407</v>
      </c>
      <c r="C64" s="29" t="n">
        <v>28.4277004667547</v>
      </c>
      <c r="D64" s="29" t="n">
        <v>4.35990577020398</v>
      </c>
      <c r="E64" s="29" t="n">
        <v>-175.359277534347</v>
      </c>
      <c r="F64" s="29" t="n">
        <v>-110.925520616946</v>
      </c>
      <c r="G64" s="29" t="n">
        <v>-92.0103060131987</v>
      </c>
    </row>
    <row r="65" customFormat="false" ht="15" hidden="false" customHeight="false" outlineLevel="0" collapsed="false">
      <c r="A65" s="64" t="n">
        <v>0.00916059847544371</v>
      </c>
      <c r="B65" s="29" t="n">
        <v>-4.65629948805327</v>
      </c>
      <c r="C65" s="29" t="n">
        <v>28.1161159820038</v>
      </c>
      <c r="D65" s="29" t="n">
        <v>4.06618163595068</v>
      </c>
      <c r="E65" s="29" t="n">
        <v>-177.656333987574</v>
      </c>
      <c r="F65" s="29" t="n">
        <v>-112.375466165267</v>
      </c>
      <c r="G65" s="29" t="n">
        <v>-93.3027433921504</v>
      </c>
    </row>
    <row r="66" customFormat="false" ht="15" hidden="false" customHeight="false" outlineLevel="0" collapsed="false">
      <c r="A66" s="64" t="n">
        <v>0.00950508296218951</v>
      </c>
      <c r="B66" s="29" t="n">
        <v>-4.97469777764433</v>
      </c>
      <c r="C66" s="29" t="n">
        <v>27.8039038702243</v>
      </c>
      <c r="D66" s="29" t="n">
        <v>3.77069211759616</v>
      </c>
      <c r="E66" s="29" t="n">
        <v>-179.943401564878</v>
      </c>
      <c r="F66" s="29" t="n">
        <v>-113.848404346961</v>
      </c>
      <c r="G66" s="29" t="n">
        <v>-94.6022633641463</v>
      </c>
    </row>
    <row r="67" customFormat="false" ht="15" hidden="false" customHeight="false" outlineLevel="0" collapsed="false">
      <c r="A67" s="64" t="n">
        <v>0.00986252179486878</v>
      </c>
      <c r="B67" s="29" t="n">
        <v>-5.29325466457439</v>
      </c>
      <c r="C67" s="29" t="n">
        <v>27.4911065299496</v>
      </c>
      <c r="D67" s="29" t="n">
        <v>3.47354373531934</v>
      </c>
      <c r="E67" s="29" t="n">
        <v>-182.217855586354</v>
      </c>
      <c r="F67" s="29" t="n">
        <v>-115.345357441519</v>
      </c>
      <c r="G67" s="29" t="n">
        <v>-95.90995033827</v>
      </c>
    </row>
    <row r="68" customFormat="false" ht="15" hidden="false" customHeight="false" outlineLevel="0" collapsed="false">
      <c r="A68" s="64" t="n">
        <v>0.0102334021219164</v>
      </c>
      <c r="B68" s="29" t="n">
        <v>-5.61195900300771</v>
      </c>
      <c r="C68" s="29" t="n">
        <v>27.1777636427547</v>
      </c>
      <c r="D68" s="29" t="n">
        <v>3.1748377733426</v>
      </c>
      <c r="E68" s="29" t="n">
        <v>-184.477106724198</v>
      </c>
      <c r="F68" s="29" t="n">
        <v>-116.867303257826</v>
      </c>
      <c r="G68" s="29" t="n">
        <v>-97.2269140492046</v>
      </c>
    </row>
    <row r="69" customFormat="false" ht="15" hidden="false" customHeight="false" outlineLevel="0" collapsed="false">
      <c r="A69" s="64" t="n">
        <v>0.0106182294109938</v>
      </c>
      <c r="B69" s="29" t="n">
        <v>-5.93080042109001</v>
      </c>
      <c r="C69" s="29" t="n">
        <v>26.8639123274952</v>
      </c>
      <c r="D69" s="29" t="n">
        <v>2.87467038135325</v>
      </c>
      <c r="E69" s="29" t="n">
        <v>-186.718619568525</v>
      </c>
      <c r="F69" s="29" t="n">
        <v>-118.415168471957</v>
      </c>
      <c r="G69" s="29" t="n">
        <v>-98.55428519127</v>
      </c>
    </row>
    <row r="70" customFormat="false" ht="15" hidden="false" customHeight="false" outlineLevel="0" collapsed="false">
      <c r="A70" s="64" t="n">
        <v>0.0110175281378839</v>
      </c>
      <c r="B70" s="29" t="n">
        <v>-6.24976926847625</v>
      </c>
      <c r="C70" s="29" t="n">
        <v>26.5495872885324</v>
      </c>
      <c r="D70" s="29" t="n">
        <v>2.57313269702719</v>
      </c>
      <c r="E70" s="29" t="n">
        <v>-188.939930213649</v>
      </c>
      <c r="F70" s="29" t="n">
        <v>-119.989821637513</v>
      </c>
      <c r="G70" s="29" t="n">
        <v>-99.8932110206052</v>
      </c>
    </row>
    <row r="71" customFormat="false" ht="15" hidden="false" customHeight="false" outlineLevel="0" collapsed="false">
      <c r="A71" s="64" t="n">
        <v>0.0114318425012915</v>
      </c>
      <c r="B71" s="29" t="n">
        <v>-6.56885656724078</v>
      </c>
      <c r="C71" s="29" t="n">
        <v>26.2348209577695</v>
      </c>
      <c r="D71" s="29" t="n">
        <v>2.27031098576662</v>
      </c>
      <c r="E71" s="29" t="n">
        <v>-191.138662604584</v>
      </c>
      <c r="F71" s="29" t="n">
        <v>-121.592065879701</v>
      </c>
      <c r="G71" s="29" t="n">
        <v>-101.244850902136</v>
      </c>
    </row>
    <row r="72" customFormat="false" ht="15" hidden="false" customHeight="false" outlineLevel="0" collapsed="false">
      <c r="A72" s="64" t="n">
        <v>0.0118617371645248</v>
      </c>
      <c r="B72" s="29" t="n">
        <v>-6.88805396597631</v>
      </c>
      <c r="C72" s="29" t="n">
        <v>25.9196436304015</v>
      </c>
      <c r="D72" s="29" t="n">
        <v>1.96628679413067</v>
      </c>
      <c r="E72" s="29" t="n">
        <v>-193.312543419681</v>
      </c>
      <c r="F72" s="29" t="n">
        <v>-123.222631294159</v>
      </c>
      <c r="G72" s="29" t="n">
        <v>-102.610371775555</v>
      </c>
    </row>
    <row r="73" customFormat="false" ht="15" hidden="false" customHeight="false" outlineLevel="0" collapsed="false">
      <c r="A73" s="64" t="n">
        <v>0.0123077980250667</v>
      </c>
      <c r="B73" s="29" t="n">
        <v>-7.20735369689547</v>
      </c>
      <c r="C73" s="29" t="n">
        <v>25.604083594354</v>
      </c>
      <c r="D73" s="29" t="n">
        <v>1.66113711379976</v>
      </c>
      <c r="E73" s="29" t="n">
        <v>-195.459415306762</v>
      </c>
      <c r="F73" s="29" t="n">
        <v>-124.882167082553</v>
      </c>
      <c r="G73" s="29" t="n">
        <v>-103.990943512811</v>
      </c>
    </row>
    <row r="74" customFormat="false" ht="15" hidden="false" customHeight="false" outlineLevel="0" collapsed="false">
      <c r="A74" s="64" t="n">
        <v>0.0127706330130864</v>
      </c>
      <c r="B74" s="29" t="n">
        <v>-7.52674853575674</v>
      </c>
      <c r="C74" s="29" t="n">
        <v>25.2881672534409</v>
      </c>
      <c r="D74" s="29" t="n">
        <v>1.35493455326592</v>
      </c>
      <c r="E74" s="29" t="n">
        <v>-197.577248334773</v>
      </c>
      <c r="F74" s="29" t="n">
        <v>-126.571233469184</v>
      </c>
      <c r="G74" s="29" t="n">
        <v>-105.387734138549</v>
      </c>
    </row>
    <row r="75" customFormat="false" ht="15" hidden="false" customHeight="false" outlineLevel="0" collapsed="false">
      <c r="A75" s="64" t="n">
        <v>0.0132508729199795</v>
      </c>
      <c r="B75" s="29" t="n">
        <v>-7.84623176444445</v>
      </c>
      <c r="C75" s="29" t="n">
        <v>24.9719192443192</v>
      </c>
      <c r="D75" s="29" t="n">
        <v>1.0477475147757</v>
      </c>
      <c r="E75" s="29" t="n">
        <v>-199.664149569261</v>
      </c>
      <c r="F75" s="29" t="n">
        <v>-128.290293455947</v>
      </c>
      <c r="G75" s="29" t="n">
        <v>-106.801904884602</v>
      </c>
    </row>
    <row r="76" customFormat="false" ht="15" hidden="false" customHeight="false" outlineLevel="0" collapsed="false">
      <c r="A76" s="64" t="n">
        <v>0.0137491722580642</v>
      </c>
      <c r="B76" s="29" t="n">
        <v>-8.16579713604063</v>
      </c>
      <c r="C76" s="29" t="n">
        <v>24.6553625473586</v>
      </c>
      <c r="D76" s="29" t="n">
        <v>0.739640374368152</v>
      </c>
      <c r="E76" s="29" t="n">
        <v>-201.718370725875</v>
      </c>
      <c r="F76" s="29" t="n">
        <v>-130.039704487108</v>
      </c>
      <c r="G76" s="29" t="n">
        <v>-108.234605050035</v>
      </c>
    </row>
    <row r="77" customFormat="false" ht="15" hidden="false" customHeight="false" outlineLevel="0" collapsed="false">
      <c r="A77" s="64" t="n">
        <v>0.0142662101526074</v>
      </c>
      <c r="B77" s="29" t="n">
        <v>-8.48543884223438</v>
      </c>
      <c r="C77" s="29" t="n">
        <v>24.3385185915723</v>
      </c>
      <c r="D77" s="29" t="n">
        <v>0.430673663143506</v>
      </c>
      <c r="E77" s="29" t="n">
        <v>-203.738313900048</v>
      </c>
      <c r="F77" s="29" t="n">
        <v>-131.819710109973</v>
      </c>
      <c r="G77" s="29" t="n">
        <v>-109.686966639414</v>
      </c>
    </row>
    <row r="78" customFormat="false" ht="15" hidden="false" customHeight="false" outlineLevel="0" collapsed="false">
      <c r="A78" s="64" t="n">
        <v>0.0148026912673951</v>
      </c>
      <c r="B78" s="29" t="n">
        <v>-8.80515148292251</v>
      </c>
      <c r="C78" s="29" t="n">
        <v>24.0214073537833</v>
      </c>
      <c r="D78" s="29" t="n">
        <v>0.120904248168663</v>
      </c>
      <c r="E78" s="29" t="n">
        <v>-205.722535411625</v>
      </c>
      <c r="F78" s="29" t="n">
        <v>-133.630431732492</v>
      </c>
      <c r="G78" s="29" t="n">
        <v>-111.160098753975</v>
      </c>
    </row>
    <row r="79" customFormat="false" ht="15" hidden="false" customHeight="false" outlineLevel="0" collapsed="false">
      <c r="A79" s="64" t="n">
        <v>0.015359346765109</v>
      </c>
      <c r="B79" s="29" t="n">
        <v>-9.12493003786272</v>
      </c>
      <c r="C79" s="29" t="n">
        <v>23.7040474522159</v>
      </c>
      <c r="D79" s="29" t="n">
        <v>-0.189614488327946</v>
      </c>
      <c r="E79" s="29" t="n">
        <v>-207.669747839263</v>
      </c>
      <c r="F79" s="29" t="n">
        <v>-135.471860593723</v>
      </c>
      <c r="G79" s="29" t="n">
        <v>-112.65508171328</v>
      </c>
    </row>
    <row r="80" customFormat="false" ht="15" hidden="false" customHeight="false" outlineLevel="0" collapsed="false">
      <c r="A80" s="64" t="n">
        <v>0.0159369353038177</v>
      </c>
      <c r="B80" s="29" t="n">
        <v>-9.44476984024831</v>
      </c>
      <c r="C80" s="29" t="n">
        <v>23.3864562347178</v>
      </c>
      <c r="D80" s="29" t="n">
        <v>-0.500832472596378</v>
      </c>
      <c r="E80" s="29" t="n">
        <v>-209.578820350193</v>
      </c>
      <c r="F80" s="29" t="n">
        <v>-137.343850077262</v>
      </c>
      <c r="G80" s="29" t="n">
        <v>-114.172960888762</v>
      </c>
    </row>
    <row r="81" customFormat="false" ht="15" hidden="false" customHeight="false" outlineLevel="0" collapsed="false">
      <c r="A81" s="64" t="n">
        <v>0.0165362440709418</v>
      </c>
      <c r="B81" s="29" t="n">
        <v>-9.76466655208069</v>
      </c>
      <c r="C81" s="29" t="n">
        <v>23.0686498618268</v>
      </c>
      <c r="D81" s="29" t="n">
        <v>-0.812702766764391</v>
      </c>
      <c r="E81" s="29" t="n">
        <v>-211.448777455861</v>
      </c>
      <c r="F81" s="29" t="n">
        <v>-139.246108510873</v>
      </c>
      <c r="G81" s="29" t="n">
        <v>-115.714740235468</v>
      </c>
    </row>
    <row r="82" customFormat="false" ht="15" hidden="false" customHeight="false" outlineLevel="0" collapsed="false">
      <c r="A82" s="64" t="n">
        <v>0.0171580898561001</v>
      </c>
      <c r="B82" s="29" t="n">
        <v>-10.0846161412228</v>
      </c>
      <c r="C82" s="29" t="n">
        <v>22.7506433849022</v>
      </c>
      <c r="D82" s="29" t="n">
        <v>-1.12518140074198</v>
      </c>
      <c r="E82" s="29" t="n">
        <v>-213.278796342872</v>
      </c>
      <c r="F82" s="29" t="n">
        <v>-141.178192606767</v>
      </c>
      <c r="G82" s="29" t="n">
        <v>-117.281375514225</v>
      </c>
    </row>
    <row r="83" customFormat="false" ht="15" hidden="false" customHeight="false" outlineLevel="0" collapsed="false">
      <c r="A83" s="64" t="n">
        <v>0.0178033201643011</v>
      </c>
      <c r="B83" s="29" t="n">
        <v>-10.4046148600239</v>
      </c>
      <c r="C83" s="29" t="n">
        <v>22.4324508195457</v>
      </c>
      <c r="D83" s="29" t="n">
        <v>-1.43822720922009</v>
      </c>
      <c r="E83" s="29" t="n">
        <v>-215.068202941648</v>
      </c>
      <c r="F83" s="29" t="n">
        <v>-143.139501705666</v>
      </c>
      <c r="G83" s="29" t="n">
        <v>-118.873767203588</v>
      </c>
    </row>
    <row r="84" customFormat="false" ht="15" hidden="false" customHeight="false" outlineLevel="0" collapsed="false">
      <c r="A84" s="64" t="n">
        <v>0.0184728143709963</v>
      </c>
      <c r="B84" s="29" t="n">
        <v>-10.7246592254116</v>
      </c>
      <c r="C84" s="29" t="n">
        <v>22.1140852145329</v>
      </c>
      <c r="D84" s="29" t="n">
        <v>-1.75180167421451</v>
      </c>
      <c r="E84" s="29" t="n">
        <v>-216.816466902572</v>
      </c>
      <c r="F84" s="29" t="n">
        <v>-145.129272993285</v>
      </c>
      <c r="G84" s="29" t="n">
        <v>-120.492753109184</v>
      </c>
    </row>
    <row r="85" customFormat="false" ht="15" hidden="false" customHeight="false" outlineLevel="0" collapsed="false">
      <c r="A85" s="64" t="n">
        <v>0.0191674849205682</v>
      </c>
      <c r="B85" s="29" t="n">
        <v>-11.0447460003552</v>
      </c>
      <c r="C85" s="29" t="n">
        <v>21.7955587164796</v>
      </c>
      <c r="D85" s="29" t="n">
        <v>-2.06586877348575</v>
      </c>
      <c r="E85" s="29" t="n">
        <v>-218.523195651612</v>
      </c>
      <c r="F85" s="29" t="n">
        <v>-147.146577859264</v>
      </c>
      <c r="G85" s="29" t="n">
        <v>-122.139100687604</v>
      </c>
    </row>
    <row r="86" customFormat="false" ht="15" hidden="false" customHeight="false" outlineLevel="0" collapsed="false">
      <c r="A86" s="64" t="n">
        <v>0.0198882785698881</v>
      </c>
      <c r="B86" s="29" t="n">
        <v>-11.3648721766077</v>
      </c>
      <c r="C86" s="29" t="n">
        <v>21.476882630462</v>
      </c>
      <c r="D86" s="29" t="n">
        <v>-2.38039483506222</v>
      </c>
      <c r="E86" s="29" t="n">
        <v>-220.18812769516</v>
      </c>
      <c r="F86" s="29" t="n">
        <v>-149.190319565378</v>
      </c>
      <c r="G86" s="29" t="n">
        <v>-123.813499112697</v>
      </c>
    </row>
    <row r="87" customFormat="false" ht="15" hidden="false" customHeight="false" outlineLevel="0" collapsed="false">
      <c r="A87" s="64" t="n">
        <v>0.0206361776786386</v>
      </c>
      <c r="B87" s="29" t="n">
        <v>-11.6850349586415</v>
      </c>
      <c r="C87" s="29" t="n">
        <v>21.1580674768027</v>
      </c>
      <c r="D87" s="29" t="n">
        <v>-2.69534839800511</v>
      </c>
      <c r="E87" s="29" t="n">
        <v>-221.811125337788</v>
      </c>
      <c r="F87" s="29" t="n">
        <v>-151.259232381339</v>
      </c>
      <c r="G87" s="29" t="n">
        <v>-125.516551124002</v>
      </c>
    </row>
    <row r="88" customFormat="false" ht="15" hidden="false" customHeight="false" outlineLevel="0" collapsed="false">
      <c r="A88" s="64" t="n">
        <v>0.0214122015481573</v>
      </c>
      <c r="B88" s="29" t="n">
        <v>-12.0052317486981</v>
      </c>
      <c r="C88" s="29" t="n">
        <v>20.839123044235</v>
      </c>
      <c r="D88" s="29" t="n">
        <v>-3.01070007947822</v>
      </c>
      <c r="E88" s="29" t="n">
        <v>-223.392166967446</v>
      </c>
      <c r="F88" s="29" t="n">
        <v>-153.351882332252</v>
      </c>
      <c r="G88" s="29" t="n">
        <v>-127.248764710019</v>
      </c>
    </row>
    <row r="89" customFormat="false" ht="15" hidden="false" customHeight="false" outlineLevel="0" collapsed="false">
      <c r="A89" s="64" t="n">
        <v>0.0222174078106288</v>
      </c>
      <c r="B89" s="29" t="n">
        <v>-12.3254601328755</v>
      </c>
      <c r="C89" s="29" t="n">
        <v>20.5200584396439</v>
      </c>
      <c r="D89" s="29" t="n">
        <v>-3.32642244812204</v>
      </c>
      <c r="E89" s="29" t="n">
        <v>-224.931339051251</v>
      </c>
      <c r="F89" s="29" t="n">
        <v>-155.466669681562</v>
      </c>
      <c r="G89" s="29" t="n">
        <v>-129.010544692896</v>
      </c>
    </row>
    <row r="90" customFormat="false" ht="15" hidden="false" customHeight="false" outlineLevel="0" collapsed="false">
      <c r="A90" s="64" t="n">
        <v>0.0230528938705171</v>
      </c>
      <c r="B90" s="29" t="n">
        <v>-12.6457178681837</v>
      </c>
      <c r="C90" s="29" t="n">
        <v>20.2008821345818</v>
      </c>
      <c r="D90" s="29" t="n">
        <v>-3.64248990367937</v>
      </c>
      <c r="E90" s="29" t="n">
        <v>-226.428827971882</v>
      </c>
      <c r="F90" s="29" t="n">
        <v>-157.601833247104</v>
      </c>
      <c r="G90" s="29" t="n">
        <v>-130.802184295677</v>
      </c>
    </row>
    <row r="91" customFormat="false" ht="15" hidden="false" customHeight="false" outlineLevel="0" collapsed="false">
      <c r="A91" s="64" t="n">
        <v>0.0239197984002024</v>
      </c>
      <c r="B91" s="29" t="n">
        <v>-12.9660028705022</v>
      </c>
      <c r="C91" s="29" t="n">
        <v>19.8816020087449</v>
      </c>
      <c r="D91" s="29" t="n">
        <v>-3.95887856277558</v>
      </c>
      <c r="E91" s="29" t="n">
        <v>-227.884911820534</v>
      </c>
      <c r="F91" s="29" t="n">
        <v>-159.755456615883</v>
      </c>
      <c r="G91" s="29" t="n">
        <v>-132.623856788222</v>
      </c>
    </row>
    <row r="92" customFormat="false" ht="15" hidden="false" customHeight="false" outlineLevel="0" collapsed="false">
      <c r="A92" s="64" t="n">
        <v>0.0248193028918625</v>
      </c>
      <c r="B92" s="29" t="n">
        <v>-13.2863132033782</v>
      </c>
      <c r="C92" s="29" t="n">
        <v>19.5622253905909</v>
      </c>
      <c r="D92" s="29" t="n">
        <v>-4.27556615072199</v>
      </c>
      <c r="E92" s="29" t="n">
        <v>-229.299952247856</v>
      </c>
      <c r="F92" s="29" t="n">
        <v>-161.9254762861</v>
      </c>
      <c r="G92" s="29" t="n">
        <v>-134.475607322896</v>
      </c>
    </row>
    <row r="93" customFormat="false" ht="15" hidden="false" customHeight="false" outlineLevel="0" collapsed="false">
      <c r="A93" s="64" t="n">
        <v>0.025752633267712</v>
      </c>
      <c r="B93" s="29" t="n">
        <v>-13.6066470676072</v>
      </c>
      <c r="C93" s="29" t="n">
        <v>19.2427590952697</v>
      </c>
      <c r="D93" s="29" t="n">
        <v>-4.59253189918277</v>
      </c>
      <c r="E93" s="29" t="n">
        <v>-230.674386459778</v>
      </c>
      <c r="F93" s="29" t="n">
        <v>-164.109691723545</v>
      </c>
      <c r="G93" s="29" t="n">
        <v>-136.357345085625</v>
      </c>
    </row>
    <row r="94" customFormat="false" ht="15" hidden="false" customHeight="false" outlineLevel="0" collapsed="false">
      <c r="A94" s="64" t="n">
        <v>0.0267210615507943</v>
      </c>
      <c r="B94" s="29" t="n">
        <v>-13.9270027915432</v>
      </c>
      <c r="C94" s="29" t="n">
        <v>18.923209460031</v>
      </c>
      <c r="D94" s="29" t="n">
        <v>-4.90975644952382</v>
      </c>
      <c r="E94" s="29" t="n">
        <v>-232.008719431038</v>
      </c>
      <c r="F94" s="29" t="n">
        <v>-166.305777275084</v>
      </c>
      <c r="G94" s="29" t="n">
        <v>-138.268835901419</v>
      </c>
    </row>
    <row r="95" customFormat="false" ht="15" hidden="false" customHeight="false" outlineLevel="0" collapsed="false">
      <c r="A95" s="64" t="n">
        <v>0.0277259075986048</v>
      </c>
      <c r="B95" s="29" t="n">
        <v>-14.247378822088</v>
      </c>
      <c r="C95" s="29" t="n">
        <v>18.6035823772639</v>
      </c>
      <c r="D95" s="29" t="n">
        <v>-5.22722176164597</v>
      </c>
      <c r="E95" s="29" t="n">
        <v>-233.303516395828</v>
      </c>
      <c r="F95" s="29" t="n">
        <v>-168.511295835957</v>
      </c>
      <c r="G95" s="29" t="n">
        <v>-140.209695445322</v>
      </c>
    </row>
    <row r="96" customFormat="false" ht="15" hidden="false" customHeight="false" outlineLevel="0" collapsed="false">
      <c r="A96" s="64" t="n">
        <v>0.0287685409019059</v>
      </c>
      <c r="B96" s="29" t="n">
        <v>-14.5677737163115</v>
      </c>
      <c r="C96" s="29" t="n">
        <v>18.2838833253178</v>
      </c>
      <c r="D96" s="29" t="n">
        <v>-5.54491102809298</v>
      </c>
      <c r="E96" s="29" t="n">
        <v>-234.55939566251</v>
      </c>
      <c r="F96" s="29" t="n">
        <v>-170.723714121783</v>
      </c>
      <c r="G96" s="29" t="n">
        <v>-142.179383219234</v>
      </c>
    </row>
    <row r="97" customFormat="false" ht="15" hidden="false" customHeight="false" outlineLevel="0" collapsed="false">
      <c r="A97" s="64" t="n">
        <v>0.0298503824511873</v>
      </c>
      <c r="B97" s="29" t="n">
        <v>-14.8881861336621</v>
      </c>
      <c r="C97" s="29" t="n">
        <v>17.9641173972436</v>
      </c>
      <c r="D97" s="29" t="n">
        <v>-5.86280859321694</v>
      </c>
      <c r="E97" s="29" t="n">
        <v>-235.777021787952</v>
      </c>
      <c r="F97" s="29" t="n">
        <v>-172.940419352289</v>
      </c>
      <c r="G97" s="29" t="n">
        <v>-144.177197461507</v>
      </c>
    </row>
    <row r="98" customFormat="false" ht="15" hidden="false" customHeight="false" outlineLevel="0" collapsed="false">
      <c r="A98" s="64" t="n">
        <v>0.0309729066733141</v>
      </c>
      <c r="B98" s="29" t="n">
        <v>-15.2086148287231</v>
      </c>
      <c r="C98" s="29" t="n">
        <v>17.6442893275882</v>
      </c>
      <c r="D98" s="29" t="n">
        <v>-6.18089987717906</v>
      </c>
      <c r="E98" s="29" t="n">
        <v>-236.957099136816</v>
      </c>
      <c r="F98" s="29" t="n">
        <v>-175.158737113738</v>
      </c>
      <c r="G98" s="29" t="n">
        <v>-146.202271158848</v>
      </c>
    </row>
    <row r="99" customFormat="false" ht="15" hidden="false" customHeight="false" outlineLevel="0" collapsed="false">
      <c r="A99" s="64" t="n">
        <v>0.0321376434410028</v>
      </c>
      <c r="B99" s="29" t="n">
        <v>-15.5290586444795</v>
      </c>
      <c r="C99" s="29" t="n">
        <v>17.3244035173671</v>
      </c>
      <c r="D99" s="29" t="n">
        <v>-6.49917130456217</v>
      </c>
      <c r="E99" s="29" t="n">
        <v>-238.100365842082</v>
      </c>
      <c r="F99" s="29" t="n">
        <v>-177.375950132595</v>
      </c>
      <c r="G99" s="29" t="n">
        <v>-148.253569328172</v>
      </c>
    </row>
    <row r="100" customFormat="false" ht="15" hidden="false" customHeight="false" outlineLevel="0" collapsed="false">
      <c r="A100" s="64" t="n">
        <v>0.0333461801578636</v>
      </c>
      <c r="B100" s="29" t="n">
        <v>-15.8495165060586</v>
      </c>
      <c r="C100" s="29" t="n">
        <v>17.004464057334</v>
      </c>
      <c r="D100" s="29" t="n">
        <v>-6.81761023737163</v>
      </c>
      <c r="E100" s="29" t="n">
        <v>-239.207588175249</v>
      </c>
      <c r="F100" s="29" t="n">
        <v>-179.589317665753</v>
      </c>
      <c r="G100" s="29" t="n">
        <v>-150.329887729046</v>
      </c>
    </row>
    <row r="101" customFormat="false" ht="15" hidden="false" customHeight="false" outlineLevel="0" collapsed="false">
      <c r="A101" s="64" t="n">
        <v>0.0346001639218511</v>
      </c>
      <c r="B101" s="29" t="n">
        <v>-16.1699874149119</v>
      </c>
      <c r="C101" s="29" t="n">
        <v>16.6844747496574</v>
      </c>
      <c r="D101" s="29" t="n">
        <v>-7.13620491220367</v>
      </c>
      <c r="E101" s="29" t="n">
        <v>-240.279555327964</v>
      </c>
      <c r="F101" s="29" t="n">
        <v>-181.796095193911</v>
      </c>
      <c r="G101" s="29" t="n">
        <v>-152.429853154743</v>
      </c>
    </row>
    <row r="102" customFormat="false" ht="15" hidden="false" customHeight="false" outlineLevel="0" collapsed="false">
      <c r="A102" s="64" t="n">
        <v>0.0359013037700707</v>
      </c>
      <c r="B102" s="29" t="n">
        <v>-16.4904704434069</v>
      </c>
      <c r="C102" s="29" t="n">
        <v>16.3644391281105</v>
      </c>
      <c r="D102" s="29" t="n">
        <v>-7.45494438136421</v>
      </c>
      <c r="E102" s="29" t="n">
        <v>-241.317074601213</v>
      </c>
      <c r="F102" s="29" t="n">
        <v>-183.993554095344</v>
      </c>
      <c r="G102" s="29" t="n">
        <v>-154.551925431295</v>
      </c>
    </row>
    <row r="103" customFormat="false" ht="15" hidden="false" customHeight="false" outlineLevel="0" collapsed="false">
      <c r="A103" s="64" t="n">
        <v>0.0372513730080021</v>
      </c>
      <c r="B103" s="29" t="n">
        <v>-16.8109647298009</v>
      </c>
      <c r="C103" s="29" t="n">
        <v>16.0443604768711</v>
      </c>
      <c r="D103" s="29" t="n">
        <v>-7.77381845772613</v>
      </c>
      <c r="E103" s="29" t="n">
        <v>-242.320966993609</v>
      </c>
      <c r="F103" s="29" t="n">
        <v>-186.179000977888</v>
      </c>
      <c r="G103" s="29" t="n">
        <v>-156.694401229369</v>
      </c>
    </row>
    <row r="104" customFormat="false" ht="15" hidden="false" customHeight="false" outlineLevel="0" collapsed="false">
      <c r="A104" s="64" t="n">
        <v>0.0386522116263126</v>
      </c>
      <c r="B104" s="29" t="n">
        <v>-17.1314694735694</v>
      </c>
      <c r="C104" s="29" t="n">
        <v>15.7242418480247</v>
      </c>
      <c r="D104" s="29" t="n">
        <v>-8.09281766311917</v>
      </c>
      <c r="E104" s="29" t="n">
        <v>-243.292063176613</v>
      </c>
      <c r="F104" s="29" t="n">
        <v>-188.349796357293</v>
      </c>
      <c r="G104" s="29" t="n">
        <v>-158.855419763307</v>
      </c>
    </row>
    <row r="105" customFormat="false" ht="15" hidden="false" customHeight="false" outlineLevel="0" collapsed="false">
      <c r="A105" s="64" t="n">
        <v>0.040105728808555</v>
      </c>
      <c r="B105" s="29" t="n">
        <v>-17.4519839310644</v>
      </c>
      <c r="C105" s="29" t="n">
        <v>15.404086077858</v>
      </c>
      <c r="D105" s="29" t="n">
        <v>-8.41193318005325</v>
      </c>
      <c r="E105" s="29" t="n">
        <v>-244.23119984168</v>
      </c>
      <c r="F105" s="29" t="n">
        <v>-190.50337238984</v>
      </c>
      <c r="G105" s="29" t="n">
        <v>-161.032970415886</v>
      </c>
    </row>
    <row r="106" customFormat="false" ht="15" hidden="false" customHeight="false" outlineLevel="0" collapsed="false">
      <c r="A106" s="64" t="n">
        <v>0.0416139055331671</v>
      </c>
      <c r="B106" s="29" t="n">
        <v>-17.7725074114802</v>
      </c>
      <c r="C106" s="29" t="n">
        <v>15.083895802023</v>
      </c>
      <c r="D106" s="29" t="n">
        <v>-8.73115680658345</v>
      </c>
      <c r="E106" s="29" t="n">
        <v>-245.139216402163</v>
      </c>
      <c r="F106" s="29" t="n">
        <v>-192.637249395182</v>
      </c>
      <c r="G106" s="29" t="n">
        <v>-163.224902287015</v>
      </c>
    </row>
    <row r="107" customFormat="false" ht="15" hidden="false" customHeight="false" outlineLevel="0" collapsed="false">
      <c r="A107" s="64" t="n">
        <v>0.0431787972733202</v>
      </c>
      <c r="B107" s="29" t="n">
        <v>-18.0930392731039</v>
      </c>
      <c r="C107" s="29" t="n">
        <v>14.7636734696484</v>
      </c>
      <c r="D107" s="29" t="n">
        <v>-9.0504809141323</v>
      </c>
      <c r="E107" s="29" t="n">
        <v>-246.016952031277</v>
      </c>
      <c r="F107" s="29" t="n">
        <v>-194.749050940554</v>
      </c>
      <c r="G107" s="29" t="n">
        <v>-165.428935620906</v>
      </c>
    </row>
    <row r="108" customFormat="false" ht="15" hidden="false" customHeight="false" outlineLevel="0" collapsed="false">
      <c r="A108" s="64" t="n">
        <v>0.0448025367982949</v>
      </c>
      <c r="B108" s="29" t="n">
        <v>-18.4135789198312</v>
      </c>
      <c r="C108" s="29" t="n">
        <v>14.44342135647</v>
      </c>
      <c r="D108" s="29" t="n">
        <v>-9.36989840809338</v>
      </c>
      <c r="E108" s="29" t="n">
        <v>-246.865243016505</v>
      </c>
      <c r="F108" s="29" t="n">
        <v>-196.836517298054</v>
      </c>
      <c r="G108" s="29" t="n">
        <v>-167.642675020502</v>
      </c>
    </row>
    <row r="109" customFormat="false" ht="15" hidden="false" customHeight="false" outlineLevel="0" collapsed="false">
      <c r="A109" s="64" t="n">
        <v>0.0464873370802026</v>
      </c>
      <c r="B109" s="29" t="n">
        <v>-18.7341257979292</v>
      </c>
      <c r="C109" s="29" t="n">
        <v>14.1231415770461</v>
      </c>
      <c r="D109" s="29" t="n">
        <v>-9.68940269104759</v>
      </c>
      <c r="E109" s="29" t="n">
        <v>-247.684920410235</v>
      </c>
      <c r="F109" s="29" t="n">
        <v>-198.897517130967</v>
      </c>
      <c r="G109" s="29" t="n">
        <v>-169.863624311956</v>
      </c>
    </row>
    <row r="110" customFormat="false" ht="15" hidden="false" customHeight="false" outlineLevel="0" collapsed="false">
      <c r="A110" s="64" t="n">
        <v>0.0482354943100147</v>
      </c>
      <c r="B110" s="29" t="n">
        <v>-19.0546793930279</v>
      </c>
      <c r="C110" s="29" t="n">
        <v>13.8028360961206</v>
      </c>
      <c r="D110" s="29" t="n">
        <v>-10.0089876284322</v>
      </c>
      <c r="E110" s="29" t="n">
        <v>-248.476807956346</v>
      </c>
      <c r="F110" s="29" t="n">
        <v>-200.930057311118</v>
      </c>
      <c r="G110" s="29" t="n">
        <v>-172.089202877387</v>
      </c>
    </row>
    <row r="111" customFormat="false" ht="15" hidden="false" customHeight="false" outlineLevel="0" collapsed="false">
      <c r="A111" s="64" t="n">
        <v>0.0500493910270095</v>
      </c>
      <c r="B111" s="29" t="n">
        <v>-19.3752392273257</v>
      </c>
      <c r="C111" s="29" t="n">
        <v>13.4825067391924</v>
      </c>
      <c r="D111" s="29" t="n">
        <v>-10.3286475165101</v>
      </c>
      <c r="E111" s="29" t="n">
        <v>-249.241720272573</v>
      </c>
      <c r="F111" s="29" t="n">
        <v>-202.932290815236</v>
      </c>
      <c r="G111" s="29" t="n">
        <v>-174.316763232897</v>
      </c>
    </row>
    <row r="112" customFormat="false" ht="15" hidden="false" customHeight="false" outlineLevel="0" collapsed="false">
      <c r="A112" s="64" t="n">
        <v>0.0519314993659021</v>
      </c>
      <c r="B112" s="29" t="n">
        <v>-19.6958048569914</v>
      </c>
      <c r="C112" s="29" t="n">
        <v>13.1621552023448</v>
      </c>
      <c r="D112" s="29" t="n">
        <v>-10.648377052495</v>
      </c>
      <c r="E112" s="29" t="n">
        <v>-249.980461268932</v>
      </c>
      <c r="F112" s="29" t="n">
        <v>-204.902522692593</v>
      </c>
      <c r="G112" s="29" t="n">
        <v>-176.543609592786</v>
      </c>
    </row>
    <row r="113" customFormat="false" ht="15" hidden="false" customHeight="false" outlineLevel="0" collapsed="false">
      <c r="A113" s="64" t="n">
        <v>0.0538843844260822</v>
      </c>
      <c r="B113" s="29" t="n">
        <v>-20.0163758697521</v>
      </c>
      <c r="C113" s="29" t="n">
        <v>12.8417830613872</v>
      </c>
      <c r="D113" s="29" t="n">
        <v>-10.9681713066961</v>
      </c>
      <c r="E113" s="29" t="n">
        <v>-250.693822783082</v>
      </c>
      <c r="F113" s="29" t="n">
        <v>-206.8392141373</v>
      </c>
      <c r="G113" s="29" t="n">
        <v>-178.76701713162</v>
      </c>
    </row>
    <row r="114" customFormat="false" ht="15" hidden="false" customHeight="false" outlineLevel="0" collapsed="false">
      <c r="A114" s="64" t="n">
        <v>0.0559107077675529</v>
      </c>
      <c r="B114" s="29" t="n">
        <v>-20.3369518826507</v>
      </c>
      <c r="C114" s="29" t="n">
        <v>12.5213917803545</v>
      </c>
      <c r="D114" s="29" t="n">
        <v>-11.2880256965519</v>
      </c>
      <c r="E114" s="29" t="n">
        <v>-251.382583414241</v>
      </c>
      <c r="F114" s="29" t="n">
        <v>-208.740984735405</v>
      </c>
      <c r="G114" s="29" t="n">
        <v>-180.984251634713</v>
      </c>
    </row>
    <row r="115" customFormat="false" ht="15" hidden="false" customHeight="false" outlineLevel="0" collapsed="false">
      <c r="A115" s="64" t="n">
        <v>0.0580132310383338</v>
      </c>
      <c r="B115" s="29" t="n">
        <v>-20.6575325399633</v>
      </c>
      <c r="C115" s="29" t="n">
        <v>12.2009827194112</v>
      </c>
      <c r="D115" s="29" t="n">
        <v>-11.6079359624333</v>
      </c>
      <c r="E115" s="29" t="n">
        <v>-252.047507538155</v>
      </c>
      <c r="F115" s="29" t="n">
        <v>-210.606612988466</v>
      </c>
      <c r="G115" s="29" t="n">
        <v>-183.192589215735</v>
      </c>
    </row>
    <row r="116" customFormat="false" ht="15" hidden="false" customHeight="false" outlineLevel="0" collapsed="false">
      <c r="A116" s="64" t="n">
        <v>0.0601948197382727</v>
      </c>
      <c r="B116" s="29" t="n">
        <v>-20.9781175112641</v>
      </c>
      <c r="C116" s="29" t="n">
        <v>11.8805571421986</v>
      </c>
      <c r="D116" s="29" t="n">
        <v>-11.9278981450986</v>
      </c>
      <c r="E116" s="29" t="n">
        <v>-252.689344486544</v>
      </c>
      <c r="F116" s="29" t="n">
        <v>-212.4350352411</v>
      </c>
      <c r="G116" s="29" t="n">
        <v>-185.389335778025</v>
      </c>
    </row>
    <row r="117" customFormat="false" ht="15" hidden="false" customHeight="false" outlineLevel="0" collapsed="false">
      <c r="A117" s="64" t="n">
        <v>0.0624584471243962</v>
      </c>
      <c r="B117" s="29" t="n">
        <v>-21.2987064896271</v>
      </c>
      <c r="C117" s="29" t="n">
        <v>11.5601162226664</v>
      </c>
      <c r="D117" s="29" t="n">
        <v>-12.2479085646934</v>
      </c>
      <c r="E117" s="29" t="n">
        <v>-253.308827875403</v>
      </c>
      <c r="F117" s="29" t="n">
        <v>-214.225343159728</v>
      </c>
      <c r="G117" s="29" t="n">
        <v>-187.571845904006</v>
      </c>
    </row>
    <row r="118" customFormat="false" ht="15" hidden="false" customHeight="false" outlineLevel="0" collapsed="false">
      <c r="A118" s="64" t="n">
        <v>0.0648071982631197</v>
      </c>
      <c r="B118" s="29" t="n">
        <v>-21.6192991899565</v>
      </c>
      <c r="C118" s="29" t="n">
        <v>11.2396610514226</v>
      </c>
      <c r="D118" s="29" t="n">
        <v>-12.5679638011943</v>
      </c>
      <c r="E118" s="29" t="n">
        <v>-253.906675067575</v>
      </c>
      <c r="F118" s="29" t="n">
        <v>-215.976779923638</v>
      </c>
      <c r="G118" s="29" t="n">
        <v>-189.737540874418</v>
      </c>
    </row>
    <row r="119" customFormat="false" ht="15" hidden="false" customHeight="false" outlineLevel="0" collapsed="false">
      <c r="A119" s="64" t="n">
        <v>0.0672442742348425</v>
      </c>
      <c r="B119" s="29" t="n">
        <v>-21.9398953474344</v>
      </c>
      <c r="C119" s="29" t="n">
        <v>10.9191926416364</v>
      </c>
      <c r="D119" s="29" t="n">
        <v>-12.8880606761986</v>
      </c>
      <c r="E119" s="29" t="n">
        <v>-254.483586755962</v>
      </c>
      <c r="F119" s="29" t="n">
        <v>-217.688735297555</v>
      </c>
      <c r="G119" s="29" t="n">
        <v>-191.883925545043</v>
      </c>
    </row>
    <row r="120" customFormat="false" ht="15" hidden="false" customHeight="false" outlineLevel="0" collapsed="false">
      <c r="A120" s="64" t="n">
        <v>0.0697729964966554</v>
      </c>
      <c r="B120" s="29" t="n">
        <v>-22.2604947160797</v>
      </c>
      <c r="C120" s="29" t="n">
        <v>10.5987119345249</v>
      </c>
      <c r="D120" s="29" t="n">
        <v>-13.2081962359724</v>
      </c>
      <c r="E120" s="29" t="n">
        <v>-255.040246654763</v>
      </c>
      <c r="F120" s="29" t="n">
        <v>-219.360739757924</v>
      </c>
      <c r="G120" s="29" t="n">
        <v>-194.00860384205</v>
      </c>
    </row>
    <row r="121" customFormat="false" ht="15" hidden="false" customHeight="false" outlineLevel="0" collapsed="false">
      <c r="A121" s="64" t="n">
        <v>0.0723968114091087</v>
      </c>
      <c r="B121" s="29" t="n">
        <v>-22.5810970674088</v>
      </c>
      <c r="C121" s="29" t="n">
        <v>10.2782198044525</v>
      </c>
      <c r="D121" s="29" t="n">
        <v>-13.5283677356711</v>
      </c>
      <c r="E121" s="29" t="n">
        <v>-255.577321287071</v>
      </c>
      <c r="F121" s="29" t="n">
        <v>-220.992457843414</v>
      </c>
      <c r="G121" s="29" t="n">
        <v>-196.109292676392</v>
      </c>
    </row>
    <row r="122" customFormat="false" ht="15" hidden="false" customHeight="false" outlineLevel="0" collapsed="false">
      <c r="A122" s="64" t="n">
        <v>0.0751192949332097</v>
      </c>
      <c r="B122" s="29" t="n">
        <v>-22.9017021891916</v>
      </c>
      <c r="C122" s="29" t="n">
        <v>9.95771706367021</v>
      </c>
      <c r="D122" s="29" t="n">
        <v>-13.848572624655</v>
      </c>
      <c r="E122" s="29" t="n">
        <v>-256.095459858086</v>
      </c>
      <c r="F122" s="29" t="n">
        <v>-222.583680894602</v>
      </c>
      <c r="G122" s="29" t="n">
        <v>-198.183834121153</v>
      </c>
    </row>
    <row r="123" customFormat="false" ht="15" hidden="false" customHeight="false" outlineLevel="0" collapsed="false">
      <c r="A123" s="64" t="n">
        <v>0.0779441575040495</v>
      </c>
      <c r="B123" s="29" t="n">
        <v>-23.2223098842955</v>
      </c>
      <c r="C123" s="29" t="n">
        <v>9.63720446672094</v>
      </c>
      <c r="D123" s="29" t="n">
        <v>-14.1688085328244</v>
      </c>
      <c r="E123" s="29" t="n">
        <v>-256.595294204091</v>
      </c>
      <c r="F123" s="29" t="n">
        <v>-224.13431933909</v>
      </c>
      <c r="G123" s="29" t="n">
        <v>-200.230205741478</v>
      </c>
    </row>
    <row r="124" customFormat="false" ht="15" hidden="false" customHeight="false" outlineLevel="0" collapsed="false">
      <c r="A124" s="64" t="n">
        <v>0.0808752490877045</v>
      </c>
      <c r="B124" s="29" t="n">
        <v>-23.5429199696124</v>
      </c>
      <c r="C124" s="29" t="n">
        <v>9.31668271453242</v>
      </c>
      <c r="D124" s="29" t="n">
        <v>-14.4890732579064</v>
      </c>
      <c r="E124" s="29" t="n">
        <v>-257.077438808192</v>
      </c>
      <c r="F124" s="29" t="n">
        <v>-225.644394667139</v>
      </c>
      <c r="G124" s="29" t="n">
        <v>-202.246529012911</v>
      </c>
    </row>
    <row r="125" customFormat="false" ht="15" hidden="false" customHeight="false" outlineLevel="0" collapsed="false">
      <c r="A125" s="64" t="n">
        <v>0.0839165644283016</v>
      </c>
      <c r="B125" s="29" t="n">
        <v>-23.8635322750609</v>
      </c>
      <c r="C125" s="29" t="n">
        <v>8.9961524582214</v>
      </c>
      <c r="D125" s="29" t="n">
        <v>-14.809364753627</v>
      </c>
      <c r="E125" s="29" t="n">
        <v>-257.542490874579</v>
      </c>
      <c r="F125" s="29" t="n">
        <v>-227.114031229994</v>
      </c>
      <c r="G125" s="29" t="n">
        <v>-204.231075808825</v>
      </c>
    </row>
    <row r="126" customFormat="false" ht="15" hidden="false" customHeight="false" outlineLevel="0" collapsed="false">
      <c r="A126" s="64" t="n">
        <v>0.0870722484923992</v>
      </c>
      <c r="B126" s="29" t="n">
        <v>-24.18414664266</v>
      </c>
      <c r="C126" s="29" t="n">
        <v>8.67561430262841</v>
      </c>
      <c r="D126" s="29" t="n">
        <v>-15.1296811187105</v>
      </c>
      <c r="E126" s="29" t="n">
        <v>-257.991030453872</v>
      </c>
      <c r="F126" s="29" t="n">
        <v>-228.54344797913</v>
      </c>
      <c r="G126" s="29" t="n">
        <v>-206.182272979773</v>
      </c>
    </row>
    <row r="127" customFormat="false" ht="15" hidden="false" customHeight="false" outlineLevel="0" collapsed="false">
      <c r="A127" s="64" t="n">
        <v>0.0903466021181053</v>
      </c>
      <c r="B127" s="29" t="n">
        <v>-24.5047629256687</v>
      </c>
      <c r="C127" s="29" t="n">
        <v>8.35506880960257</v>
      </c>
      <c r="D127" s="29" t="n">
        <v>-15.4500205866461</v>
      </c>
      <c r="E127" s="29" t="n">
        <v>-258.423620612746</v>
      </c>
      <c r="F127" s="29" t="n">
        <v>-229.932950250091</v>
      </c>
      <c r="G127" s="29" t="n">
        <v>-208.098705085546</v>
      </c>
    </row>
    <row r="128" customFormat="false" ht="15" hidden="false" customHeight="false" outlineLevel="0" collapsed="false">
      <c r="A128" s="64" t="n">
        <v>0.0937440878766299</v>
      </c>
      <c r="B128" s="29" t="n">
        <v>-24.8253809877863</v>
      </c>
      <c r="C128" s="29" t="n">
        <v>8.03451650105358</v>
      </c>
      <c r="D128" s="29" t="n">
        <v>-15.770381516173</v>
      </c>
      <c r="E128" s="29" t="n">
        <v>-258.840807641728</v>
      </c>
      <c r="F128" s="29" t="n">
        <v>-231.282921680087</v>
      </c>
      <c r="G128" s="29" t="n">
        <v>-209.979115373791</v>
      </c>
    </row>
    <row r="129" customFormat="false" ht="15" hidden="false" customHeight="false" outlineLevel="0" collapsed="false">
      <c r="A129" s="64" t="n">
        <v>0.0972693361542617</v>
      </c>
      <c r="B129" s="29" t="n">
        <v>-25.14600070241</v>
      </c>
      <c r="C129" s="29" t="n">
        <v>7.71395786178777</v>
      </c>
      <c r="D129" s="29" t="n">
        <v>-16.0907623824302</v>
      </c>
      <c r="E129" s="29" t="n">
        <v>-259.243121295635</v>
      </c>
      <c r="F129" s="29" t="n">
        <v>-232.593816334282</v>
      </c>
      <c r="G129" s="29" t="n">
        <v>-211.822405126341</v>
      </c>
    </row>
    <row r="130" customFormat="false" ht="15" hidden="false" customHeight="false" outlineLevel="0" collapsed="false">
      <c r="A130" s="64" t="n">
        <v>0.100927151463057</v>
      </c>
      <c r="B130" s="29" t="n">
        <v>-25.4666219519448</v>
      </c>
      <c r="C130" s="29" t="n">
        <v>7.39339334214307</v>
      </c>
      <c r="D130" s="29" t="n">
        <v>-16.4111617687293</v>
      </c>
      <c r="E130" s="29" t="n">
        <v>-259.63107506167</v>
      </c>
      <c r="F130" s="29" t="n">
        <v>-233.866151102209</v>
      </c>
      <c r="G130" s="29" t="n">
        <v>-213.627631515851</v>
      </c>
    </row>
    <row r="131" customFormat="false" ht="15" hidden="false" customHeight="false" outlineLevel="0" collapsed="false">
      <c r="A131" s="64" t="n">
        <v>0.104722518988843</v>
      </c>
      <c r="B131" s="29" t="n">
        <v>-25.7872446271631</v>
      </c>
      <c r="C131" s="29" t="n">
        <v>7.07282336043725</v>
      </c>
      <c r="D131" s="29" t="n">
        <v>-16.7315783589033</v>
      </c>
      <c r="E131" s="29" t="n">
        <v>-260.005166450731</v>
      </c>
      <c r="F131" s="29" t="n">
        <v>-235.100498413109</v>
      </c>
      <c r="G131" s="29" t="n">
        <v>-215.394004130678</v>
      </c>
    </row>
    <row r="132" customFormat="false" ht="15" hidden="false" customHeight="false" outlineLevel="0" collapsed="false">
      <c r="A132" s="64" t="n">
        <v>0.10866061138546</v>
      </c>
      <c r="B132" s="29" t="n">
        <v>-26.1078686266093</v>
      </c>
      <c r="C132" s="29" t="n">
        <v>6.75224830524262</v>
      </c>
      <c r="D132" s="29" t="n">
        <v>-17.0520109301951</v>
      </c>
      <c r="E132" s="29" t="n">
        <v>-260.365877307919</v>
      </c>
      <c r="F132" s="29" t="n">
        <v>-236.297479307403</v>
      </c>
      <c r="G132" s="29" t="n">
        <v>-217.12088033561</v>
      </c>
    </row>
    <row r="133" customFormat="false" ht="15" hidden="false" customHeight="false" outlineLevel="0" collapsed="false">
      <c r="A133" s="64" t="n">
        <v>0.112746795824495</v>
      </c>
      <c r="B133" s="29" t="n">
        <v>-26.4284938560468</v>
      </c>
      <c r="C133" s="29" t="n">
        <v>6.43166853749939</v>
      </c>
      <c r="D133" s="29" t="n">
        <v>-17.3724583466447</v>
      </c>
      <c r="E133" s="29" t="n">
        <v>-260.713674138687</v>
      </c>
      <c r="F133" s="29" t="n">
        <v>-237.457756891133</v>
      </c>
      <c r="G133" s="29" t="n">
        <v>-218.807759640292</v>
      </c>
    </row>
    <row r="134" customFormat="false" ht="15" hidden="false" customHeight="false" outlineLevel="0" collapsed="false">
      <c r="A134" s="64" t="n">
        <v>0.116986641310131</v>
      </c>
      <c r="B134" s="29" t="n">
        <v>-26.7491202279448</v>
      </c>
      <c r="C134" s="29" t="n">
        <v>6.11108439247913</v>
      </c>
      <c r="D134" s="29" t="n">
        <v>-17.6929195529436</v>
      </c>
      <c r="E134" s="29" t="n">
        <v>-261.049008447447</v>
      </c>
      <c r="F134" s="29" t="n">
        <v>-238.58203019093</v>
      </c>
      <c r="G134" s="29" t="n">
        <v>-220.454277246723</v>
      </c>
    </row>
    <row r="135" customFormat="false" ht="15" hidden="false" customHeight="false" outlineLevel="0" collapsed="false">
      <c r="A135" s="64" t="n">
        <v>0.121385926269063</v>
      </c>
      <c r="B135" s="29" t="n">
        <v>-27.0697476610006</v>
      </c>
      <c r="C135" s="29" t="n">
        <v>5.7904961816089</v>
      </c>
      <c r="D135" s="29" t="n">
        <v>-18.0133935687212</v>
      </c>
      <c r="E135" s="29" t="n">
        <v>-261.372317085813</v>
      </c>
      <c r="F135" s="29" t="n">
        <v>-239.671028419078</v>
      </c>
      <c r="G135" s="29" t="n">
        <v>-222.060196942595</v>
      </c>
    </row>
    <row r="136" customFormat="false" ht="15" hidden="false" customHeight="false" outlineLevel="0" collapsed="false">
      <c r="A136" s="64" t="n">
        <v>0.125950646425836</v>
      </c>
      <c r="B136" s="29" t="n">
        <v>-27.3903760796971</v>
      </c>
      <c r="C136" s="29" t="n">
        <v>5.46990419416598</v>
      </c>
      <c r="D136" s="29" t="n">
        <v>-18.3338794832347</v>
      </c>
      <c r="E136" s="29" t="n">
        <v>-261.684022607978</v>
      </c>
      <c r="F136" s="29" t="n">
        <v>-240.725505651354</v>
      </c>
      <c r="G136" s="29" t="n">
        <v>-223.625403499321</v>
      </c>
    </row>
    <row r="137" customFormat="false" ht="15" hidden="false" customHeight="false" outlineLevel="0" collapsed="false">
      <c r="A137" s="64" t="n">
        <v>0.130687022974335</v>
      </c>
      <c r="B137" s="29" t="n">
        <v>-27.7110054138911</v>
      </c>
      <c r="C137" s="29" t="n">
        <v>5.14930869885223</v>
      </c>
      <c r="D137" s="29" t="n">
        <v>-18.6543764504337</v>
      </c>
      <c r="E137" s="29" t="n">
        <v>-261.984533631019</v>
      </c>
      <c r="F137" s="29" t="n">
        <v>-241.746235914555</v>
      </c>
      <c r="G137" s="29" t="n">
        <v>-225.149894722978</v>
      </c>
    </row>
    <row r="138" customFormat="false" ht="15" hidden="false" customHeight="false" outlineLevel="0" collapsed="false">
      <c r="A138" s="64" t="n">
        <v>0.135601511056563</v>
      </c>
      <c r="B138" s="29" t="n">
        <v>-28.0316355984304</v>
      </c>
      <c r="C138" s="29" t="n">
        <v>4.82870994525673</v>
      </c>
      <c r="D138" s="29" t="n">
        <v>-18.9748836843732</v>
      </c>
      <c r="E138" s="29" t="n">
        <v>-262.274245198181</v>
      </c>
      <c r="F138" s="29" t="n">
        <v>-242.734008675862</v>
      </c>
      <c r="G138" s="29" t="n">
        <v>-226.633773293937</v>
      </c>
    </row>
    <row r="139" customFormat="false" ht="15" hidden="false" customHeight="false" outlineLevel="0" collapsed="false">
      <c r="A139" s="64" t="n">
        <v>0.140700808560269</v>
      </c>
      <c r="B139" s="29" t="n">
        <v>-28.3522665727994</v>
      </c>
      <c r="C139" s="29" t="n">
        <v>4.50810816521458</v>
      </c>
      <c r="D139" s="29" t="n">
        <v>-19.2954004549509</v>
      </c>
      <c r="E139" s="29" t="n">
        <v>-262.553539143441</v>
      </c>
      <c r="F139" s="29" t="n">
        <v>-243.689624722387</v>
      </c>
      <c r="G139" s="29" t="n">
        <v>-228.077238517172</v>
      </c>
    </row>
    <row r="140" customFormat="false" ht="15" hidden="false" customHeight="false" outlineLevel="0" collapsed="false">
      <c r="A140" s="64" t="n">
        <v>0.145991865247398</v>
      </c>
      <c r="B140" s="29" t="n">
        <v>-28.6728982807888</v>
      </c>
      <c r="C140" s="29" t="n">
        <v>4.18750357406911</v>
      </c>
      <c r="D140" s="29" t="n">
        <v>-19.6159260839454</v>
      </c>
      <c r="E140" s="29" t="n">
        <v>-262.822784455859</v>
      </c>
      <c r="F140" s="29" t="n">
        <v>-244.613892416235</v>
      </c>
      <c r="G140" s="29" t="n">
        <v>-229.480578090828</v>
      </c>
    </row>
    <row r="141" customFormat="false" ht="15" hidden="false" customHeight="false" outlineLevel="0" collapsed="false">
      <c r="A141" s="64" t="n">
        <v>0.151481892225835</v>
      </c>
      <c r="B141" s="29" t="n">
        <v>-28.9935306701892</v>
      </c>
      <c r="C141" s="29" t="n">
        <v>3.86689637184455</v>
      </c>
      <c r="D141" s="29" t="n">
        <v>-19.9364599413353</v>
      </c>
      <c r="E141" s="29" t="n">
        <v>-263.082337642418</v>
      </c>
      <c r="F141" s="29" t="n">
        <v>-245.507624308182</v>
      </c>
      <c r="G141" s="29" t="n">
        <v>-230.844159986053</v>
      </c>
    </row>
    <row r="142" customFormat="false" ht="15" hidden="false" customHeight="false" outlineLevel="0" collapsed="false">
      <c r="A142" s="64" t="n">
        <v>0.157178371777316</v>
      </c>
      <c r="B142" s="29" t="n">
        <v>-29.3141636925068</v>
      </c>
      <c r="C142" s="29" t="n">
        <v>3.54628674433531</v>
      </c>
      <c r="D142" s="29" t="n">
        <v>-20.2570014418778</v>
      </c>
      <c r="E142" s="29" t="n">
        <v>-263.332543088233</v>
      </c>
      <c r="F142" s="29" t="n">
        <v>-246.37163409147</v>
      </c>
      <c r="G142" s="29" t="n">
        <v>-232.168424516761</v>
      </c>
    </row>
    <row r="143" customFormat="false" ht="15" hidden="false" customHeight="false" outlineLevel="0" collapsed="false">
      <c r="A143" s="64" t="n">
        <v>0.163089067554933</v>
      </c>
      <c r="B143" s="29" t="n">
        <v>-29.6347973026985</v>
      </c>
      <c r="C143" s="29" t="n">
        <v>3.22567486411789</v>
      </c>
      <c r="D143" s="29" t="n">
        <v>-20.5775500419305</v>
      </c>
      <c r="E143" s="29" t="n">
        <v>-263.573733413164</v>
      </c>
      <c r="F143" s="29" t="n">
        <v>-247.206733876142</v>
      </c>
      <c r="G143" s="29" t="n">
        <v>-233.453876664282</v>
      </c>
    </row>
    <row r="144" customFormat="false" ht="15" hidden="false" customHeight="false" outlineLevel="0" collapsed="false">
      <c r="A144" s="64" t="n">
        <v>0.169222035164104</v>
      </c>
      <c r="B144" s="29" t="n">
        <v>-29.9554314589269</v>
      </c>
      <c r="C144" s="29" t="n">
        <v>2.90506089149092</v>
      </c>
      <c r="D144" s="29" t="n">
        <v>-20.8981052364976</v>
      </c>
      <c r="E144" s="29" t="n">
        <v>-263.806229824006</v>
      </c>
      <c r="F144" s="29" t="n">
        <v>-248.013731763789</v>
      </c>
      <c r="G144" s="29" t="n">
        <v>-234.701078708951</v>
      </c>
    </row>
    <row r="145" customFormat="false" ht="15" hidden="false" customHeight="false" outlineLevel="0" collapsed="false">
      <c r="A145" s="64" t="n">
        <v>0.175585633141447</v>
      </c>
      <c r="B145" s="29" t="n">
        <v>-30.2760661223317</v>
      </c>
      <c r="C145" s="29" t="n">
        <v>2.58444497534831</v>
      </c>
      <c r="D145" s="29" t="n">
        <v>-21.2186665564856</v>
      </c>
      <c r="E145" s="29" t="n">
        <v>-264.030342461545</v>
      </c>
      <c r="F145" s="29" t="n">
        <v>-248.793429702362</v>
      </c>
      <c r="G145" s="29" t="n">
        <v>-235.910643208842</v>
      </c>
    </row>
    <row r="146" customFormat="false" ht="15" hidden="false" customHeight="false" outlineLevel="0" collapsed="false">
      <c r="A146" s="64" t="n">
        <v>0.182188534346517</v>
      </c>
      <c r="B146" s="29" t="n">
        <v>-30.5967012568182</v>
      </c>
      <c r="C146" s="29" t="n">
        <v>2.26382725399049</v>
      </c>
      <c r="D146" s="29" t="n">
        <v>-21.5392335661533</v>
      </c>
      <c r="E146" s="29" t="n">
        <v>-264.246370741908</v>
      </c>
      <c r="F146" s="29" t="n">
        <v>-249.546621600825</v>
      </c>
      <c r="G146" s="29" t="n">
        <v>-237.083226355113</v>
      </c>
    </row>
    <row r="147" customFormat="false" ht="15" hidden="false" customHeight="false" outlineLevel="0" collapsed="false">
      <c r="A147" s="64" t="n">
        <v>0.189039737781922</v>
      </c>
      <c r="B147" s="29" t="n">
        <v>-30.9173368288604</v>
      </c>
      <c r="C147" s="29" t="n">
        <v>1.94320785587777</v>
      </c>
      <c r="D147" s="29" t="n">
        <v>-21.8598058607429</v>
      </c>
      <c r="E147" s="29" t="n">
        <v>-264.45460369169</v>
      </c>
      <c r="F147" s="29" t="n">
        <v>-250.274091683841</v>
      </c>
      <c r="G147" s="29" t="n">
        <v>-238.219521723883</v>
      </c>
    </row>
    <row r="148" customFormat="false" ht="15" hidden="false" customHeight="false" outlineLevel="0" collapsed="false">
      <c r="A148" s="64" t="n">
        <v>0.196148580857943</v>
      </c>
      <c r="B148" s="29" t="n">
        <v>-31.2379728073182</v>
      </c>
      <c r="C148" s="29" t="n">
        <v>1.6225869003304</v>
      </c>
      <c r="D148" s="29" t="n">
        <v>-22.1803830642785</v>
      </c>
      <c r="E148" s="29" t="n">
        <v>-264.655320276476</v>
      </c>
      <c r="F148" s="29" t="n">
        <v>-250.976613067202</v>
      </c>
      <c r="G148" s="29" t="n">
        <v>-239.320254436226</v>
      </c>
    </row>
    <row r="149" customFormat="false" ht="15" hidden="false" customHeight="false" outlineLevel="0" collapsed="false">
      <c r="A149" s="64" t="n">
        <v>0.203524752118358</v>
      </c>
      <c r="B149" s="29" t="n">
        <v>-31.5586091632677</v>
      </c>
      <c r="C149" s="29" t="n">
        <v>1.30196449817865</v>
      </c>
      <c r="D149" s="29" t="n">
        <v>-22.5009648275213</v>
      </c>
      <c r="E149" s="29" t="n">
        <v>-264.848789722422</v>
      </c>
      <c r="F149" s="29" t="n">
        <v>-251.654946535516</v>
      </c>
      <c r="G149" s="29" t="n">
        <v>-240.386175730687</v>
      </c>
    </row>
    <row r="150" customFormat="false" ht="15" hidden="false" customHeight="false" outlineLevel="0" collapsed="false">
      <c r="A150" s="64" t="n">
        <v>0.211178304444824</v>
      </c>
      <c r="B150" s="29" t="n">
        <v>-31.8792458698432</v>
      </c>
      <c r="C150" s="29" t="n">
        <v>0.981340752366771</v>
      </c>
      <c r="D150" s="29" t="n">
        <v>-22.8215508260697</v>
      </c>
      <c r="E150" s="29" t="n">
        <v>-265.035271830632</v>
      </c>
      <c r="F150" s="29" t="n">
        <v>-252.309839504457</v>
      </c>
      <c r="G150" s="29" t="n">
        <v>-241.418057946659</v>
      </c>
    </row>
    <row r="151" customFormat="false" ht="15" hidden="false" customHeight="false" outlineLevel="0" collapsed="false">
      <c r="A151" s="64" t="n">
        <v>0.219119668757815</v>
      </c>
      <c r="B151" s="29" t="n">
        <v>-32.1998829020912</v>
      </c>
      <c r="C151" s="29" t="n">
        <v>0.660715758514003</v>
      </c>
      <c r="D151" s="29" t="n">
        <v>-23.142140758594</v>
      </c>
      <c r="E151" s="29" t="n">
        <v>-265.215017284141</v>
      </c>
      <c r="F151" s="29" t="n">
        <v>-252.942025150836</v>
      </c>
      <c r="G151" s="29" t="n">
        <v>-242.416689911965</v>
      </c>
    </row>
    <row r="152" customFormat="false" ht="15" hidden="false" customHeight="false" outlineLevel="0" collapsed="false">
      <c r="A152" s="64" t="n">
        <v>0.227359668232772</v>
      </c>
      <c r="B152" s="29" t="n">
        <v>-32.5205202368337</v>
      </c>
      <c r="C152" s="29" t="n">
        <v>0.340089605435684</v>
      </c>
      <c r="D152" s="29" t="n">
        <v>-23.4627343451967</v>
      </c>
      <c r="E152" s="29" t="n">
        <v>-265.388267947371</v>
      </c>
      <c r="F152" s="29" t="n">
        <v>-253.552221694711</v>
      </c>
      <c r="G152" s="29" t="n">
        <v>-243.382872723903</v>
      </c>
    </row>
    <row r="153" customFormat="false" ht="15" hidden="false" customHeight="false" outlineLevel="0" collapsed="false">
      <c r="A153" s="64" t="n">
        <v>0.235909533050863</v>
      </c>
      <c r="B153" s="29" t="n">
        <v>-32.8411578525427</v>
      </c>
      <c r="C153" s="29" t="n">
        <v>0.019462375627272</v>
      </c>
      <c r="D153" s="29" t="n">
        <v>-23.7833313258887</v>
      </c>
      <c r="E153" s="29" t="n">
        <v>-265.555257157934</v>
      </c>
      <c r="F153" s="29" t="n">
        <v>-254.141131818755</v>
      </c>
      <c r="G153" s="29" t="n">
        <v>-244.317415909823</v>
      </c>
    </row>
    <row r="154" customFormat="false" ht="15" hidden="false" customHeight="false" outlineLevel="0" collapsed="false">
      <c r="A154" s="64" t="n">
        <v>0.244780915704444</v>
      </c>
      <c r="B154" s="29" t="n">
        <v>-33.1617957292219</v>
      </c>
      <c r="C154" s="29" t="n">
        <v>-0.301165854285991</v>
      </c>
      <c r="D154" s="29" t="n">
        <v>-24.1039314591746</v>
      </c>
      <c r="E154" s="29" t="n">
        <v>-265.716210010759</v>
      </c>
      <c r="F154" s="29" t="n">
        <v>-254.709442211078</v>
      </c>
      <c r="G154" s="29" t="n">
        <v>-245.221133950872</v>
      </c>
    </row>
    <row r="155" customFormat="false" ht="15" hidden="false" customHeight="false" outlineLevel="0" collapsed="false">
      <c r="A155" s="64" t="n">
        <v>0.253985906878072</v>
      </c>
      <c r="B155" s="29" t="n">
        <v>-33.4824338482982</v>
      </c>
      <c r="C155" s="29" t="n">
        <v>-0.621795013131462</v>
      </c>
      <c r="D155" s="29" t="n">
        <v>-24.4245345207372</v>
      </c>
      <c r="E155" s="29" t="n">
        <v>-265.871343634508</v>
      </c>
      <c r="F155" s="29" t="n">
        <v>-255.257823218734</v>
      </c>
      <c r="G155" s="29" t="n">
        <v>-246.094843150775</v>
      </c>
    </row>
    <row r="156" customFormat="false" ht="15" hidden="false" customHeight="false" outlineLevel="0" collapsed="false">
      <c r="A156" s="64" t="n">
        <v>0.263537051926739</v>
      </c>
      <c r="B156" s="29" t="n">
        <v>-33.8030721925204</v>
      </c>
      <c r="C156" s="29" t="n">
        <v>-0.942425034801142</v>
      </c>
      <c r="D156" s="29" t="n">
        <v>-24.745140302217</v>
      </c>
      <c r="E156" s="29" t="n">
        <v>-266.02086746029</v>
      </c>
      <c r="F156" s="29" t="n">
        <v>-255.786928600051</v>
      </c>
      <c r="G156" s="29" t="n">
        <v>-246.939358830319</v>
      </c>
    </row>
    <row r="157" customFormat="false" ht="15" hidden="false" customHeight="false" outlineLevel="0" collapsed="false">
      <c r="A157" s="64" t="n">
        <v>0.273447367973758</v>
      </c>
      <c r="B157" s="29" t="n">
        <v>-34.123710745865</v>
      </c>
      <c r="C157" s="29" t="n">
        <v>-1.26305585789132</v>
      </c>
      <c r="D157" s="29" t="n">
        <v>-25.0657486100765</v>
      </c>
      <c r="E157" s="29" t="n">
        <v>-266.164983482721</v>
      </c>
      <c r="F157" s="29" t="n">
        <v>-256.297395364898</v>
      </c>
      <c r="G157" s="29" t="n">
        <v>-247.755492827512</v>
      </c>
    </row>
    <row r="158" customFormat="false" ht="15" hidden="false" customHeight="false" outlineLevel="0" collapsed="false">
      <c r="A158" s="64" t="n">
        <v>0.283730361651621</v>
      </c>
      <c r="B158" s="29" t="n">
        <v>-34.4443494934487</v>
      </c>
      <c r="C158" s="29" t="n">
        <v>-1.58368742536787</v>
      </c>
      <c r="D158" s="29" t="n">
        <v>-25.3863592645472</v>
      </c>
      <c r="E158" s="29" t="n">
        <v>-266.303886513384</v>
      </c>
      <c r="F158" s="29" t="n">
        <v>-256.789843692874</v>
      </c>
      <c r="G158" s="29" t="n">
        <v>-248.544051283113</v>
      </c>
    </row>
    <row r="159" customFormat="false" ht="15" hidden="false" customHeight="false" outlineLevel="0" collapsed="false">
      <c r="A159" s="64" t="n">
        <v>0.294400047510003</v>
      </c>
      <c r="B159" s="29" t="n">
        <v>-34.7649884214478</v>
      </c>
      <c r="C159" s="29" t="n">
        <v>-1.90431968425534</v>
      </c>
      <c r="D159" s="29" t="n">
        <v>-25.7069720986495</v>
      </c>
      <c r="E159" s="29" t="n">
        <v>-266.437764426783</v>
      </c>
      <c r="F159" s="29" t="n">
        <v>-257.264876920268</v>
      </c>
      <c r="G159" s="29" t="n">
        <v>-249.305832691247</v>
      </c>
    </row>
    <row r="160" customFormat="false" ht="15" hidden="false" customHeight="false" outlineLevel="0" collapsed="false">
      <c r="A160" s="64" t="n">
        <v>0.305470967115997</v>
      </c>
      <c r="B160" s="29" t="n">
        <v>-35.085627517022</v>
      </c>
      <c r="C160" s="29" t="n">
        <v>-2.22495258534815</v>
      </c>
      <c r="D160" s="29" t="n">
        <v>-26.0275869572841</v>
      </c>
      <c r="E160" s="29" t="n">
        <v>-266.566798398871</v>
      </c>
      <c r="F160" s="29" t="n">
        <v>-257.723081587421</v>
      </c>
      <c r="G160" s="29" t="n">
        <v>-250.041626195155</v>
      </c>
    </row>
    <row r="161" customFormat="false" ht="15" hidden="false" customHeight="false" outlineLevel="0" collapsed="false">
      <c r="A161" s="64" t="n">
        <v>0.316958208872612</v>
      </c>
      <c r="B161" s="29" t="n">
        <v>-35.406266768245</v>
      </c>
      <c r="C161" s="29" t="n">
        <v>-2.54558608294234</v>
      </c>
      <c r="D161" s="29" t="n">
        <v>-26.3482036963862</v>
      </c>
      <c r="E161" s="29" t="n">
        <v>-266.691163138283</v>
      </c>
      <c r="F161" s="29" t="n">
        <v>-258.165027538896</v>
      </c>
      <c r="G161" s="29" t="n">
        <v>-250.75221010866</v>
      </c>
    </row>
    <row r="162" customFormat="false" ht="15" hidden="false" customHeight="false" outlineLevel="0" collapsed="false">
      <c r="A162" s="64" t="n">
        <v>0.328877428582551</v>
      </c>
      <c r="B162" s="29" t="n">
        <v>-35.7269061640394</v>
      </c>
      <c r="C162" s="29" t="n">
        <v>-2.86622013458645</v>
      </c>
      <c r="D162" s="29" t="n">
        <v>-26.6688221821414</v>
      </c>
      <c r="E162" s="29" t="n">
        <v>-266.811027110388</v>
      </c>
      <c r="F162" s="29" t="n">
        <v>-258.591268069562</v>
      </c>
      <c r="G162" s="29" t="n">
        <v>-251.438350644623</v>
      </c>
    </row>
    <row r="163" customFormat="false" ht="15" hidden="false" customHeight="false" outlineLevel="0" collapsed="false">
      <c r="A163" s="64" t="n">
        <v>0.341244870785289</v>
      </c>
      <c r="B163" s="29" t="n">
        <v>-36.047545694116</v>
      </c>
      <c r="C163" s="29" t="n">
        <v>-3.18685470085003</v>
      </c>
      <c r="D163" s="29" t="n">
        <v>-26.9894422902561</v>
      </c>
      <c r="E163" s="29" t="n">
        <v>-266.926552754307</v>
      </c>
      <c r="F163" s="29" t="n">
        <v>-259.002340110334</v>
      </c>
      <c r="G163" s="29" t="n">
        <v>-252.100800832489</v>
      </c>
    </row>
    <row r="164" customFormat="false" ht="15" hidden="false" customHeight="false" outlineLevel="0" collapsed="false">
      <c r="A164" s="64" t="n">
        <v>0.354077390896527</v>
      </c>
      <c r="B164" s="29" t="n">
        <v>-36.3681853489179</v>
      </c>
      <c r="C164" s="29" t="n">
        <v>-3.50748974510869</v>
      </c>
      <c r="D164" s="29" t="n">
        <v>-27.3100639052803</v>
      </c>
      <c r="E164" s="29" t="n">
        <v>-267.037896693018</v>
      </c>
      <c r="F164" s="29" t="n">
        <v>-259.398764447946</v>
      </c>
      <c r="G164" s="29" t="n">
        <v>-252.740299607913</v>
      </c>
    </row>
    <row r="165" customFormat="false" ht="15" hidden="false" customHeight="false" outlineLevel="0" collapsed="false">
      <c r="A165" s="64" t="n">
        <v>0.367392478180207</v>
      </c>
      <c r="B165" s="29" t="n">
        <v>-36.6888251195684</v>
      </c>
      <c r="C165" s="29" t="n">
        <v>-3.82812523334444</v>
      </c>
      <c r="D165" s="29" t="n">
        <v>-27.6306869199788</v>
      </c>
      <c r="E165" s="29" t="n">
        <v>-267.145209936726</v>
      </c>
      <c r="F165" s="29" t="n">
        <v>-259.781045973682</v>
      </c>
      <c r="G165" s="29" t="n">
        <v>-253.357571058445</v>
      </c>
    </row>
    <row r="166" customFormat="false" ht="15" hidden="false" customHeight="false" outlineLevel="0" collapsed="false">
      <c r="A166" s="64" t="n">
        <v>0.381208279584389</v>
      </c>
      <c r="B166" s="29" t="n">
        <v>-37.0094649978226</v>
      </c>
      <c r="C166" s="29" t="n">
        <v>-4.14876113396017</v>
      </c>
      <c r="D166" s="29" t="n">
        <v>-27.9513112347468</v>
      </c>
      <c r="E166" s="29" t="n">
        <v>-267.24863807963</v>
      </c>
      <c r="F166" s="29" t="n">
        <v>-260.149673956502</v>
      </c>
      <c r="G166" s="29" t="n">
        <v>-253.95332381021</v>
      </c>
    </row>
    <row r="167" customFormat="false" ht="15" hidden="false" customHeight="false" outlineLevel="0" collapsed="false">
      <c r="A167" s="64" t="n">
        <v>0.39554362447347</v>
      </c>
      <c r="B167" s="29" t="n">
        <v>-37.3301049760223</v>
      </c>
      <c r="C167" s="29" t="n">
        <v>-4.46939741760743</v>
      </c>
      <c r="D167" s="29" t="n">
        <v>-28.2719367570666</v>
      </c>
      <c r="E167" s="29" t="n">
        <v>-267.348321490255</v>
      </c>
      <c r="F167" s="29" t="n">
        <v>-260.505122336487</v>
      </c>
      <c r="G167" s="29" t="n">
        <v>-254.52825054154</v>
      </c>
    </row>
    <row r="168" customFormat="false" ht="15" hidden="false" customHeight="false" outlineLevel="0" collapsed="false">
      <c r="A168" s="64" t="n">
        <v>0.410418050290471</v>
      </c>
      <c r="B168" s="29" t="n">
        <v>-37.6507450470544</v>
      </c>
      <c r="C168" s="29" t="n">
        <v>-4.7900340570264</v>
      </c>
      <c r="D168" s="29" t="n">
        <v>-28.5925634010041</v>
      </c>
      <c r="E168" s="29" t="n">
        <v>-267.444395495508</v>
      </c>
      <c r="F168" s="29" t="n">
        <v>-260.847850034943</v>
      </c>
      <c r="G168" s="29" t="n">
        <v>-255.083027610503</v>
      </c>
    </row>
    <row r="169" customFormat="false" ht="15" hidden="false" customHeight="false" outlineLevel="0" collapsed="false">
      <c r="A169" s="64" t="n">
        <v>0.425851829184341</v>
      </c>
      <c r="B169" s="29" t="n">
        <v>-37.9713852043118</v>
      </c>
      <c r="C169" s="29" t="n">
        <v>-5.11067102689723</v>
      </c>
      <c r="D169" s="29" t="n">
        <v>-28.9131910867398</v>
      </c>
      <c r="E169" s="29" t="n">
        <v>-267.536990558623</v>
      </c>
      <c r="F169" s="29" t="n">
        <v>-261.178301277929</v>
      </c>
      <c r="G169" s="29" t="n">
        <v>-255.618314784244</v>
      </c>
    </row>
    <row r="170" customFormat="false" ht="15" hidden="false" customHeight="false" outlineLevel="0" collapsed="false">
      <c r="A170" s="64" t="n">
        <v>0.441865995638594</v>
      </c>
      <c r="B170" s="29" t="n">
        <v>-38.2920254416581</v>
      </c>
      <c r="C170" s="29" t="n">
        <v>-5.43130830370202</v>
      </c>
      <c r="D170" s="29" t="n">
        <v>-29.2338197401343</v>
      </c>
      <c r="E170" s="29" t="n">
        <v>-267.626232451152</v>
      </c>
      <c r="F170" s="29" t="n">
        <v>-261.496905930291</v>
      </c>
      <c r="G170" s="29" t="n">
        <v>-256.134755058989</v>
      </c>
    </row>
    <row r="171" customFormat="false" ht="15" hidden="false" customHeight="false" outlineLevel="0" collapsed="false">
      <c r="A171" s="64" t="n">
        <v>0.45848237513891</v>
      </c>
      <c r="B171" s="29" t="n">
        <v>-38.6126657533931</v>
      </c>
      <c r="C171" s="29" t="n">
        <v>-5.75194586559657</v>
      </c>
      <c r="D171" s="29" t="n">
        <v>-29.5544492923238</v>
      </c>
      <c r="E171" s="29" t="n">
        <v>-267.712242419174</v>
      </c>
      <c r="F171" s="29" t="n">
        <v>-261.804079837665</v>
      </c>
      <c r="G171" s="29" t="n">
        <v>-256.632974560477</v>
      </c>
    </row>
    <row r="172" customFormat="false" ht="15" hidden="false" customHeight="false" outlineLevel="0" collapsed="false">
      <c r="A172" s="64" t="n">
        <v>0.475723613918789</v>
      </c>
      <c r="B172" s="29" t="n">
        <v>-38.9333061342227</v>
      </c>
      <c r="C172" s="29" t="n">
        <v>-6.07258369229126</v>
      </c>
      <c r="D172" s="29" t="n">
        <v>-29.8750796793448</v>
      </c>
      <c r="E172" s="29" t="n">
        <v>-267.795137343878</v>
      </c>
      <c r="F172" s="29" t="n">
        <v>-262.100225174162</v>
      </c>
      <c r="G172" s="29" t="n">
        <v>-257.113582515446</v>
      </c>
    </row>
    <row r="173" customFormat="false" ht="15" hidden="false" customHeight="false" outlineLevel="0" collapsed="false">
      <c r="A173" s="64" t="n">
        <v>0.493613209823791</v>
      </c>
      <c r="B173" s="29" t="n">
        <v>-39.2539465792294</v>
      </c>
      <c r="C173" s="29" t="n">
        <v>-6.39322176494048</v>
      </c>
      <c r="D173" s="29" t="n">
        <v>-30.1957108417856</v>
      </c>
      <c r="E173" s="29" t="n">
        <v>-267.875029896686</v>
      </c>
      <c r="F173" s="29" t="n">
        <v>-262.385730793744</v>
      </c>
      <c r="G173" s="29" t="n">
        <v>-257.5771712856</v>
      </c>
    </row>
    <row r="174" customFormat="false" ht="15" hidden="false" customHeight="false" outlineLevel="0" collapsed="false">
      <c r="A174" s="64" t="n">
        <v>0.512175544336424</v>
      </c>
      <c r="B174" s="29" t="n">
        <v>-39.5745870838455</v>
      </c>
      <c r="C174" s="29" t="n">
        <v>-6.71386006603978</v>
      </c>
      <c r="D174" s="29" t="n">
        <v>-30.5163427244624</v>
      </c>
      <c r="E174" s="29" t="n">
        <v>-267.952028689074</v>
      </c>
      <c r="F174" s="29" t="n">
        <v>-262.660972583538</v>
      </c>
      <c r="G174" s="29" t="n">
        <v>-258.024316456268</v>
      </c>
    </row>
    <row r="175" customFormat="false" ht="15" hidden="false" customHeight="false" outlineLevel="0" collapsed="false">
      <c r="A175" s="64" t="n">
        <v>0.531435915805324</v>
      </c>
      <c r="B175" s="29" t="n">
        <v>-39.8952276438288</v>
      </c>
      <c r="C175" s="29" t="n">
        <v>-7.03449857933047</v>
      </c>
      <c r="D175" s="29" t="n">
        <v>-30.8369752761184</v>
      </c>
      <c r="E175" s="29" t="n">
        <v>-268.026238417252</v>
      </c>
      <c r="F175" s="29" t="n">
        <v>-262.92631381755</v>
      </c>
      <c r="G175" s="29" t="n">
        <v>-258.455576972681</v>
      </c>
    </row>
    <row r="176" customFormat="false" ht="15" hidden="false" customHeight="false" outlineLevel="0" collapsed="false">
      <c r="A176" s="64" t="n">
        <v>0.55142057392403</v>
      </c>
      <c r="B176" s="29" t="n">
        <v>-40.2158682552387</v>
      </c>
      <c r="C176" s="29" t="n">
        <v>-7.35513728971099</v>
      </c>
      <c r="D176" s="29" t="n">
        <v>-31.1576084491441</v>
      </c>
      <c r="E176" s="29" t="n">
        <v>-268.097760001858</v>
      </c>
      <c r="F176" s="29" t="n">
        <v>-263.182105509443</v>
      </c>
      <c r="G176" s="29" t="n">
        <v>-258.871495317438</v>
      </c>
    </row>
    <row r="177" customFormat="false" ht="15" hidden="false" customHeight="false" outlineLevel="0" collapsed="false">
      <c r="A177" s="64" t="n">
        <v>0.572156755506325</v>
      </c>
      <c r="B177" s="29" t="n">
        <v>-40.5365089144152</v>
      </c>
      <c r="C177" s="29" t="n">
        <v>-7.67577618315452</v>
      </c>
      <c r="D177" s="29" t="n">
        <v>-31.4782421993185</v>
      </c>
      <c r="E177" s="29" t="n">
        <v>-268.16669072282</v>
      </c>
      <c r="F177" s="29" t="n">
        <v>-263.428686763209</v>
      </c>
      <c r="G177" s="29" t="n">
        <v>-259.272597723397</v>
      </c>
    </row>
    <row r="178" customFormat="false" ht="15" hidden="false" customHeight="false" outlineLevel="0" collapsed="false">
      <c r="A178" s="64" t="n">
        <v>0.593672721606912</v>
      </c>
      <c r="B178" s="29" t="n">
        <v>-40.8571496179586</v>
      </c>
      <c r="C178" s="29" t="n">
        <v>-7.9964152466325</v>
      </c>
      <c r="D178" s="29" t="n">
        <v>-31.7988764855673</v>
      </c>
      <c r="E178" s="29" t="n">
        <v>-268.233124349534</v>
      </c>
      <c r="F178" s="29" t="n">
        <v>-263.66638512075</v>
      </c>
      <c r="G178" s="29" t="n">
        <v>-259.659394416751</v>
      </c>
    </row>
    <row r="179" customFormat="false" ht="15" hidden="false" customHeight="false" outlineLevel="0" collapsed="false">
      <c r="A179" s="64" t="n">
        <v>0.615997796038016</v>
      </c>
      <c r="B179" s="29" t="n">
        <v>-41.1777903627113</v>
      </c>
      <c r="C179" s="29" t="n">
        <v>-8.31705446804363</v>
      </c>
      <c r="D179" s="29" t="n">
        <v>-32.1195112697393</v>
      </c>
      <c r="E179" s="29" t="n">
        <v>-268.297151266515</v>
      </c>
      <c r="F179" s="29" t="n">
        <v>-263.895516905494</v>
      </c>
      <c r="G179" s="29" t="n">
        <v>-260.032379885613</v>
      </c>
    </row>
    <row r="180" customFormat="false" ht="15" hidden="false" customHeight="false" outlineLevel="0" collapsed="false">
      <c r="A180" s="64" t="n">
        <v>0.6391624053344</v>
      </c>
      <c r="B180" s="29" t="n">
        <v>-41.4984311457406</v>
      </c>
      <c r="C180" s="29" t="n">
        <v>-8.6376938361478</v>
      </c>
      <c r="D180" s="29" t="n">
        <v>-32.4401465163982</v>
      </c>
      <c r="E180" s="29" t="n">
        <v>-268.358858594653</v>
      </c>
      <c r="F180" s="29" t="n">
        <v>-264.116387561311</v>
      </c>
      <c r="G180" s="29" t="n">
        <v>-260.392033169906</v>
      </c>
    </row>
    <row r="181" customFormat="false" ht="15" hidden="false" customHeight="false" outlineLevel="0" collapsed="false">
      <c r="A181" s="64" t="n">
        <v>0.663198120221267</v>
      </c>
      <c r="B181" s="29" t="n">
        <v>-41.8190719643221</v>
      </c>
      <c r="C181" s="29" t="n">
        <v>-8.95833334050489</v>
      </c>
      <c r="D181" s="29" t="n">
        <v>-32.7607821926297</v>
      </c>
      <c r="E181" s="29" t="n">
        <v>-268.418330308225</v>
      </c>
      <c r="F181" s="29" t="n">
        <v>-264.329291986129</v>
      </c>
      <c r="G181" s="29" t="n">
        <v>-260.738818168796</v>
      </c>
    </row>
    <row r="182" customFormat="false" ht="15" hidden="false" customHeight="false" outlineLevel="0" collapsed="false">
      <c r="A182" s="64" t="n">
        <v>0.688137698641566</v>
      </c>
      <c r="B182" s="29" t="n">
        <v>-42.1397128159257</v>
      </c>
      <c r="C182" s="29" t="n">
        <v>-9.27897297141777</v>
      </c>
      <c r="D182" s="29" t="n">
        <v>-33.0814182678619</v>
      </c>
      <c r="E182" s="29" t="n">
        <v>-268.475647347806</v>
      </c>
      <c r="F182" s="29" t="n">
        <v>-264.534514859711</v>
      </c>
      <c r="G182" s="29" t="n">
        <v>-261.073183962311</v>
      </c>
    </row>
    <row r="183" customFormat="false" ht="15" hidden="false" customHeight="false" outlineLevel="0" collapsed="false">
      <c r="A183" s="64" t="n">
        <v>0.71401513040134</v>
      </c>
      <c r="B183" s="29" t="n">
        <v>-42.4603536982011</v>
      </c>
      <c r="C183" s="29" t="n">
        <v>-9.59961271987946</v>
      </c>
      <c r="D183" s="29" t="n">
        <v>-33.4020547136984</v>
      </c>
      <c r="E183" s="29" t="n">
        <v>-268.530887729191</v>
      </c>
      <c r="F183" s="29" t="n">
        <v>-264.73233096518</v>
      </c>
      <c r="G183" s="29" t="n">
        <v>-261.395565144175</v>
      </c>
    </row>
    <row r="184" customFormat="false" ht="15" hidden="false" customHeight="false" outlineLevel="0" collapsed="false">
      <c r="A184" s="64" t="n">
        <v>0.740865683493956</v>
      </c>
      <c r="B184" s="29" t="n">
        <v>-42.7809946089653</v>
      </c>
      <c r="C184" s="29" t="n">
        <v>-9.92025257752399</v>
      </c>
      <c r="D184" s="29" t="n">
        <v>-33.7226915037637</v>
      </c>
      <c r="E184" s="29" t="n">
        <v>-268.584126648495</v>
      </c>
      <c r="F184" s="29" t="n">
        <v>-264.923005503928</v>
      </c>
      <c r="G184" s="29" t="n">
        <v>-261.706382163196</v>
      </c>
    </row>
    <row r="185" customFormat="false" ht="15" hidden="false" customHeight="false" outlineLevel="0" collapsed="false">
      <c r="A185" s="64" t="n">
        <v>0.768725952166373</v>
      </c>
      <c r="B185" s="29" t="n">
        <v>-43.101635546191</v>
      </c>
      <c r="C185" s="29" t="n">
        <v>-10.2408925365808</v>
      </c>
      <c r="D185" s="29" t="n">
        <v>-34.0433286135596</v>
      </c>
      <c r="E185" s="29" t="n">
        <v>-268.635436583522</v>
      </c>
      <c r="F185" s="29" t="n">
        <v>-265.106794403653</v>
      </c>
      <c r="G185" s="29" t="n">
        <v>-262.006041670875</v>
      </c>
    </row>
    <row r="186" customFormat="false" ht="15" hidden="false" customHeight="false" outlineLevel="0" collapsed="false">
      <c r="A186" s="64" t="n">
        <v>0.797633906792927</v>
      </c>
      <c r="B186" s="29" t="n">
        <v>-43.4222765079946</v>
      </c>
      <c r="C186" s="29" t="n">
        <v>-10.5615325898324</v>
      </c>
      <c r="D186" s="29" t="n">
        <v>-34.3639660203312</v>
      </c>
      <c r="E186" s="29" t="n">
        <v>-268.684887391559</v>
      </c>
      <c r="F186" s="29" t="n">
        <v>-265.283944619287</v>
      </c>
      <c r="G186" s="29" t="n">
        <v>-262.294936873171</v>
      </c>
    </row>
    <row r="187" customFormat="false" ht="15" hidden="false" customHeight="false" outlineLevel="0" collapsed="false">
      <c r="A187" s="64" t="n">
        <v>0.827628945624634</v>
      </c>
      <c r="B187" s="29" t="n">
        <v>-43.7429174926271</v>
      </c>
      <c r="C187" s="29" t="n">
        <v>-10.8821727305748</v>
      </c>
      <c r="D187" s="29" t="n">
        <v>-34.6846037029429</v>
      </c>
      <c r="E187" s="29" t="n">
        <v>-268.732546403691</v>
      </c>
      <c r="F187" s="29" t="n">
        <v>-265.454694426668</v>
      </c>
      <c r="G187" s="29" t="n">
        <v>-262.573447884599</v>
      </c>
    </row>
    <row r="188" customFormat="false" ht="15" hidden="false" customHeight="false" outlineLevel="0" collapsed="false">
      <c r="A188" s="64" t="n">
        <v>0.858751948484517</v>
      </c>
      <c r="B188" s="29" t="n">
        <v>-44.0635584984637</v>
      </c>
      <c r="C188" s="29" t="n">
        <v>-11.2028129525814</v>
      </c>
      <c r="D188" s="29" t="n">
        <v>-35.0052416417633</v>
      </c>
      <c r="E188" s="29" t="n">
        <v>-268.778478515776</v>
      </c>
      <c r="F188" s="29" t="n">
        <v>-265.619273708839</v>
      </c>
      <c r="G188" s="29" t="n">
        <v>-262.841942083083</v>
      </c>
    </row>
    <row r="189" customFormat="false" ht="15" hidden="false" customHeight="false" outlineLevel="0" collapsed="false">
      <c r="A189" s="64" t="n">
        <v>0.891045332482151</v>
      </c>
      <c r="B189" s="29" t="n">
        <v>-44.3841995239952</v>
      </c>
      <c r="C189" s="29" t="n">
        <v>-11.5234532500686</v>
      </c>
      <c r="D189" s="29" t="n">
        <v>-35.3258798185584</v>
      </c>
      <c r="E189" s="29" t="n">
        <v>-268.822746276177</v>
      </c>
      <c r="F189" s="29" t="n">
        <v>-265.7779042349</v>
      </c>
      <c r="G189" s="29" t="n">
        <v>-263.100774464157</v>
      </c>
    </row>
    <row r="190" customFormat="false" ht="15" hidden="false" customHeight="false" outlineLevel="0" collapsed="false">
      <c r="A190" s="64" t="n">
        <v>0.924553109823357</v>
      </c>
      <c r="B190" s="29" t="n">
        <v>-44.7048405678201</v>
      </c>
      <c r="C190" s="29" t="n">
        <v>-11.8440936176643</v>
      </c>
      <c r="D190" s="29" t="n">
        <v>-35.6465182163915</v>
      </c>
      <c r="E190" s="29" t="n">
        <v>-268.865409970372</v>
      </c>
      <c r="F190" s="29" t="n">
        <v>-265.930799931393</v>
      </c>
      <c r="G190" s="29" t="n">
        <v>-263.35028799334</v>
      </c>
    </row>
    <row r="191" customFormat="false" ht="15" hidden="false" customHeight="false" outlineLevel="0" collapsed="false">
      <c r="A191" s="64" t="n">
        <v>0.959320947793824</v>
      </c>
      <c r="B191" s="29" t="n">
        <v>-45.0254816286362</v>
      </c>
      <c r="C191" s="29" t="n">
        <v>-12.1647340503789</v>
      </c>
      <c r="D191" s="29" t="n">
        <v>-35.9671568195316</v>
      </c>
      <c r="E191" s="29" t="n">
        <v>-268.906527702549</v>
      </c>
      <c r="F191" s="29" t="n">
        <v>-266.078167146202</v>
      </c>
      <c r="G191" s="29" t="n">
        <v>-263.590813955606</v>
      </c>
    </row>
    <row r="192" customFormat="false" ht="15" hidden="false" customHeight="false" outlineLevel="0" collapsed="false">
      <c r="A192" s="64" t="n">
        <v>0.995396230998423</v>
      </c>
      <c r="B192" s="29" t="n">
        <v>-45.3461227052343</v>
      </c>
      <c r="C192" s="29" t="n">
        <v>-12.4853745435779</v>
      </c>
      <c r="D192" s="29" t="n">
        <v>-36.2877956133669</v>
      </c>
      <c r="E192" s="29" t="n">
        <v>-268.94615547428</v>
      </c>
      <c r="F192" s="29" t="n">
        <v>-266.220204905009</v>
      </c>
      <c r="G192" s="29" t="n">
        <v>-263.822672301086</v>
      </c>
    </row>
    <row r="193" customFormat="false" ht="15" hidden="false" customHeight="false" outlineLevel="0" collapsed="false">
      <c r="A193" s="64" t="n">
        <v>1.03282812594103</v>
      </c>
      <c r="B193" s="29" t="n">
        <v>-45.6667637964913</v>
      </c>
      <c r="C193" s="29" t="n">
        <v>-12.8060150929565</v>
      </c>
      <c r="D193" s="29" t="n">
        <v>-36.6084345843258</v>
      </c>
      <c r="E193" s="29" t="n">
        <v>-268.984347260392</v>
      </c>
      <c r="F193" s="29" t="n">
        <v>-266.357105160347</v>
      </c>
      <c r="G193" s="29" t="n">
        <v>-264.046171986222</v>
      </c>
    </row>
    <row r="194" customFormat="false" ht="15" hidden="false" customHeight="false" outlineLevel="0" collapsed="false">
      <c r="A194" s="64" t="n">
        <v>1.07166764803286</v>
      </c>
      <c r="B194" s="29" t="n">
        <v>-45.9874049013639</v>
      </c>
      <c r="C194" s="29" t="n">
        <v>-13.1266556945165</v>
      </c>
      <c r="D194" s="29" t="n">
        <v>-36.9290737198023</v>
      </c>
      <c r="E194" s="29" t="n">
        <v>-269.021155082122</v>
      </c>
      <c r="F194" s="29" t="n">
        <v>-266.48905303333</v>
      </c>
      <c r="G194" s="29" t="n">
        <v>-264.261611309726</v>
      </c>
    </row>
    <row r="195" customFormat="false" ht="15" hidden="false" customHeight="false" outlineLevel="0" collapsed="false">
      <c r="A195" s="64" t="n">
        <v>1.1119677311207</v>
      </c>
      <c r="B195" s="29" t="n">
        <v>-46.3080460188829</v>
      </c>
      <c r="C195" s="29" t="n">
        <v>-13.4472963445441</v>
      </c>
      <c r="D195" s="29" t="n">
        <v>-37.2497130080879</v>
      </c>
      <c r="E195" s="29" t="n">
        <v>-269.056629077643</v>
      </c>
      <c r="F195" s="29" t="n">
        <v>-266.616227048142</v>
      </c>
      <c r="G195" s="29" t="n">
        <v>-264.469278242817</v>
      </c>
    </row>
    <row r="196" customFormat="false" ht="15" hidden="false" customHeight="false" outlineLevel="0" collapsed="false">
      <c r="A196" s="64" t="n">
        <v>1.15378329962966</v>
      </c>
      <c r="B196" s="29" t="n">
        <v>-46.6286871481484</v>
      </c>
      <c r="C196" s="29" t="n">
        <v>-13.7679370395897</v>
      </c>
      <c r="D196" s="29" t="n">
        <v>-37.5703524383071</v>
      </c>
      <c r="E196" s="29" t="n">
        <v>-269.090817570074</v>
      </c>
      <c r="F196" s="29" t="n">
        <v>-266.738799359397</v>
      </c>
      <c r="G196" s="29" t="n">
        <v>-264.669450753257</v>
      </c>
    </row>
    <row r="197" customFormat="false" ht="15" hidden="false" customHeight="false" outlineLevel="0" collapsed="false">
      <c r="A197" s="64" t="n">
        <v>1.19717134341897</v>
      </c>
      <c r="B197" s="29" t="n">
        <v>-46.9493282883243</v>
      </c>
      <c r="C197" s="29" t="n">
        <v>-14.0885777764495</v>
      </c>
      <c r="D197" s="29" t="n">
        <v>-37.8909920003585</v>
      </c>
      <c r="E197" s="29" t="n">
        <v>-269.123767133047</v>
      </c>
      <c r="F197" s="29" t="n">
        <v>-266.856935972476</v>
      </c>
      <c r="G197" s="29" t="n">
        <v>-264.862397122857</v>
      </c>
    </row>
    <row r="198" customFormat="false" ht="15" hidden="false" customHeight="false" outlineLevel="0" collapsed="false">
      <c r="A198" s="64" t="n">
        <v>1.24219099545262</v>
      </c>
      <c r="B198" s="29" t="n">
        <v>-47.2699694386342</v>
      </c>
      <c r="C198" s="29" t="n">
        <v>-14.4092185521475</v>
      </c>
      <c r="D198" s="29" t="n">
        <v>-38.2116316848595</v>
      </c>
      <c r="E198" s="29" t="n">
        <v>-269.155522653915</v>
      </c>
      <c r="F198" s="29" t="n">
        <v>-266.97079695698</v>
      </c>
      <c r="G198" s="29" t="n">
        <v>-265.048376258118</v>
      </c>
    </row>
    <row r="199" customFormat="false" ht="15" hidden="false" customHeight="false" outlineLevel="0" collapsed="false">
      <c r="A199" s="64" t="n">
        <v>1.28890361239089</v>
      </c>
      <c r="B199" s="29" t="n">
        <v>-47.5906105983568</v>
      </c>
      <c r="C199" s="29" t="n">
        <v>-14.7298593639196</v>
      </c>
      <c r="D199" s="29" t="n">
        <v>-38.5322714830955</v>
      </c>
      <c r="E199" s="29" t="n">
        <v>-269.186127394693</v>
      </c>
      <c r="F199" s="29" t="n">
        <v>-267.080536653426</v>
      </c>
      <c r="G199" s="29" t="n">
        <v>-265.227637993809</v>
      </c>
    </row>
    <row r="200" customFormat="false" ht="15" hidden="false" customHeight="false" outlineLevel="0" collapsed="false">
      <c r="A200" s="64" t="n">
        <v>1.3373728582125</v>
      </c>
      <c r="B200" s="29" t="n">
        <v>-47.9112517668222</v>
      </c>
      <c r="C200" s="29" t="n">
        <v>-15.0505002091984</v>
      </c>
      <c r="D200" s="29" t="n">
        <v>-38.8529113869719</v>
      </c>
      <c r="E200" s="29" t="n">
        <v>-269.215623050813</v>
      </c>
      <c r="F200" s="29" t="n">
        <v>-267.186303873334</v>
      </c>
      <c r="G200" s="29" t="n">
        <v>-265.400423389295</v>
      </c>
    </row>
    <row r="201" customFormat="false" ht="15" hidden="false" customHeight="false" outlineLevel="0" collapsed="false">
      <c r="A201" s="64" t="n">
        <v>1.38766479098131</v>
      </c>
      <c r="B201" s="29" t="n">
        <v>-48.2318929434082</v>
      </c>
      <c r="C201" s="29" t="n">
        <v>-15.3711410855991</v>
      </c>
      <c r="D201" s="29" t="n">
        <v>-39.1735513889702</v>
      </c>
      <c r="E201" s="29" t="n">
        <v>-269.244049807761</v>
      </c>
      <c r="F201" s="29" t="n">
        <v>-267.288242092847</v>
      </c>
      <c r="G201" s="29" t="n">
        <v>-265.566965017484</v>
      </c>
    </row>
    <row r="202" customFormat="false" ht="15" hidden="false" customHeight="false" outlineLevel="0" collapsed="false">
      <c r="A202" s="64" t="n">
        <v>1.43984795287601</v>
      </c>
      <c r="B202" s="29" t="n">
        <v>-48.5525341275367</v>
      </c>
      <c r="C202" s="29" t="n">
        <v>-15.6917819909068</v>
      </c>
      <c r="D202" s="29" t="n">
        <v>-39.4941914821072</v>
      </c>
      <c r="E202" s="29" t="n">
        <v>-269.27144639567</v>
      </c>
      <c r="F202" s="29" t="n">
        <v>-267.386489640044</v>
      </c>
      <c r="G202" s="29" t="n">
        <v>-265.727487246329</v>
      </c>
    </row>
    <row r="203" customFormat="false" ht="15" hidden="false" customHeight="false" outlineLevel="0" collapsed="false">
      <c r="A203" s="64" t="n">
        <v>1.49399346360526</v>
      </c>
      <c r="B203" s="29" t="n">
        <v>-48.8731753186711</v>
      </c>
      <c r="C203" s="29" t="n">
        <v>-16.0124229230642</v>
      </c>
      <c r="D203" s="29" t="n">
        <v>-39.8148316598964</v>
      </c>
      <c r="E203" s="29" t="n">
        <v>-269.297850141965</v>
      </c>
      <c r="F203" s="29" t="n">
        <v>-267.481179876098</v>
      </c>
      <c r="G203" s="29" t="n">
        <v>-265.882206512837</v>
      </c>
    </row>
    <row r="204" customFormat="false" ht="15" hidden="false" customHeight="false" outlineLevel="0" collapsed="false">
      <c r="A204" s="64" t="n">
        <v>1.55017511733577</v>
      </c>
      <c r="B204" s="29" t="n">
        <v>-49.1938165163127</v>
      </c>
      <c r="C204" s="29" t="n">
        <v>-16.3330638801604</v>
      </c>
      <c r="D204" s="29" t="n">
        <v>-40.135471916313</v>
      </c>
      <c r="E204" s="29" t="n">
        <v>-269.32329702209</v>
      </c>
      <c r="F204" s="29" t="n">
        <v>-267.572441370424</v>
      </c>
      <c r="G204" s="29" t="n">
        <v>-266.031331589568</v>
      </c>
    </row>
    <row r="205" customFormat="false" ht="15" hidden="false" customHeight="false" outlineLevel="0" collapsed="false">
      <c r="A205" s="64" t="n">
        <v>1.60846948326536</v>
      </c>
      <c r="B205" s="29" t="n">
        <v>-49.5144577199983</v>
      </c>
      <c r="C205" s="29" t="n">
        <v>-16.6537048604204</v>
      </c>
      <c r="D205" s="29" t="n">
        <v>-40.4561122457613</v>
      </c>
      <c r="E205" s="29" t="n">
        <v>-269.347821708426</v>
      </c>
      <c r="F205" s="29" t="n">
        <v>-267.660398070005</v>
      </c>
      <c r="G205" s="29" t="n">
        <v>-266.17506384366</v>
      </c>
    </row>
    <row r="206" customFormat="false" ht="15" hidden="false" customHeight="false" outlineLevel="0" collapsed="false">
      <c r="A206" s="64" t="n">
        <v>1.66895600997802</v>
      </c>
      <c r="B206" s="29" t="n">
        <v>-49.8350989292979</v>
      </c>
      <c r="C206" s="29" t="n">
        <v>-16.9743458621957</v>
      </c>
      <c r="D206" s="29" t="n">
        <v>-40.7767526430434</v>
      </c>
      <c r="E206" s="29" t="n">
        <v>-269.37145761743</v>
      </c>
      <c r="F206" s="29" t="n">
        <v>-267.745169463019</v>
      </c>
      <c r="G206" s="29" t="n">
        <v>-266.313597488413</v>
      </c>
    </row>
    <row r="207" customFormat="false" ht="15" hidden="false" customHeight="false" outlineLevel="0" collapsed="false">
      <c r="A207" s="64" t="n">
        <v>1.73171713372335</v>
      </c>
      <c r="B207" s="29" t="n">
        <v>-50.1557401438118</v>
      </c>
      <c r="C207" s="29" t="n">
        <v>-17.294986883955</v>
      </c>
      <c r="D207" s="29" t="n">
        <v>-41.0973931033316</v>
      </c>
      <c r="E207" s="29" t="n">
        <v>-269.394236955088</v>
      </c>
      <c r="F207" s="29" t="n">
        <v>-267.826870736951</v>
      </c>
      <c r="G207" s="29" t="n">
        <v>-266.447119827512</v>
      </c>
    </row>
    <row r="208" customFormat="false" ht="15" hidden="false" customHeight="false" outlineLevel="0" collapsed="false">
      <c r="A208" s="64" t="n">
        <v>1.79683839076772</v>
      </c>
      <c r="B208" s="29" t="n">
        <v>-50.476381363169</v>
      </c>
      <c r="C208" s="29" t="n">
        <v>-17.615627924276</v>
      </c>
      <c r="D208" s="29" t="n">
        <v>-41.4180336221418</v>
      </c>
      <c r="E208" s="29" t="n">
        <v>-269.416190760715</v>
      </c>
      <c r="F208" s="29" t="n">
        <v>-267.90561293134</v>
      </c>
      <c r="G208" s="29" t="n">
        <v>-266.575811491957</v>
      </c>
    </row>
    <row r="209" customFormat="false" ht="15" hidden="false" customHeight="false" outlineLevel="0" collapsed="false">
      <c r="A209" s="64" t="n">
        <v>1.86440853397049</v>
      </c>
      <c r="B209" s="29" t="n">
        <v>-50.7970225870247</v>
      </c>
      <c r="C209" s="29" t="n">
        <v>-17.9362689818378</v>
      </c>
      <c r="D209" s="29" t="n">
        <v>-41.7386741953089</v>
      </c>
      <c r="E209" s="29" t="n">
        <v>-269.437348949184</v>
      </c>
      <c r="F209" s="29" t="n">
        <v>-267.981503085313</v>
      </c>
      <c r="G209" s="29" t="n">
        <v>-266.699846669818</v>
      </c>
    </row>
    <row r="210" customFormat="false" ht="15" hidden="false" customHeight="false" outlineLevel="0" collapsed="false">
      <c r="A210" s="64" t="n">
        <v>1.93451965374404</v>
      </c>
      <c r="B210" s="29" t="n">
        <v>-51.1176638150589</v>
      </c>
      <c r="C210" s="29" t="n">
        <v>-18.2569100554132</v>
      </c>
      <c r="D210" s="29" t="n">
        <v>-42.0593148189643</v>
      </c>
      <c r="E210" s="29" t="n">
        <v>-269.457740351627</v>
      </c>
      <c r="F210" s="29" t="n">
        <v>-268.054644380066</v>
      </c>
      <c r="G210" s="29" t="n">
        <v>-266.819393328925</v>
      </c>
    </row>
    <row r="211" customFormat="false" ht="15" hidden="false" customHeight="false" outlineLevel="0" collapsed="false">
      <c r="A211" s="64" t="n">
        <v>2.00726730356257</v>
      </c>
      <c r="B211" s="29" t="n">
        <v>-51.438305046974</v>
      </c>
      <c r="C211" s="29" t="n">
        <v>-18.5775511438625</v>
      </c>
      <c r="D211" s="29" t="n">
        <v>-42.3799554895147</v>
      </c>
      <c r="E211" s="29" t="n">
        <v>-269.477392754665</v>
      </c>
      <c r="F211" s="29" t="n">
        <v>-268.125136276444</v>
      </c>
      <c r="G211" s="29" t="n">
        <v>-266.934613432607</v>
      </c>
    </row>
    <row r="212" customFormat="false" ht="15" hidden="false" customHeight="false" outlineLevel="0" collapsed="false">
      <c r="A212" s="64" t="n">
        <v>2.08275063019051</v>
      </c>
      <c r="B212" s="29" t="n">
        <v>-51.7589462824939</v>
      </c>
      <c r="C212" s="29" t="n">
        <v>-18.8981922461272</v>
      </c>
      <c r="D212" s="29" t="n">
        <v>-42.7005962036227</v>
      </c>
      <c r="E212" s="29" t="n">
        <v>-269.496332938223</v>
      </c>
      <c r="F212" s="29" t="n">
        <v>-268.193074647767</v>
      </c>
      <c r="G212" s="29" t="n">
        <v>-267.045663148632</v>
      </c>
    </row>
    <row r="213" customFormat="false" ht="15" hidden="false" customHeight="false" outlineLevel="0" collapsed="false">
      <c r="A213" s="64" t="n">
        <v>2.16107250880838</v>
      </c>
      <c r="B213" s="29" t="n">
        <v>-52.0795875213621</v>
      </c>
      <c r="C213" s="29" t="n">
        <v>-19.218833361224</v>
      </c>
      <c r="D213" s="29" t="n">
        <v>-43.021236958188</v>
      </c>
      <c r="E213" s="29" t="n">
        <v>-269.514586711976</v>
      </c>
      <c r="F213" s="29" t="n">
        <v>-268.258551908055</v>
      </c>
      <c r="G213" s="29" t="n">
        <v>-267.152693051475</v>
      </c>
    </row>
    <row r="214" customFormat="false" ht="15" hidden="false" customHeight="false" outlineLevel="0" collapsed="false">
      <c r="A214" s="64" t="n">
        <v>2.24233968321985</v>
      </c>
      <c r="B214" s="29" t="n">
        <v>-52.4002287633402</v>
      </c>
      <c r="C214" s="29" t="n">
        <v>-19.5394744882397</v>
      </c>
      <c r="D214" s="29" t="n">
        <v>-43.3418777503315</v>
      </c>
      <c r="E214" s="29" t="n">
        <v>-269.532178950486</v>
      </c>
      <c r="F214" s="29" t="n">
        <v>-268.321657135791</v>
      </c>
      <c r="G214" s="29" t="n">
        <v>-267.255848318071</v>
      </c>
    </row>
    <row r="215" customFormat="false" ht="15" hidden="false" customHeight="false" outlineLevel="0" collapsed="false">
      <c r="A215" s="64" t="n">
        <v>2.32666291133146</v>
      </c>
      <c r="B215" s="29" t="n">
        <v>-52.720870008207</v>
      </c>
      <c r="C215" s="29" t="n">
        <v>-19.8601156263259</v>
      </c>
      <c r="D215" s="29" t="n">
        <v>-43.6625185773786</v>
      </c>
      <c r="E215" s="29" t="n">
        <v>-269.549133627054</v>
      </c>
      <c r="F215" s="29" t="n">
        <v>-268.38247619337</v>
      </c>
      <c r="G215" s="29" t="n">
        <v>-267.355268917197</v>
      </c>
    </row>
    <row r="216" customFormat="false" ht="15" hidden="false" customHeight="false" outlineLevel="0" collapsed="false">
      <c r="A216" s="64" t="n">
        <v>2.41415711610302</v>
      </c>
      <c r="B216" s="29" t="n">
        <v>-53.0415112557568</v>
      </c>
      <c r="C216" s="29" t="n">
        <v>-20.1807567746948</v>
      </c>
      <c r="D216" s="29" t="n">
        <v>-43.9831594368453</v>
      </c>
      <c r="E216" s="29" t="n">
        <v>-269.565473846367</v>
      </c>
      <c r="F216" s="29" t="n">
        <v>-268.441091842366</v>
      </c>
      <c r="G216" s="29" t="n">
        <v>-267.451089792646</v>
      </c>
    </row>
    <row r="217" customFormat="false" ht="15" hidden="false" customHeight="false" outlineLevel="0" collapsed="false">
      <c r="A217" s="64" t="n">
        <v>2.5049415421745</v>
      </c>
      <c r="B217" s="29" t="n">
        <v>-53.3621525057986</v>
      </c>
      <c r="C217" s="29" t="n">
        <v>-20.5013979326146</v>
      </c>
      <c r="D217" s="29" t="n">
        <v>-44.3038003264241</v>
      </c>
      <c r="E217" s="29" t="n">
        <v>-269.581221875946</v>
      </c>
      <c r="F217" s="29" t="n">
        <v>-268.497583854757</v>
      </c>
      <c r="G217" s="29" t="n">
        <v>-267.543441040338</v>
      </c>
    </row>
    <row r="218" customFormat="false" ht="15" hidden="false" customHeight="false" outlineLevel="0" collapsed="false">
      <c r="A218" s="64" t="n">
        <v>2.59913991838293</v>
      </c>
      <c r="B218" s="29" t="n">
        <v>-53.6827937581551</v>
      </c>
      <c r="C218" s="29" t="n">
        <v>-20.8220390994054</v>
      </c>
      <c r="D218" s="29" t="n">
        <v>-44.6244412439721</v>
      </c>
      <c r="E218" s="29" t="n">
        <v>-269.596399176473</v>
      </c>
      <c r="F218" s="29" t="n">
        <v>-268.552029120245</v>
      </c>
      <c r="G218" s="29" t="n">
        <v>-267.632448079548</v>
      </c>
    </row>
    <row r="219" customFormat="false" ht="15" hidden="false" customHeight="false" outlineLevel="0" collapsed="false">
      <c r="A219" s="64" t="n">
        <v>2.69688062639069</v>
      </c>
      <c r="B219" s="29" t="n">
        <v>-54.0034350126616</v>
      </c>
      <c r="C219" s="29" t="n">
        <v>-21.142680274436</v>
      </c>
      <c r="D219" s="29" t="n">
        <v>-44.9450821874986</v>
      </c>
      <c r="E219" s="29" t="n">
        <v>-269.611026431008</v>
      </c>
      <c r="F219" s="29" t="n">
        <v>-268.604501749791</v>
      </c>
      <c r="G219" s="29" t="n">
        <v>-267.71823181838</v>
      </c>
    </row>
    <row r="220" customFormat="false" ht="15" hidden="false" customHeight="false" outlineLevel="0" collapsed="false">
      <c r="A220" s="64" t="n">
        <v>2.79829687565512</v>
      </c>
      <c r="B220" s="29" t="n">
        <v>-54.3240762691651</v>
      </c>
      <c r="C220" s="29" t="n">
        <v>-21.4633214571199</v>
      </c>
      <c r="D220" s="29" t="n">
        <v>-45.2657231551547</v>
      </c>
      <c r="E220" s="29" t="n">
        <v>-269.625123573159</v>
      </c>
      <c r="F220" s="29" t="n">
        <v>-268.655073175488</v>
      </c>
      <c r="G220" s="29" t="n">
        <v>-267.800908813679</v>
      </c>
    </row>
    <row r="221" customFormat="false" ht="15" hidden="false" customHeight="false" outlineLevel="0" collapsed="false">
      <c r="A221" s="64" t="n">
        <v>2.90352688497781</v>
      </c>
      <c r="B221" s="29" t="n">
        <v>-54.6447175275234</v>
      </c>
      <c r="C221" s="29" t="n">
        <v>-21.7839626469124</v>
      </c>
      <c r="D221" s="29" t="n">
        <v>-45.5863641452231</v>
      </c>
      <c r="E221" s="29" t="n">
        <v>-269.638709814227</v>
      </c>
      <c r="F221" s="29" t="n">
        <v>-268.703812246914</v>
      </c>
      <c r="G221" s="29" t="n">
        <v>-267.880591425509</v>
      </c>
    </row>
    <row r="222" customFormat="false" ht="15" hidden="false" customHeight="false" outlineLevel="0" collapsed="false">
      <c r="A222" s="64" t="n">
        <v>3.01271407088116</v>
      </c>
      <c r="B222" s="29" t="n">
        <v>-54.9653587876045</v>
      </c>
      <c r="C222" s="29" t="n">
        <v>-22.1046038433077</v>
      </c>
      <c r="D222" s="29" t="n">
        <v>-45.9070051561087</v>
      </c>
      <c r="E222" s="29" t="n">
        <v>-269.651803669367</v>
      </c>
      <c r="F222" s="29" t="n">
        <v>-268.750785324062</v>
      </c>
      <c r="G222" s="29" t="n">
        <v>-267.95738796638</v>
      </c>
    </row>
    <row r="223" customFormat="false" ht="15" hidden="false" customHeight="false" outlineLevel="0" collapsed="false">
      <c r="A223" s="64" t="n">
        <v>3.1260072430687</v>
      </c>
      <c r="B223" s="29" t="n">
        <v>-55.2860000492858</v>
      </c>
      <c r="C223" s="29" t="n">
        <v>-22.4252450458357</v>
      </c>
      <c r="D223" s="29" t="n">
        <v>-46.2276461863299</v>
      </c>
      <c r="E223" s="29" t="n">
        <v>-269.664422982813</v>
      </c>
      <c r="F223" s="29" t="n">
        <v>-268.796056366975</v>
      </c>
      <c r="G223" s="29" t="n">
        <v>-268.031402845359</v>
      </c>
    </row>
    <row r="224" customFormat="false" ht="15" hidden="false" customHeight="false" outlineLevel="0" collapsed="false">
      <c r="A224" s="64" t="n">
        <v>3.24356080723581</v>
      </c>
      <c r="B224" s="29" t="n">
        <v>-55.6066413124534</v>
      </c>
      <c r="C224" s="29" t="n">
        <v>-22.74588625406</v>
      </c>
      <c r="D224" s="29" t="n">
        <v>-46.5482872345107</v>
      </c>
      <c r="E224" s="29" t="n">
        <v>-269.676584952176</v>
      </c>
      <c r="F224" s="29" t="n">
        <v>-268.839687022188</v>
      </c>
      <c r="G224" s="29" t="n">
        <v>-268.102736707235</v>
      </c>
    </row>
    <row r="225" customFormat="false" ht="15" hidden="false" customHeight="false" outlineLevel="0" collapsed="false">
      <c r="A225" s="64" t="n">
        <v>3.36553497550709</v>
      </c>
      <c r="B225" s="29" t="n">
        <v>-55.9272825770016</v>
      </c>
      <c r="C225" s="29" t="n">
        <v>-23.0665274675752</v>
      </c>
      <c r="D225" s="29" t="n">
        <v>-46.8689282993727</v>
      </c>
      <c r="E225" s="29" t="n">
        <v>-269.688306151872</v>
      </c>
      <c r="F225" s="29" t="n">
        <v>-268.881736706106</v>
      </c>
      <c r="G225" s="29" t="n">
        <v>-268.171486566876</v>
      </c>
    </row>
    <row r="226" customFormat="false" ht="15" hidden="false" customHeight="false" outlineLevel="0" collapsed="false">
      <c r="A226" s="64" t="n">
        <v>3.49209598478727</v>
      </c>
      <c r="B226" s="29" t="n">
        <v>-56.247923842832</v>
      </c>
      <c r="C226" s="29" t="n">
        <v>-23.3871686860047</v>
      </c>
      <c r="D226" s="29" t="n">
        <v>-47.1895693797288</v>
      </c>
      <c r="E226" s="29" t="n">
        <v>-269.699602555701</v>
      </c>
      <c r="F226" s="29" t="n">
        <v>-268.922262685398</v>
      </c>
      <c r="G226" s="29" t="n">
        <v>-268.237745938936</v>
      </c>
    </row>
    <row r="227" customFormat="false" ht="15" hidden="false" customHeight="false" outlineLevel="0" collapsed="false">
      <c r="A227" s="64" t="n">
        <v>3.62341632332315</v>
      </c>
      <c r="B227" s="29" t="n">
        <v>-56.5685651098535</v>
      </c>
      <c r="C227" s="29" t="n">
        <v>-23.7078099089988</v>
      </c>
      <c r="D227" s="29" t="n">
        <v>-47.5102104744763</v>
      </c>
      <c r="E227" s="29" t="n">
        <v>-269.710489558603</v>
      </c>
      <c r="F227" s="29" t="n">
        <v>-268.961320154525</v>
      </c>
      <c r="G227" s="29" t="n">
        <v>-268.301604963055</v>
      </c>
    </row>
    <row r="228" customFormat="false" ht="15" hidden="false" customHeight="false" outlineLevel="0" collapsed="false">
      <c r="A228" s="64" t="n">
        <v>3.75967496578546</v>
      </c>
      <c r="B228" s="29" t="n">
        <v>-56.8892063779812</v>
      </c>
      <c r="C228" s="29" t="n">
        <v>-24.0284511362327</v>
      </c>
      <c r="D228" s="29" t="n">
        <v>-47.8308515825909</v>
      </c>
      <c r="E228" s="29" t="n">
        <v>-269.720981997632</v>
      </c>
      <c r="F228" s="29" t="n">
        <v>-268.998962310502</v>
      </c>
      <c r="G228" s="29" t="n">
        <v>-268.363150524692</v>
      </c>
    </row>
    <row r="229" customFormat="false" ht="15" hidden="false" customHeight="false" outlineLevel="0" collapsed="false">
      <c r="A229" s="64" t="n">
        <v>3.90105761719099</v>
      </c>
      <c r="B229" s="29" t="n">
        <v>-57.2098476471365</v>
      </c>
      <c r="C229" s="29" t="n">
        <v>-24.3490923674045</v>
      </c>
      <c r="D229" s="29" t="n">
        <v>-48.1514927031213</v>
      </c>
      <c r="E229" s="29" t="n">
        <v>-269.73109417217</v>
      </c>
      <c r="F229" s="29" t="n">
        <v>-269.035240424986</v>
      </c>
      <c r="G229" s="29" t="n">
        <v>-268.422466371738</v>
      </c>
    </row>
    <row r="230" customFormat="false" ht="15" hidden="false" customHeight="false" outlineLevel="0" collapsed="false">
      <c r="A230" s="64" t="n">
        <v>4.04775696599732</v>
      </c>
      <c r="B230" s="29" t="n">
        <v>-57.5304889172461</v>
      </c>
      <c r="C230" s="29" t="n">
        <v>-24.669733602234</v>
      </c>
      <c r="D230" s="29" t="n">
        <v>-48.4721338351838</v>
      </c>
      <c r="E230" s="29" t="n">
        <v>-269.740839863406</v>
      </c>
      <c r="F230" s="29" t="n">
        <v>-269.070203913774</v>
      </c>
      <c r="G230" s="29" t="n">
        <v>-268.479633227038</v>
      </c>
    </row>
    <row r="231" customFormat="false" ht="15" hidden="false" customHeight="false" outlineLevel="0" collapsed="false">
      <c r="A231" s="64" t="n">
        <v>4.1999729467153</v>
      </c>
      <c r="B231" s="29" t="n">
        <v>-57.8511301882422</v>
      </c>
      <c r="C231" s="29" t="n">
        <v>-24.9903748404609</v>
      </c>
      <c r="D231" s="29" t="n">
        <v>-48.7927749779577</v>
      </c>
      <c r="E231" s="29" t="n">
        <v>-269.750232353113</v>
      </c>
      <c r="F231" s="29" t="n">
        <v>-269.103900403828</v>
      </c>
      <c r="G231" s="29" t="n">
        <v>-268.534728896963</v>
      </c>
    </row>
    <row r="232" customFormat="false" ht="15" hidden="false" customHeight="false" outlineLevel="0" collapsed="false">
      <c r="A232" s="64" t="n">
        <v>4.35791301239703</v>
      </c>
      <c r="B232" s="29" t="n">
        <v>-58.1717714600617</v>
      </c>
      <c r="C232" s="29" t="n">
        <v>-25.3110160818433</v>
      </c>
      <c r="D232" s="29" t="n">
        <v>-49.1134161306807</v>
      </c>
      <c r="E232" s="29" t="n">
        <v>-269.75928444174</v>
      </c>
      <c r="F232" s="29" t="n">
        <v>-269.136375797877</v>
      </c>
      <c r="G232" s="29" t="n">
        <v>-268.587828376153</v>
      </c>
    </row>
    <row r="233" customFormat="false" ht="15" hidden="false" customHeight="false" outlineLevel="0" collapsed="false">
      <c r="A233" s="64" t="n">
        <v>4.5217924173707</v>
      </c>
      <c r="B233" s="29" t="n">
        <v>-58.492412732646</v>
      </c>
      <c r="C233" s="29" t="n">
        <v>-25.6316573261568</v>
      </c>
      <c r="D233" s="29" t="n">
        <v>-49.4340572926446</v>
      </c>
      <c r="E233" s="29" t="n">
        <v>-269.768008465857</v>
      </c>
      <c r="F233" s="29" t="n">
        <v>-269.167674336717</v>
      </c>
      <c r="G233" s="29" t="n">
        <v>-268.639003948571</v>
      </c>
    </row>
    <row r="234" customFormat="false" ht="15" hidden="false" customHeight="false" outlineLevel="0" collapsed="false">
      <c r="A234" s="64" t="n">
        <v>4.69183451060779</v>
      </c>
      <c r="B234" s="29" t="n">
        <v>-58.8130540059406</v>
      </c>
      <c r="C234" s="29" t="n">
        <v>-25.9522985731927</v>
      </c>
      <c r="D234" s="29" t="n">
        <v>-49.7546984631918</v>
      </c>
      <c r="E234" s="29" t="n">
        <v>-269.77641631496</v>
      </c>
      <c r="F234" s="29" t="n">
        <v>-269.197838659266</v>
      </c>
      <c r="G234" s="29" t="n">
        <v>-268.688325284979</v>
      </c>
    </row>
    <row r="235" customFormat="false" ht="15" hidden="false" customHeight="false" outlineLevel="0" collapsed="false">
      <c r="A235" s="64" t="n">
        <v>4.86827104012228</v>
      </c>
      <c r="B235" s="29" t="n">
        <v>-59.133695279895</v>
      </c>
      <c r="C235" s="29" t="n">
        <v>-26.2729398227572</v>
      </c>
      <c r="D235" s="29" t="n">
        <v>-50.0753396417114</v>
      </c>
      <c r="E235" s="29" t="n">
        <v>-269.784519447673</v>
      </c>
      <c r="F235" s="29" t="n">
        <v>-269.22690986046</v>
      </c>
      <c r="G235" s="29" t="n">
        <v>-268.735859536962</v>
      </c>
    </row>
    <row r="236" customFormat="false" ht="15" hidden="false" customHeight="false" outlineLevel="0" collapsed="false">
      <c r="A236" s="64" t="n">
        <v>5.05134246881676</v>
      </c>
      <c r="B236" s="29" t="n">
        <v>-59.4543365544622</v>
      </c>
      <c r="C236" s="29" t="n">
        <v>-26.5935810746704</v>
      </c>
      <c r="D236" s="29" t="n">
        <v>-50.395980827636</v>
      </c>
      <c r="E236" s="29" t="n">
        <v>-269.792328907357</v>
      </c>
      <c r="F236" s="29" t="n">
        <v>-269.254927547069</v>
      </c>
      <c r="G236" s="29" t="n">
        <v>-268.781671427616</v>
      </c>
    </row>
    <row r="237" customFormat="false" ht="15" hidden="false" customHeight="false" outlineLevel="0" collapsed="false">
      <c r="A237" s="64" t="n">
        <v>5.24129830220606</v>
      </c>
      <c r="B237" s="29" t="n">
        <v>-59.7749778295986</v>
      </c>
      <c r="C237" s="29" t="n">
        <v>-26.9142223287651</v>
      </c>
      <c r="D237" s="29" t="n">
        <v>-50.7166220204385</v>
      </c>
      <c r="E237" s="29" t="n">
        <v>-269.799855337162</v>
      </c>
      <c r="F237" s="29" t="n">
        <v>-269.28192989151</v>
      </c>
      <c r="G237" s="29" t="n">
        <v>-268.825823339013</v>
      </c>
    </row>
    <row r="238" customFormat="false" ht="15" hidden="false" customHeight="false" outlineLevel="0" collapsed="false">
      <c r="A238" s="64" t="n">
        <v>5.4383974284648</v>
      </c>
      <c r="B238" s="29" t="n">
        <v>-60.0956191052638</v>
      </c>
      <c r="C238" s="29" t="n">
        <v>-27.2348635848861</v>
      </c>
      <c r="D238" s="29" t="n">
        <v>-51.0372632196296</v>
      </c>
      <c r="E238" s="29" t="n">
        <v>-269.807108994527</v>
      </c>
      <c r="F238" s="29" t="n">
        <v>-269.307953683711</v>
      </c>
      <c r="G238" s="29" t="n">
        <v>-268.868375396559</v>
      </c>
    </row>
    <row r="239" customFormat="false" ht="15" hidden="false" customHeight="false" outlineLevel="0" collapsed="false">
      <c r="A239" s="64" t="n">
        <v>5.64290847126254</v>
      </c>
      <c r="B239" s="29" t="n">
        <v>-60.41626038142</v>
      </c>
      <c r="C239" s="29" t="n">
        <v>-27.5555048428891</v>
      </c>
      <c r="D239" s="29" t="n">
        <v>-51.3579044247544</v>
      </c>
      <c r="E239" s="29" t="n">
        <v>-269.814099765156</v>
      </c>
      <c r="F239" s="29" t="n">
        <v>-269.333034381122</v>
      </c>
      <c r="G239" s="29" t="n">
        <v>-268.909385550334</v>
      </c>
    </row>
    <row r="240" customFormat="false" ht="15" hidden="false" customHeight="false" outlineLevel="0" collapsed="false">
      <c r="A240" s="64" t="n">
        <v>5.85511015586724</v>
      </c>
      <c r="B240" s="29" t="n">
        <v>-60.7369016580324</v>
      </c>
      <c r="C240" s="29" t="n">
        <v>-27.8761461026402</v>
      </c>
      <c r="D240" s="29" t="n">
        <v>-51.6785456353907</v>
      </c>
      <c r="E240" s="29" t="n">
        <v>-269.820837176492</v>
      </c>
      <c r="F240" s="29" t="n">
        <v>-269.357206156909</v>
      </c>
      <c r="G240" s="29" t="n">
        <v>-268.948909653544</v>
      </c>
    </row>
    <row r="241" customFormat="false" ht="15" hidden="false" customHeight="false" outlineLevel="0" collapsed="false">
      <c r="A241" s="64" t="n">
        <v>6.07529168901607</v>
      </c>
      <c r="B241" s="29" t="n">
        <v>-61.0575429350684</v>
      </c>
      <c r="C241" s="29" t="n">
        <v>-28.1967873640151</v>
      </c>
      <c r="D241" s="29" t="n">
        <v>-51.9991868511463</v>
      </c>
      <c r="E241" s="29" t="n">
        <v>-269.827330410694</v>
      </c>
      <c r="F241" s="29" t="n">
        <v>-269.380501946422</v>
      </c>
      <c r="G241" s="29" t="n">
        <v>-268.987001538159</v>
      </c>
    </row>
    <row r="242" customFormat="false" ht="15" hidden="false" customHeight="false" outlineLevel="0" collapsed="false">
      <c r="A242" s="64" t="n">
        <v>6.30375315307128</v>
      </c>
      <c r="B242" s="29" t="n">
        <v>-61.3781842124979</v>
      </c>
      <c r="C242" s="29" t="n">
        <v>-28.517428626898</v>
      </c>
      <c r="D242" s="29" t="n">
        <v>-52.3198280716567</v>
      </c>
      <c r="E242" s="29" t="n">
        <v>-269.833588317156</v>
      </c>
      <c r="F242" s="29" t="n">
        <v>-269.402953491983</v>
      </c>
      <c r="G242" s="29" t="n">
        <v>-269.023713087857</v>
      </c>
    </row>
    <row r="243" customFormat="false" ht="15" hidden="false" customHeight="false" outlineLevel="0" collapsed="false">
      <c r="A243" s="64" t="n">
        <v>6.54080591499825</v>
      </c>
      <c r="B243" s="29" t="n">
        <v>-61.6988254902929</v>
      </c>
      <c r="C243" s="29" t="n">
        <v>-28.8380698911818</v>
      </c>
      <c r="D243" s="29" t="n">
        <v>-52.6404692965836</v>
      </c>
      <c r="E243" s="29" t="n">
        <v>-269.839619424561</v>
      </c>
      <c r="F243" s="29" t="n">
        <v>-269.424591386061</v>
      </c>
      <c r="G243" s="29" t="n">
        <v>-269.059094308348</v>
      </c>
    </row>
    <row r="244" customFormat="false" ht="15" hidden="false" customHeight="false" outlineLevel="0" collapsed="false">
      <c r="A244" s="64" t="n">
        <v>6.7867730507233</v>
      </c>
      <c r="B244" s="29" t="n">
        <v>-62.0194667684275</v>
      </c>
      <c r="C244" s="29" t="n">
        <v>-29.1587111567666</v>
      </c>
      <c r="D244" s="29" t="n">
        <v>-52.9611105256127</v>
      </c>
      <c r="E244" s="29" t="n">
        <v>-269.845431952503</v>
      </c>
      <c r="F244" s="29" t="n">
        <v>-269.445445112883</v>
      </c>
      <c r="G244" s="29" t="n">
        <v>-269.093193395185</v>
      </c>
    </row>
    <row r="245" customFormat="false" ht="15" hidden="false" customHeight="false" outlineLevel="0" collapsed="false">
      <c r="A245" s="64" t="n">
        <v>7.04198978544929</v>
      </c>
      <c r="B245" s="29" t="n">
        <v>-62.3401080468773</v>
      </c>
      <c r="C245" s="29" t="n">
        <v>-29.47935242356</v>
      </c>
      <c r="D245" s="29" t="n">
        <v>-53.281751758452</v>
      </c>
      <c r="E245" s="29" t="n">
        <v>-269.851033822692</v>
      </c>
      <c r="F245" s="29" t="n">
        <v>-269.465543088549</v>
      </c>
      <c r="G245" s="29" t="n">
        <v>-269.126056799141</v>
      </c>
    </row>
    <row r="246" customFormat="false" ht="15" hidden="false" customHeight="false" outlineLevel="0" collapsed="false">
      <c r="A246" s="64" t="n">
        <v>7.3068039505295</v>
      </c>
      <c r="B246" s="29" t="n">
        <v>-62.6607493256201</v>
      </c>
      <c r="C246" s="29" t="n">
        <v>-29.7999936914758</v>
      </c>
      <c r="D246" s="29" t="n">
        <v>-53.6023929948303</v>
      </c>
      <c r="E246" s="29" t="n">
        <v>-269.856432669744</v>
      </c>
      <c r="F246" s="29" t="n">
        <v>-269.484912699698</v>
      </c>
      <c r="G246" s="29" t="n">
        <v>-269.157729289244</v>
      </c>
    </row>
    <row r="247" customFormat="false" ht="15" hidden="false" customHeight="false" outlineLevel="0" collapsed="false">
      <c r="A247" s="64" t="n">
        <v>7.58157645752211</v>
      </c>
      <c r="B247" s="29" t="n">
        <v>-62.9813906046348</v>
      </c>
      <c r="C247" s="29" t="n">
        <v>-30.1206349604342</v>
      </c>
      <c r="D247" s="29" t="n">
        <v>-53.9230342344957</v>
      </c>
      <c r="E247" s="29" t="n">
        <v>-269.861635851589</v>
      </c>
      <c r="F247" s="29" t="n">
        <v>-269.503580340772</v>
      </c>
      <c r="G247" s="29" t="n">
        <v>-269.188254013541</v>
      </c>
    </row>
    <row r="248" customFormat="false" ht="15" hidden="false" customHeight="false" outlineLevel="0" collapsed="false">
      <c r="A248" s="64" t="n">
        <v>7.86668179007158</v>
      </c>
      <c r="B248" s="29" t="n">
        <v>-63.3020318839023</v>
      </c>
      <c r="C248" s="29" t="n">
        <v>-30.4412762303611</v>
      </c>
      <c r="D248" s="29" t="n">
        <v>-54.2436754772144</v>
      </c>
      <c r="E248" s="29" t="n">
        <v>-269.866650459496</v>
      </c>
      <c r="F248" s="29" t="n">
        <v>-269.521571449944</v>
      </c>
      <c r="G248" s="29" t="n">
        <v>-269.217672557688</v>
      </c>
    </row>
    <row r="249" customFormat="false" ht="15" hidden="false" customHeight="false" outlineLevel="0" collapsed="false">
      <c r="A249" s="64" t="n">
        <v>8.16250851428722</v>
      </c>
      <c r="B249" s="29" t="n">
        <v>-63.6226731634045</v>
      </c>
      <c r="C249" s="29" t="n">
        <v>-30.7619175011874</v>
      </c>
      <c r="D249" s="29" t="n">
        <v>-54.5643167227689</v>
      </c>
      <c r="E249" s="29" t="n">
        <v>-269.871483327738</v>
      </c>
      <c r="F249" s="29" t="n">
        <v>-269.538910543738</v>
      </c>
      <c r="G249" s="29" t="n">
        <v>-269.246025001429</v>
      </c>
    </row>
    <row r="250" customFormat="false" ht="15" hidden="false" customHeight="false" outlineLevel="0" collapsed="false">
      <c r="A250" s="64" t="n">
        <v>8.46945980831458</v>
      </c>
      <c r="B250" s="29" t="n">
        <v>-63.9433144431246</v>
      </c>
      <c r="C250" s="29" t="n">
        <v>-31.0825587728492</v>
      </c>
      <c r="D250" s="29" t="n">
        <v>-54.8849579709576</v>
      </c>
      <c r="E250" s="29" t="n">
        <v>-269.876141042904</v>
      </c>
      <c r="F250" s="29" t="n">
        <v>-269.5556212504</v>
      </c>
      <c r="G250" s="29" t="n">
        <v>-269.273349973039</v>
      </c>
    </row>
    <row r="251" customFormat="false" ht="15" hidden="false" customHeight="false" outlineLevel="0" collapsed="false">
      <c r="A251" s="64" t="n">
        <v>8.78795401182131</v>
      </c>
      <c r="B251" s="29" t="n">
        <v>-64.2639557230473</v>
      </c>
      <c r="C251" s="29" t="n">
        <v>-31.4032000452869</v>
      </c>
      <c r="D251" s="29" t="n">
        <v>-55.2055992215928</v>
      </c>
      <c r="E251" s="29" t="n">
        <v>-269.880629952873</v>
      </c>
      <c r="F251" s="29" t="n">
        <v>-269.571726342069</v>
      </c>
      <c r="G251" s="29" t="n">
        <v>-269.299684701818</v>
      </c>
    </row>
    <row r="252" customFormat="false" ht="15" hidden="false" customHeight="false" outlineLevel="0" collapsed="false">
      <c r="A252" s="64" t="n">
        <v>9.11842519614656</v>
      </c>
      <c r="B252" s="29" t="n">
        <v>-64.5845970031579</v>
      </c>
      <c r="C252" s="29" t="n">
        <v>-31.7238413184455</v>
      </c>
      <c r="D252" s="29" t="n">
        <v>-55.5262404745005</v>
      </c>
      <c r="E252" s="29" t="n">
        <v>-269.884956175473</v>
      </c>
      <c r="F252" s="29" t="n">
        <v>-269.587247765777</v>
      </c>
      <c r="G252" s="29" t="n">
        <v>-269.325065068686</v>
      </c>
    </row>
    <row r="253" customFormat="false" ht="15" hidden="false" customHeight="false" outlineLevel="0" collapsed="false">
      <c r="A253" s="64" t="n">
        <v>9.46132375589076</v>
      </c>
      <c r="B253" s="29" t="n">
        <v>-64.9052382834433</v>
      </c>
      <c r="C253" s="29" t="n">
        <v>-32.0444825922735</v>
      </c>
      <c r="D253" s="29" t="n">
        <v>-55.846881729519</v>
      </c>
      <c r="E253" s="29" t="n">
        <v>-269.889125606807</v>
      </c>
      <c r="F253" s="29" t="n">
        <v>-269.602206673331</v>
      </c>
      <c r="G253" s="29" t="n">
        <v>-269.349525654955</v>
      </c>
    </row>
    <row r="254" customFormat="false" ht="15" hidden="false" customHeight="false" outlineLevel="0" collapsed="false">
      <c r="A254" s="64" t="n">
        <v>9.81711702275218</v>
      </c>
      <c r="B254" s="29" t="n">
        <v>-65.225879563891</v>
      </c>
      <c r="C254" s="29" t="n">
        <v>-32.3651238667234</v>
      </c>
      <c r="D254" s="29" t="n">
        <v>-56.1675229864979</v>
      </c>
      <c r="E254" s="29" t="n">
        <v>-269.893143929297</v>
      </c>
      <c r="F254" s="29" t="n">
        <v>-269.616623450117</v>
      </c>
      <c r="G254" s="29" t="n">
        <v>-269.373099789353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4"/>
    <col collapsed="false" customWidth="true" hidden="false" outlineLevel="0" max="8" min="4" style="0" width="16"/>
    <col collapsed="false" customWidth="true" hidden="false" outlineLevel="0" max="9" min="9" style="0" width="20"/>
    <col collapsed="false" customWidth="true" hidden="false" outlineLevel="0" max="10" min="10" style="0" width="16"/>
  </cols>
  <sheetData>
    <row r="1" customFormat="false" ht="25.5" hidden="false" customHeight="true" outlineLevel="0" collapsed="false">
      <c r="A1" s="1" t="s">
        <v>252</v>
      </c>
      <c r="B1" s="1"/>
      <c r="C1" s="1"/>
      <c r="D1" s="1"/>
      <c r="E1" s="1"/>
      <c r="F1" s="1"/>
      <c r="G1" s="1"/>
      <c r="H1" s="1"/>
      <c r="I1" s="1"/>
      <c r="J1" s="1"/>
    </row>
    <row r="2" customFormat="false" ht="15.75" hidden="false" customHeight="true" outlineLevel="0" collapsed="false">
      <c r="A2" s="2" t="s">
        <v>253</v>
      </c>
      <c r="B2" s="2"/>
      <c r="C2" s="2"/>
      <c r="D2" s="2"/>
      <c r="E2" s="2"/>
      <c r="F2" s="2"/>
      <c r="G2" s="2"/>
      <c r="H2" s="2"/>
      <c r="I2" s="2"/>
      <c r="J2" s="2"/>
    </row>
    <row r="4" customFormat="false" ht="30" hidden="false" customHeight="true" outlineLevel="0" collapsed="false">
      <c r="A4" s="4" t="s">
        <v>205</v>
      </c>
      <c r="B4" s="4" t="s">
        <v>254</v>
      </c>
      <c r="C4" s="4" t="s">
        <v>108</v>
      </c>
      <c r="D4" s="4" t="s">
        <v>255</v>
      </c>
      <c r="E4" s="4" t="s">
        <v>256</v>
      </c>
      <c r="F4" s="4" t="s">
        <v>257</v>
      </c>
      <c r="G4" s="4" t="s">
        <v>258</v>
      </c>
      <c r="H4" s="4" t="s">
        <v>259</v>
      </c>
      <c r="I4" s="4" t="s">
        <v>260</v>
      </c>
      <c r="J4" s="4" t="s">
        <v>261</v>
      </c>
    </row>
    <row r="5" customFormat="false" ht="15" hidden="false" customHeight="false" outlineLevel="0" collapsed="false">
      <c r="A5" s="5" t="s">
        <v>211</v>
      </c>
      <c r="B5" s="65" t="n">
        <v>1</v>
      </c>
      <c r="C5" s="28" t="n">
        <v>0</v>
      </c>
      <c r="D5" s="65" t="s">
        <v>262</v>
      </c>
      <c r="E5" s="28" t="n">
        <v>84573.868</v>
      </c>
      <c r="F5" s="28" t="n">
        <v>183413</v>
      </c>
      <c r="G5" s="64" t="n">
        <v>3383105686.38</v>
      </c>
      <c r="H5" s="23" t="n">
        <v>0</v>
      </c>
      <c r="I5" s="11"/>
      <c r="J5" s="33" t="str">
        <f aca="false">IF(ISNUMBER(I5),"Yes","Not settled")</f>
        <v>Not settled</v>
      </c>
    </row>
    <row r="6" customFormat="false" ht="15" hidden="false" customHeight="false" outlineLevel="0" collapsed="false">
      <c r="A6" s="5" t="s">
        <v>211</v>
      </c>
      <c r="B6" s="65" t="n">
        <v>2</v>
      </c>
      <c r="C6" s="28" t="n">
        <v>60007.06</v>
      </c>
      <c r="D6" s="65" t="s">
        <v>263</v>
      </c>
      <c r="E6" s="28" t="n">
        <v>34532.506</v>
      </c>
      <c r="F6" s="28" t="n">
        <v>73755.354</v>
      </c>
      <c r="G6" s="64" t="n">
        <v>341483332.647</v>
      </c>
      <c r="H6" s="23" t="n">
        <v>2.13</v>
      </c>
      <c r="I6" s="11"/>
      <c r="J6" s="33" t="str">
        <f aca="false">IF(ISNUMBER(I6),"Yes","Not settled")</f>
        <v>Not settled</v>
      </c>
    </row>
    <row r="7" customFormat="false" ht="15" hidden="false" customHeight="false" outlineLevel="0" collapsed="false">
      <c r="A7" s="5" t="s">
        <v>211</v>
      </c>
      <c r="B7" s="65" t="n">
        <v>3</v>
      </c>
      <c r="C7" s="28" t="n">
        <v>80009.413</v>
      </c>
      <c r="D7" s="65" t="s">
        <v>264</v>
      </c>
      <c r="E7" s="28" t="n">
        <v>42327.443</v>
      </c>
      <c r="F7" s="28" t="n">
        <v>91929.331</v>
      </c>
      <c r="G7" s="64" t="n">
        <v>422511507.201</v>
      </c>
      <c r="H7" s="23" t="n">
        <v>2.52</v>
      </c>
      <c r="I7" s="11"/>
      <c r="J7" s="33" t="str">
        <f aca="false">IF(ISNUMBER(I7),"Yes","Not settled")</f>
        <v>Not settled</v>
      </c>
    </row>
    <row r="8" customFormat="false" ht="15" hidden="false" customHeight="false" outlineLevel="0" collapsed="false">
      <c r="A8" s="5" t="s">
        <v>211</v>
      </c>
      <c r="B8" s="65" t="n">
        <v>4</v>
      </c>
      <c r="C8" s="28" t="n">
        <v>100011.766</v>
      </c>
      <c r="D8" s="65" t="s">
        <v>265</v>
      </c>
      <c r="E8" s="28" t="n">
        <v>119077.033</v>
      </c>
      <c r="F8" s="28" t="n">
        <v>252397.318</v>
      </c>
      <c r="G8" s="64" t="n">
        <v>4166434194.228</v>
      </c>
      <c r="H8" s="23" t="n">
        <v>2.015</v>
      </c>
      <c r="I8" s="11"/>
      <c r="J8" s="33" t="str">
        <f aca="false">IF(ISNUMBER(I8),"Yes","Not settled")</f>
        <v>Not settled</v>
      </c>
    </row>
    <row r="9" customFormat="false" ht="15" hidden="false" customHeight="false" outlineLevel="0" collapsed="false">
      <c r="A9" s="5" t="s">
        <v>213</v>
      </c>
      <c r="B9" s="65" t="n">
        <v>1</v>
      </c>
      <c r="C9" s="28" t="n">
        <v>0</v>
      </c>
      <c r="D9" s="65" t="s">
        <v>262</v>
      </c>
      <c r="E9" s="28" t="n">
        <v>64172.4</v>
      </c>
      <c r="F9" s="28" t="n">
        <v>110241.128</v>
      </c>
      <c r="G9" s="64" t="n">
        <v>2542884055.472</v>
      </c>
      <c r="H9" s="23" t="n">
        <v>0</v>
      </c>
      <c r="I9" s="11"/>
      <c r="J9" s="33" t="str">
        <f aca="false">IF(ISNUMBER(I9),"Yes","Not settled")</f>
        <v>Not settled</v>
      </c>
    </row>
    <row r="10" customFormat="false" ht="15" hidden="false" customHeight="false" outlineLevel="0" collapsed="false">
      <c r="A10" s="5" t="s">
        <v>213</v>
      </c>
      <c r="B10" s="65" t="n">
        <v>2</v>
      </c>
      <c r="C10" s="28" t="n">
        <v>60007.06</v>
      </c>
      <c r="D10" s="65" t="s">
        <v>263</v>
      </c>
      <c r="E10" s="28" t="n">
        <v>25189.145</v>
      </c>
      <c r="F10" s="28" t="n">
        <v>42083.007</v>
      </c>
      <c r="G10" s="64" t="n">
        <v>238793375.787</v>
      </c>
      <c r="H10" s="23" t="n">
        <v>2.354</v>
      </c>
      <c r="I10" s="11"/>
      <c r="J10" s="33" t="str">
        <f aca="false">IF(ISNUMBER(I10),"Yes","Not settled")</f>
        <v>Not settled</v>
      </c>
    </row>
    <row r="11" customFormat="false" ht="15" hidden="false" customHeight="false" outlineLevel="0" collapsed="false">
      <c r="A11" s="5" t="s">
        <v>213</v>
      </c>
      <c r="B11" s="65" t="n">
        <v>3</v>
      </c>
      <c r="C11" s="28" t="n">
        <v>80009.413</v>
      </c>
      <c r="D11" s="65" t="s">
        <v>264</v>
      </c>
      <c r="E11" s="28" t="n">
        <v>31433.816</v>
      </c>
      <c r="F11" s="28" t="n">
        <v>52603.658</v>
      </c>
      <c r="G11" s="64" t="n">
        <v>314586029.049</v>
      </c>
      <c r="H11" s="23" t="n">
        <v>1.952</v>
      </c>
      <c r="I11" s="11"/>
      <c r="J11" s="33" t="str">
        <f aca="false">IF(ISNUMBER(I11),"Yes","Not settled")</f>
        <v>Not settled</v>
      </c>
    </row>
    <row r="12" customFormat="false" ht="15" hidden="false" customHeight="false" outlineLevel="0" collapsed="false">
      <c r="A12" s="5" t="s">
        <v>213</v>
      </c>
      <c r="B12" s="65" t="n">
        <v>4</v>
      </c>
      <c r="C12" s="28" t="n">
        <v>100011.766</v>
      </c>
      <c r="D12" s="65" t="s">
        <v>265</v>
      </c>
      <c r="E12" s="28" t="n">
        <v>77319.023</v>
      </c>
      <c r="F12" s="28" t="n">
        <v>116340.464</v>
      </c>
      <c r="G12" s="64" t="n">
        <v>2645784358.436</v>
      </c>
      <c r="H12" s="23" t="n">
        <v>2.348</v>
      </c>
      <c r="I12" s="11"/>
      <c r="J12" s="33" t="str">
        <f aca="false">IF(ISNUMBER(I12),"Yes","Not settled")</f>
        <v>Not settled</v>
      </c>
    </row>
    <row r="13" customFormat="false" ht="15" hidden="false" customHeight="false" outlineLevel="0" collapsed="false">
      <c r="A13" s="5" t="s">
        <v>215</v>
      </c>
      <c r="B13" s="65" t="n">
        <v>1</v>
      </c>
      <c r="C13" s="28" t="n">
        <v>0</v>
      </c>
      <c r="D13" s="65" t="s">
        <v>262</v>
      </c>
      <c r="E13" s="28" t="n">
        <v>14658.15</v>
      </c>
      <c r="F13" s="28" t="n">
        <v>34979.853</v>
      </c>
      <c r="G13" s="64" t="n">
        <v>334584389.836</v>
      </c>
      <c r="H13" s="23" t="n">
        <v>0</v>
      </c>
      <c r="I13" s="28" t="n">
        <v>27363.219</v>
      </c>
      <c r="J13" s="33" t="str">
        <f aca="false">IF(ISNUMBER(I13),"Yes","Not settled")</f>
        <v>Yes</v>
      </c>
    </row>
    <row r="14" customFormat="false" ht="15" hidden="false" customHeight="false" outlineLevel="0" collapsed="false">
      <c r="A14" s="5" t="s">
        <v>215</v>
      </c>
      <c r="B14" s="65" t="n">
        <v>2</v>
      </c>
      <c r="C14" s="28" t="n">
        <v>60007.06</v>
      </c>
      <c r="D14" s="65" t="s">
        <v>263</v>
      </c>
      <c r="E14" s="28" t="n">
        <v>18863.128</v>
      </c>
      <c r="F14" s="28" t="n">
        <v>56754.812</v>
      </c>
      <c r="G14" s="64" t="n">
        <v>153537101.321</v>
      </c>
      <c r="H14" s="23" t="n">
        <v>2.065</v>
      </c>
      <c r="I14" s="28" t="n">
        <v>12981.527</v>
      </c>
      <c r="J14" s="33" t="str">
        <f aca="false">IF(ISNUMBER(I14),"Yes","Not settled")</f>
        <v>Yes</v>
      </c>
    </row>
    <row r="15" customFormat="false" ht="15" hidden="false" customHeight="false" outlineLevel="0" collapsed="false">
      <c r="A15" s="5" t="s">
        <v>215</v>
      </c>
      <c r="B15" s="65" t="n">
        <v>3</v>
      </c>
      <c r="C15" s="28" t="n">
        <v>80009.413</v>
      </c>
      <c r="D15" s="65" t="s">
        <v>264</v>
      </c>
      <c r="E15" s="28" t="n">
        <v>855.435</v>
      </c>
      <c r="F15" s="28" t="n">
        <v>410.225</v>
      </c>
      <c r="G15" s="64" t="n">
        <v>843051.091</v>
      </c>
      <c r="H15" s="23" t="n">
        <v>0.345</v>
      </c>
      <c r="I15" s="28" t="n">
        <v>460.054</v>
      </c>
      <c r="J15" s="33" t="str">
        <f aca="false">IF(ISNUMBER(I15),"Yes","Not settled")</f>
        <v>Yes</v>
      </c>
    </row>
    <row r="16" customFormat="false" ht="15" hidden="false" customHeight="false" outlineLevel="0" collapsed="false">
      <c r="A16" s="5" t="s">
        <v>215</v>
      </c>
      <c r="B16" s="65" t="n">
        <v>4</v>
      </c>
      <c r="C16" s="28" t="n">
        <v>100011.766</v>
      </c>
      <c r="D16" s="65" t="s">
        <v>265</v>
      </c>
      <c r="E16" s="28" t="n">
        <v>15323.075</v>
      </c>
      <c r="F16" s="28" t="n">
        <v>29148.161</v>
      </c>
      <c r="G16" s="64" t="n">
        <v>349731917.914</v>
      </c>
      <c r="H16" s="23" t="n">
        <v>2.471</v>
      </c>
      <c r="I16" s="28" t="n">
        <v>29303.447</v>
      </c>
      <c r="J16" s="33" t="str">
        <f aca="false">IF(ISNUMBER(I16),"Yes","Not settled")</f>
        <v>Yes</v>
      </c>
    </row>
    <row r="17" customFormat="false" ht="15" hidden="false" customHeight="false" outlineLevel="0" collapsed="false">
      <c r="A17" s="5" t="s">
        <v>217</v>
      </c>
      <c r="B17" s="65" t="n">
        <v>1</v>
      </c>
      <c r="C17" s="28" t="n">
        <v>0</v>
      </c>
      <c r="D17" s="65" t="s">
        <v>262</v>
      </c>
      <c r="E17" s="28" t="n">
        <v>54650.558</v>
      </c>
      <c r="F17" s="28" t="n">
        <v>81386.557</v>
      </c>
      <c r="G17" s="64" t="n">
        <v>2154811140.399</v>
      </c>
      <c r="H17" s="23" t="n">
        <v>0</v>
      </c>
      <c r="I17" s="11"/>
      <c r="J17" s="33" t="str">
        <f aca="false">IF(ISNUMBER(I17),"Yes","Not settled")</f>
        <v>Not settled</v>
      </c>
    </row>
    <row r="18" customFormat="false" ht="15" hidden="false" customHeight="false" outlineLevel="0" collapsed="false">
      <c r="A18" s="5" t="s">
        <v>217</v>
      </c>
      <c r="B18" s="65" t="n">
        <v>2</v>
      </c>
      <c r="C18" s="28" t="n">
        <v>60007.06</v>
      </c>
      <c r="D18" s="65" t="s">
        <v>263</v>
      </c>
      <c r="E18" s="28" t="n">
        <v>17052.379</v>
      </c>
      <c r="F18" s="28" t="n">
        <v>24324.908</v>
      </c>
      <c r="G18" s="64" t="n">
        <v>149172121.837</v>
      </c>
      <c r="H18" s="23" t="n">
        <v>2.205</v>
      </c>
      <c r="I18" s="11"/>
      <c r="J18" s="33" t="str">
        <f aca="false">IF(ISNUMBER(I18),"Yes","Not settled")</f>
        <v>Not settled</v>
      </c>
    </row>
    <row r="19" customFormat="false" ht="15" hidden="false" customHeight="false" outlineLevel="0" collapsed="false">
      <c r="A19" s="5" t="s">
        <v>217</v>
      </c>
      <c r="B19" s="65" t="n">
        <v>3</v>
      </c>
      <c r="C19" s="28" t="n">
        <v>80009.413</v>
      </c>
      <c r="D19" s="65" t="s">
        <v>264</v>
      </c>
      <c r="E19" s="28" t="n">
        <v>26645.449</v>
      </c>
      <c r="F19" s="28" t="n">
        <v>37799.188</v>
      </c>
      <c r="G19" s="64" t="n">
        <v>267405885.547</v>
      </c>
      <c r="H19" s="23" t="n">
        <v>1.67</v>
      </c>
      <c r="I19" s="11"/>
      <c r="J19" s="33" t="str">
        <f aca="false">IF(ISNUMBER(I19),"Yes","Not settled")</f>
        <v>Not settled</v>
      </c>
    </row>
    <row r="20" customFormat="false" ht="15" hidden="false" customHeight="false" outlineLevel="0" collapsed="false">
      <c r="A20" s="5" t="s">
        <v>217</v>
      </c>
      <c r="B20" s="65" t="n">
        <v>4</v>
      </c>
      <c r="C20" s="28" t="n">
        <v>100011.766</v>
      </c>
      <c r="D20" s="65" t="s">
        <v>265</v>
      </c>
      <c r="E20" s="28" t="n">
        <v>20337.634</v>
      </c>
      <c r="F20" s="28" t="n">
        <v>22107.943</v>
      </c>
      <c r="G20" s="64" t="n">
        <v>386907707.001</v>
      </c>
      <c r="H20" s="23" t="n">
        <v>2.195</v>
      </c>
      <c r="I20" s="28" t="n">
        <v>36284.269</v>
      </c>
      <c r="J20" s="33" t="str">
        <f aca="false">IF(ISNUMBER(I20),"Yes","Not settled")</f>
        <v>Yes</v>
      </c>
    </row>
    <row r="22" customFormat="false" ht="15" hidden="false" customHeight="true" outlineLevel="0" collapsed="false">
      <c r="A22" s="63" t="s">
        <v>266</v>
      </c>
      <c r="B22" s="63"/>
      <c r="C22" s="63"/>
      <c r="D22" s="63"/>
      <c r="E22" s="63"/>
      <c r="F22" s="63"/>
      <c r="G22" s="63"/>
      <c r="H22" s="63"/>
      <c r="I22" s="63"/>
      <c r="J22" s="63"/>
    </row>
  </sheetData>
  <mergeCells count="3">
    <mergeCell ref="A1:J1"/>
    <mergeCell ref="A2:J2"/>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4" min="2" style="0" width="16"/>
    <col collapsed="false" customWidth="true" hidden="false" outlineLevel="0" max="5" min="5" style="0" width="18"/>
    <col collapsed="false" customWidth="true" hidden="false" outlineLevel="0" max="6" min="6" style="0" width="20"/>
    <col collapsed="false" customWidth="true" hidden="false" outlineLevel="0" max="7" min="7" style="0" width="18"/>
    <col collapsed="false" customWidth="true" hidden="false" outlineLevel="0" max="9" min="8" style="0" width="14"/>
  </cols>
  <sheetData>
    <row r="1" customFormat="false" ht="25.5" hidden="false" customHeight="true" outlineLevel="0" collapsed="false">
      <c r="A1" s="1" t="s">
        <v>267</v>
      </c>
      <c r="B1" s="1"/>
      <c r="C1" s="1"/>
      <c r="D1" s="1"/>
      <c r="E1" s="1"/>
      <c r="F1" s="1"/>
      <c r="G1" s="1"/>
      <c r="H1" s="1"/>
      <c r="I1" s="1"/>
    </row>
    <row r="2" customFormat="false" ht="15.75" hidden="false" customHeight="true" outlineLevel="0" collapsed="false">
      <c r="A2" s="2" t="s">
        <v>268</v>
      </c>
      <c r="B2" s="2"/>
      <c r="C2" s="2"/>
      <c r="D2" s="2"/>
      <c r="E2" s="2"/>
      <c r="F2" s="2"/>
      <c r="G2" s="2"/>
      <c r="H2" s="2"/>
      <c r="I2" s="2"/>
    </row>
    <row r="4" customFormat="false" ht="18" hidden="false" customHeight="true" outlineLevel="0" collapsed="false">
      <c r="A4" s="3" t="s">
        <v>269</v>
      </c>
      <c r="B4" s="3"/>
      <c r="C4" s="3"/>
      <c r="D4" s="3"/>
      <c r="E4" s="3"/>
      <c r="F4" s="3"/>
      <c r="G4" s="3"/>
      <c r="H4" s="3"/>
      <c r="I4" s="3"/>
    </row>
    <row r="5" customFormat="false" ht="30" hidden="false" customHeight="true" outlineLevel="0" collapsed="false">
      <c r="A5" s="4" t="s">
        <v>205</v>
      </c>
      <c r="B5" s="4" t="s">
        <v>270</v>
      </c>
      <c r="C5" s="4" t="s">
        <v>271</v>
      </c>
      <c r="D5" s="4" t="s">
        <v>272</v>
      </c>
      <c r="E5" s="4" t="s">
        <v>273</v>
      </c>
      <c r="F5" s="4" t="s">
        <v>274</v>
      </c>
      <c r="G5" s="4" t="s">
        <v>275</v>
      </c>
      <c r="H5" s="4" t="s">
        <v>276</v>
      </c>
      <c r="I5" s="4" t="s">
        <v>277</v>
      </c>
    </row>
    <row r="6" customFormat="false" ht="15" hidden="false" customHeight="false" outlineLevel="0" collapsed="false">
      <c r="A6" s="5" t="s">
        <v>211</v>
      </c>
      <c r="B6" s="66" t="n">
        <f aca="false">AVERAGEIF(07_Metrics_Step!$A$5:$A$20,$A6,07_Metrics_Step!$E$5:$E$20)</f>
        <v>70127.7125</v>
      </c>
      <c r="C6" s="66" t="n">
        <f aca="false">AVERAGEIF(07_Metrics_Step!$A$5:$A$20,$A6,07_Metrics_Step!$F$5:$F$20)</f>
        <v>150373.75075</v>
      </c>
      <c r="D6" s="67" t="n">
        <f aca="false">AVERAGEIF(07_Metrics_Step!$A$5:$A$20,$A6,07_Metrics_Step!$G$5:$G$20)</f>
        <v>2078383680.114</v>
      </c>
      <c r="E6" s="68" t="n">
        <f aca="false">AVERAGEIF(07_Metrics_Step!$A$5:$A$20,$A6,07_Metrics_Step!$H$5:$H$20)</f>
        <v>1.66625</v>
      </c>
      <c r="F6" s="66" t="str">
        <f aca="false">IF(COUNT(07_Metrics_Step!$I$5:$I$8)=0,"",MAX(07_Metrics_Step!$I$5:$I$8))</f>
        <v/>
      </c>
      <c r="G6" s="69" t="str">
        <f aca="false">COUNTIFS(07_Metrics_Step!$A$5:$A$20,$A6,07_Metrics_Step!$J$5:$J$20,"Yes")&amp;" of "&amp;COUNTIF(07_Metrics_Step!$A$5:$A$20,$A6)</f>
        <v>0 of 4</v>
      </c>
      <c r="H6" s="33" t="n">
        <f aca="false">RANK(B6,$B$6:$B$9,1)</f>
        <v>4</v>
      </c>
      <c r="I6" s="32" t="n">
        <f aca="false">B6/MIN($B$6:$B$9)</f>
        <v>5.64410556439396</v>
      </c>
    </row>
    <row r="7" customFormat="false" ht="15" hidden="false" customHeight="false" outlineLevel="0" collapsed="false">
      <c r="A7" s="5" t="s">
        <v>213</v>
      </c>
      <c r="B7" s="66" t="n">
        <f aca="false">AVERAGEIF(07_Metrics_Step!$A$5:$A$20,$A7,07_Metrics_Step!$E$5:$E$20)</f>
        <v>49528.596</v>
      </c>
      <c r="C7" s="66" t="n">
        <f aca="false">AVERAGEIF(07_Metrics_Step!$A$5:$A$20,$A7,07_Metrics_Step!$F$5:$F$20)</f>
        <v>80317.06425</v>
      </c>
      <c r="D7" s="67" t="n">
        <f aca="false">AVERAGEIF(07_Metrics_Step!$A$5:$A$20,$A7,07_Metrics_Step!$G$5:$G$20)</f>
        <v>1435511954.686</v>
      </c>
      <c r="E7" s="68" t="n">
        <f aca="false">AVERAGEIF(07_Metrics_Step!$A$5:$A$20,$A7,07_Metrics_Step!$H$5:$H$20)</f>
        <v>1.6635</v>
      </c>
      <c r="F7" s="66" t="str">
        <f aca="false">IF(COUNT(07_Metrics_Step!$I$9:$I$12)=0,"",MAX(07_Metrics_Step!$I$9:$I$12))</f>
        <v/>
      </c>
      <c r="G7" s="69" t="str">
        <f aca="false">COUNTIFS(07_Metrics_Step!$A$5:$A$20,$A7,07_Metrics_Step!$J$5:$J$20,"Yes")&amp;" of "&amp;COUNTIF(07_Metrics_Step!$A$5:$A$20,$A7)</f>
        <v>0 of 4</v>
      </c>
      <c r="H7" s="33" t="n">
        <f aca="false">RANK(B7,$B$6:$B$9,1)</f>
        <v>3</v>
      </c>
      <c r="I7" s="32" t="n">
        <f aca="false">B7/MIN($B$6:$B$9)</f>
        <v>3.98622191305927</v>
      </c>
    </row>
    <row r="8" customFormat="false" ht="15" hidden="false" customHeight="false" outlineLevel="0" collapsed="false">
      <c r="A8" s="5" t="s">
        <v>215</v>
      </c>
      <c r="B8" s="66" t="n">
        <f aca="false">AVERAGEIF(07_Metrics_Step!$A$5:$A$20,$A8,07_Metrics_Step!$E$5:$E$20)</f>
        <v>12424.947</v>
      </c>
      <c r="C8" s="66" t="n">
        <f aca="false">AVERAGEIF(07_Metrics_Step!$A$5:$A$20,$A8,07_Metrics_Step!$F$5:$F$20)</f>
        <v>30323.26275</v>
      </c>
      <c r="D8" s="67" t="n">
        <f aca="false">AVERAGEIF(07_Metrics_Step!$A$5:$A$20,$A8,07_Metrics_Step!$G$5:$G$20)</f>
        <v>209674115.0405</v>
      </c>
      <c r="E8" s="68" t="n">
        <f aca="false">AVERAGEIF(07_Metrics_Step!$A$5:$A$20,$A8,07_Metrics_Step!$H$5:$H$20)</f>
        <v>1.22025</v>
      </c>
      <c r="F8" s="66" t="n">
        <f aca="false">IF(COUNT(07_Metrics_Step!$I$13:$I$16)=0,"",MAX(07_Metrics_Step!$I$13:$I$16))</f>
        <v>29303.447</v>
      </c>
      <c r="G8" s="69" t="str">
        <f aca="false">COUNTIFS(07_Metrics_Step!$A$5:$A$20,$A8,07_Metrics_Step!$J$5:$J$20,"Yes")&amp;" of "&amp;COUNTIF(07_Metrics_Step!$A$5:$A$20,$A8)</f>
        <v>4 of 4</v>
      </c>
      <c r="H8" s="33" t="n">
        <f aca="false">RANK(B8,$B$6:$B$9,1)</f>
        <v>1</v>
      </c>
      <c r="I8" s="32" t="n">
        <f aca="false">B8/MIN($B$6:$B$9)</f>
        <v>1</v>
      </c>
    </row>
    <row r="9" customFormat="false" ht="15" hidden="false" customHeight="false" outlineLevel="0" collapsed="false">
      <c r="A9" s="5" t="s">
        <v>217</v>
      </c>
      <c r="B9" s="66" t="n">
        <f aca="false">AVERAGEIF(07_Metrics_Step!$A$5:$A$20,$A9,07_Metrics_Step!$E$5:$E$20)</f>
        <v>29671.505</v>
      </c>
      <c r="C9" s="66" t="n">
        <f aca="false">AVERAGEIF(07_Metrics_Step!$A$5:$A$20,$A9,07_Metrics_Step!$F$5:$F$20)</f>
        <v>41404.649</v>
      </c>
      <c r="D9" s="67" t="n">
        <f aca="false">AVERAGEIF(07_Metrics_Step!$A$5:$A$20,$A9,07_Metrics_Step!$G$5:$G$20)</f>
        <v>739574213.696</v>
      </c>
      <c r="E9" s="68" t="n">
        <f aca="false">AVERAGEIF(07_Metrics_Step!$A$5:$A$20,$A9,07_Metrics_Step!$H$5:$H$20)</f>
        <v>1.5175</v>
      </c>
      <c r="F9" s="66" t="n">
        <f aca="false">IF(COUNT(07_Metrics_Step!$I$17:$I$20)=0,"",MAX(07_Metrics_Step!$I$17:$I$20))</f>
        <v>36284.269</v>
      </c>
      <c r="G9" s="69" t="str">
        <f aca="false">COUNTIFS(07_Metrics_Step!$A$5:$A$20,$A9,07_Metrics_Step!$J$5:$J$20,"Yes")&amp;" of "&amp;COUNTIF(07_Metrics_Step!$A$5:$A$20,$A9)</f>
        <v>1 of 4</v>
      </c>
      <c r="H9" s="33" t="n">
        <f aca="false">RANK(B9,$B$6:$B$9,1)</f>
        <v>2</v>
      </c>
      <c r="I9" s="32" t="n">
        <f aca="false">B9/MIN($B$6:$B$9)</f>
        <v>2.38805887864149</v>
      </c>
    </row>
    <row r="11" customFormat="false" ht="18" hidden="false" customHeight="true" outlineLevel="0" collapsed="false">
      <c r="A11" s="3" t="s">
        <v>278</v>
      </c>
      <c r="B11" s="3"/>
      <c r="C11" s="3"/>
      <c r="D11" s="3"/>
      <c r="E11" s="3"/>
      <c r="F11" s="3"/>
      <c r="G11" s="3"/>
      <c r="H11" s="3"/>
      <c r="I11" s="3"/>
    </row>
    <row r="12" customFormat="false" ht="30" hidden="false" customHeight="true" outlineLevel="0" collapsed="false">
      <c r="A12" s="4" t="s">
        <v>205</v>
      </c>
      <c r="B12" s="4" t="s">
        <v>270</v>
      </c>
      <c r="C12" s="4" t="s">
        <v>271</v>
      </c>
      <c r="D12" s="4" t="s">
        <v>272</v>
      </c>
      <c r="E12" s="4" t="s">
        <v>273</v>
      </c>
      <c r="F12" s="4"/>
      <c r="G12" s="4" t="s">
        <v>276</v>
      </c>
      <c r="H12" s="4" t="s">
        <v>277</v>
      </c>
      <c r="I12" s="4"/>
    </row>
    <row r="13" customFormat="false" ht="15" hidden="false" customHeight="false" outlineLevel="0" collapsed="false">
      <c r="A13" s="5" t="s">
        <v>211</v>
      </c>
      <c r="B13" s="66" t="n">
        <f aca="false">AVERAGEIFS(07_Metrics_Step!$E$5:$E$20,07_Metrics_Step!$A$5:$A$20,$A13,07_Metrics_Step!$B$5:$B$20,"&gt;1")</f>
        <v>65312.3273333333</v>
      </c>
      <c r="C13" s="66" t="n">
        <f aca="false">AVERAGEIFS(07_Metrics_Step!$F$5:$F$20,07_Metrics_Step!$A$5:$A$20,$A13,07_Metrics_Step!$B$5:$B$20,"&gt;1")</f>
        <v>139360.667666667</v>
      </c>
      <c r="D13" s="67" t="n">
        <f aca="false">AVERAGEIFS(07_Metrics_Step!$G$5:$G$20,07_Metrics_Step!$A$5:$A$20,$A13,07_Metrics_Step!$B$5:$B$20,"&gt;1")</f>
        <v>1643476344.692</v>
      </c>
      <c r="E13" s="68" t="n">
        <f aca="false">AVERAGEIFS(07_Metrics_Step!$H$5:$H$20,07_Metrics_Step!$A$5:$A$20,$A13,07_Metrics_Step!$B$5:$B$20,"&gt;1")</f>
        <v>2.22166666666667</v>
      </c>
      <c r="F13" s="12"/>
      <c r="G13" s="33" t="n">
        <f aca="false">RANK(B13,$B$13:$B$16,1)</f>
        <v>4</v>
      </c>
      <c r="H13" s="32" t="n">
        <f aca="false">B13/MIN($B$13:$B$16)</f>
        <v>5.59154746133728</v>
      </c>
      <c r="I13" s="12"/>
    </row>
    <row r="14" customFormat="false" ht="15" hidden="false" customHeight="false" outlineLevel="0" collapsed="false">
      <c r="A14" s="5" t="s">
        <v>213</v>
      </c>
      <c r="B14" s="66" t="n">
        <f aca="false">AVERAGEIFS(07_Metrics_Step!$E$5:$E$20,07_Metrics_Step!$A$5:$A$20,$A14,07_Metrics_Step!$B$5:$B$20,"&gt;1")</f>
        <v>44647.328</v>
      </c>
      <c r="C14" s="66" t="n">
        <f aca="false">AVERAGEIFS(07_Metrics_Step!$F$5:$F$20,07_Metrics_Step!$A$5:$A$20,$A14,07_Metrics_Step!$B$5:$B$20,"&gt;1")</f>
        <v>70342.3763333333</v>
      </c>
      <c r="D14" s="67" t="n">
        <f aca="false">AVERAGEIFS(07_Metrics_Step!$G$5:$G$20,07_Metrics_Step!$A$5:$A$20,$A14,07_Metrics_Step!$B$5:$B$20,"&gt;1")</f>
        <v>1066387921.09067</v>
      </c>
      <c r="E14" s="68" t="n">
        <f aca="false">AVERAGEIFS(07_Metrics_Step!$H$5:$H$20,07_Metrics_Step!$A$5:$A$20,$A14,07_Metrics_Step!$B$5:$B$20,"&gt;1")</f>
        <v>2.218</v>
      </c>
      <c r="F14" s="12"/>
      <c r="G14" s="33" t="n">
        <f aca="false">RANK(B14,$B$13:$B$16,1)</f>
        <v>3</v>
      </c>
      <c r="H14" s="32" t="n">
        <f aca="false">B14/MIN($B$13:$B$16)</f>
        <v>3.8223665229348</v>
      </c>
      <c r="I14" s="12"/>
    </row>
    <row r="15" customFormat="false" ht="15" hidden="false" customHeight="false" outlineLevel="0" collapsed="false">
      <c r="A15" s="5" t="s">
        <v>215</v>
      </c>
      <c r="B15" s="66" t="n">
        <f aca="false">AVERAGEIFS(07_Metrics_Step!$E$5:$E$20,07_Metrics_Step!$A$5:$A$20,$A15,07_Metrics_Step!$B$5:$B$20,"&gt;1")</f>
        <v>11680.546</v>
      </c>
      <c r="C15" s="66" t="n">
        <f aca="false">AVERAGEIFS(07_Metrics_Step!$F$5:$F$20,07_Metrics_Step!$A$5:$A$20,$A15,07_Metrics_Step!$B$5:$B$20,"&gt;1")</f>
        <v>28771.066</v>
      </c>
      <c r="D15" s="67" t="n">
        <f aca="false">AVERAGEIFS(07_Metrics_Step!$G$5:$G$20,07_Metrics_Step!$A$5:$A$20,$A15,07_Metrics_Step!$B$5:$B$20,"&gt;1")</f>
        <v>168037356.775333</v>
      </c>
      <c r="E15" s="68" t="n">
        <f aca="false">AVERAGEIFS(07_Metrics_Step!$H$5:$H$20,07_Metrics_Step!$A$5:$A$20,$A15,07_Metrics_Step!$B$5:$B$20,"&gt;1")</f>
        <v>1.627</v>
      </c>
      <c r="F15" s="12"/>
      <c r="G15" s="33" t="n">
        <f aca="false">RANK(B15,$B$13:$B$16,1)</f>
        <v>1</v>
      </c>
      <c r="H15" s="32" t="n">
        <f aca="false">B15/MIN($B$13:$B$16)</f>
        <v>1</v>
      </c>
      <c r="I15" s="12"/>
    </row>
    <row r="16" customFormat="false" ht="15" hidden="false" customHeight="false" outlineLevel="0" collapsed="false">
      <c r="A16" s="5" t="s">
        <v>217</v>
      </c>
      <c r="B16" s="66" t="n">
        <f aca="false">AVERAGEIFS(07_Metrics_Step!$E$5:$E$20,07_Metrics_Step!$A$5:$A$20,$A16,07_Metrics_Step!$B$5:$B$20,"&gt;1")</f>
        <v>21345.154</v>
      </c>
      <c r="C16" s="66" t="n">
        <f aca="false">AVERAGEIFS(07_Metrics_Step!$F$5:$F$20,07_Metrics_Step!$A$5:$A$20,$A16,07_Metrics_Step!$B$5:$B$20,"&gt;1")</f>
        <v>28077.3463333333</v>
      </c>
      <c r="D16" s="67" t="n">
        <f aca="false">AVERAGEIFS(07_Metrics_Step!$G$5:$G$20,07_Metrics_Step!$A$5:$A$20,$A16,07_Metrics_Step!$B$5:$B$20,"&gt;1")</f>
        <v>267828571.461667</v>
      </c>
      <c r="E16" s="68" t="n">
        <f aca="false">AVERAGEIFS(07_Metrics_Step!$H$5:$H$20,07_Metrics_Step!$A$5:$A$20,$A16,07_Metrics_Step!$B$5:$B$20,"&gt;1")</f>
        <v>2.02333333333333</v>
      </c>
      <c r="F16" s="12"/>
      <c r="G16" s="33" t="n">
        <f aca="false">RANK(B16,$B$13:$B$16,1)</f>
        <v>2</v>
      </c>
      <c r="H16" s="32" t="n">
        <f aca="false">B16/MIN($B$13:$B$16)</f>
        <v>1.82741063645484</v>
      </c>
      <c r="I16" s="12"/>
    </row>
    <row r="18" customFormat="false" ht="33.75" hidden="false" customHeight="true" outlineLevel="0" collapsed="false">
      <c r="A18" s="63" t="s">
        <v>279</v>
      </c>
      <c r="B18" s="63"/>
      <c r="C18" s="63"/>
      <c r="D18" s="63"/>
      <c r="E18" s="63"/>
      <c r="F18" s="63"/>
      <c r="G18" s="63"/>
      <c r="H18" s="63"/>
      <c r="I18" s="63"/>
    </row>
  </sheetData>
  <mergeCells count="5">
    <mergeCell ref="A1:I1"/>
    <mergeCell ref="A2:I2"/>
    <mergeCell ref="A4:I4"/>
    <mergeCell ref="A11:I11"/>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4" min="2" style="0" width="16"/>
    <col collapsed="false" customWidth="true" hidden="false" outlineLevel="0" max="5" min="5" style="0" width="14"/>
    <col collapsed="false" customWidth="true" hidden="false" outlineLevel="0" max="7" min="6" style="0" width="20"/>
    <col collapsed="false" customWidth="true" hidden="false" outlineLevel="0" max="8" min="8" style="0" width="26"/>
  </cols>
  <sheetData>
    <row r="1" customFormat="false" ht="25.5" hidden="false" customHeight="true" outlineLevel="0" collapsed="false">
      <c r="A1" s="1" t="s">
        <v>280</v>
      </c>
      <c r="B1" s="1"/>
      <c r="C1" s="1"/>
      <c r="D1" s="1"/>
      <c r="E1" s="1"/>
      <c r="F1" s="1"/>
      <c r="G1" s="1"/>
      <c r="H1" s="1"/>
    </row>
    <row r="2" customFormat="false" ht="15.75" hidden="false" customHeight="true" outlineLevel="0" collapsed="false">
      <c r="A2" s="2" t="s">
        <v>281</v>
      </c>
      <c r="B2" s="2"/>
      <c r="C2" s="2"/>
      <c r="D2" s="2"/>
      <c r="E2" s="2"/>
      <c r="F2" s="2"/>
      <c r="G2" s="2"/>
      <c r="H2" s="2"/>
    </row>
    <row r="4" customFormat="false" ht="30" hidden="false" customHeight="true" outlineLevel="0" collapsed="false">
      <c r="A4" s="4" t="s">
        <v>205</v>
      </c>
      <c r="B4" s="4" t="s">
        <v>118</v>
      </c>
      <c r="C4" s="4" t="s">
        <v>282</v>
      </c>
      <c r="D4" s="4" t="s">
        <v>177</v>
      </c>
      <c r="E4" s="4" t="s">
        <v>178</v>
      </c>
      <c r="F4" s="4" t="s">
        <v>283</v>
      </c>
      <c r="G4" s="4" t="s">
        <v>284</v>
      </c>
      <c r="H4" s="4" t="s">
        <v>285</v>
      </c>
    </row>
    <row r="5" customFormat="false" ht="15" hidden="false" customHeight="false" outlineLevel="0" collapsed="false">
      <c r="A5" s="5" t="s">
        <v>211</v>
      </c>
      <c r="B5" s="11" t="s">
        <v>127</v>
      </c>
      <c r="C5" s="62" t="n">
        <v>0.113</v>
      </c>
      <c r="D5" s="29" t="n">
        <v>364.959</v>
      </c>
      <c r="E5" s="29" t="n">
        <v>0</v>
      </c>
      <c r="F5" s="29" t="n">
        <v>20.134</v>
      </c>
      <c r="G5" s="29" t="n">
        <v>40.431</v>
      </c>
      <c r="H5" s="13" t="str">
        <f aca="false">IF(NOT(ISNUMBER(F5)),"GM unbounded (Pade artefact)",IF(OR(F5&lt;6,G5&lt;30),"MARGINAL — below 6 dB / 30 deg",IF(OR(F5&lt;10,G5&lt;45),"Acceptable","Comfortable")))</f>
        <v>Acceptable</v>
      </c>
    </row>
    <row r="6" customFormat="false" ht="15" hidden="false" customHeight="false" outlineLevel="0" collapsed="false">
      <c r="A6" s="5" t="s">
        <v>211</v>
      </c>
      <c r="B6" s="11" t="s">
        <v>128</v>
      </c>
      <c r="C6" s="62" t="n">
        <v>0.113</v>
      </c>
      <c r="D6" s="29" t="n">
        <v>364.959</v>
      </c>
      <c r="E6" s="29" t="n">
        <v>0</v>
      </c>
      <c r="F6" s="29" t="n">
        <v>1.216</v>
      </c>
      <c r="G6" s="29" t="n">
        <v>7.591</v>
      </c>
      <c r="H6" s="13" t="str">
        <f aca="false">IF(NOT(ISNUMBER(F6)),"GM unbounded (Pade artefact)",IF(OR(F6&lt;6,G6&lt;30),"MARGINAL — below 6 dB / 30 deg",IF(OR(F6&lt;10,G6&lt;45),"Acceptable","Comfortable")))</f>
        <v>MARGINAL — below 6 dB / 30 deg</v>
      </c>
    </row>
    <row r="7" customFormat="false" ht="15" hidden="false" customHeight="false" outlineLevel="0" collapsed="false">
      <c r="A7" s="5" t="s">
        <v>211</v>
      </c>
      <c r="B7" s="11" t="s">
        <v>129</v>
      </c>
      <c r="C7" s="62" t="n">
        <v>0.113</v>
      </c>
      <c r="D7" s="29" t="n">
        <v>364.959</v>
      </c>
      <c r="E7" s="29" t="n">
        <v>0</v>
      </c>
      <c r="F7" s="29" t="n">
        <v>29.631</v>
      </c>
      <c r="G7" s="29" t="n">
        <v>86.034</v>
      </c>
      <c r="H7" s="13" t="str">
        <f aca="false">IF(NOT(ISNUMBER(F7)),"GM unbounded (Pade artefact)",IF(OR(F7&lt;6,G7&lt;30),"MARGINAL — below 6 dB / 30 deg",IF(OR(F7&lt;10,G7&lt;45),"Acceptable","Comfortable")))</f>
        <v>Comfortable</v>
      </c>
    </row>
    <row r="8" customFormat="false" ht="15" hidden="false" customHeight="false" outlineLevel="0" collapsed="false">
      <c r="A8" s="5" t="s">
        <v>213</v>
      </c>
      <c r="B8" s="11" t="s">
        <v>127</v>
      </c>
      <c r="C8" s="62" t="n">
        <v>0.049</v>
      </c>
      <c r="D8" s="29" t="n">
        <v>771.018</v>
      </c>
      <c r="E8" s="29" t="n">
        <v>0</v>
      </c>
      <c r="F8" s="29" t="n">
        <v>29.838</v>
      </c>
      <c r="G8" s="29" t="n">
        <v>74.674</v>
      </c>
      <c r="H8" s="13" t="str">
        <f aca="false">IF(NOT(ISNUMBER(F8)),"GM unbounded (Pade artefact)",IF(OR(F8&lt;6,G8&lt;30),"MARGINAL — below 6 dB / 30 deg",IF(OR(F8&lt;10,G8&lt;45),"Acceptable","Comfortable")))</f>
        <v>Comfortable</v>
      </c>
    </row>
    <row r="9" customFormat="false" ht="15" hidden="false" customHeight="false" outlineLevel="0" collapsed="false">
      <c r="A9" s="5" t="s">
        <v>213</v>
      </c>
      <c r="B9" s="11" t="s">
        <v>128</v>
      </c>
      <c r="C9" s="62" t="n">
        <v>0.049</v>
      </c>
      <c r="D9" s="29" t="n">
        <v>771.018</v>
      </c>
      <c r="E9" s="29" t="n">
        <v>0</v>
      </c>
      <c r="F9" s="29" t="n">
        <v>8.915</v>
      </c>
      <c r="G9" s="29" t="n">
        <v>51.54</v>
      </c>
      <c r="H9" s="13" t="str">
        <f aca="false">IF(NOT(ISNUMBER(F9)),"GM unbounded (Pade artefact)",IF(OR(F9&lt;6,G9&lt;30),"MARGINAL — below 6 dB / 30 deg",IF(OR(F9&lt;10,G9&lt;45),"Acceptable","Comfortable")))</f>
        <v>Acceptable</v>
      </c>
    </row>
    <row r="10" customFormat="false" ht="15" hidden="false" customHeight="false" outlineLevel="0" collapsed="false">
      <c r="A10" s="5" t="s">
        <v>213</v>
      </c>
      <c r="B10" s="11" t="s">
        <v>129</v>
      </c>
      <c r="C10" s="62" t="n">
        <v>0.049</v>
      </c>
      <c r="D10" s="29" t="n">
        <v>771.018</v>
      </c>
      <c r="E10" s="29" t="n">
        <v>0</v>
      </c>
      <c r="F10" s="29" t="n">
        <v>37.143</v>
      </c>
      <c r="G10" s="29" t="n">
        <v>97.315</v>
      </c>
      <c r="H10" s="13" t="str">
        <f aca="false">IF(NOT(ISNUMBER(F10)),"GM unbounded (Pade artefact)",IF(OR(F10&lt;6,G10&lt;30),"MARGINAL — below 6 dB / 30 deg",IF(OR(F10&lt;10,G10&lt;45),"Acceptable","Comfortable")))</f>
        <v>Comfortable</v>
      </c>
    </row>
    <row r="11" customFormat="false" ht="15" hidden="false" customHeight="false" outlineLevel="0" collapsed="false">
      <c r="A11" s="5" t="s">
        <v>215</v>
      </c>
      <c r="B11" s="11" t="s">
        <v>127</v>
      </c>
      <c r="C11" s="62" t="n">
        <v>0.072</v>
      </c>
      <c r="D11" s="29" t="n">
        <v>1391.086</v>
      </c>
      <c r="E11" s="29" t="n">
        <v>104.756</v>
      </c>
      <c r="F11" s="11"/>
      <c r="G11" s="29" t="n">
        <v>87.686</v>
      </c>
      <c r="H11" s="13" t="str">
        <f aca="false">IF(NOT(ISNUMBER(F11)),"GM unbounded (Pade artefact)",IF(OR(F11&lt;6,G11&lt;30),"MARGINAL — below 6 dB / 30 deg",IF(OR(F11&lt;10,G11&lt;45),"Acceptable","Comfortable")))</f>
        <v>GM unbounded (Pade artefact)</v>
      </c>
    </row>
    <row r="12" customFormat="false" ht="15" hidden="false" customHeight="false" outlineLevel="0" collapsed="false">
      <c r="A12" s="5" t="s">
        <v>215</v>
      </c>
      <c r="B12" s="11" t="s">
        <v>128</v>
      </c>
      <c r="C12" s="62" t="n">
        <v>0.003</v>
      </c>
      <c r="D12" s="29" t="n">
        <v>1214.18</v>
      </c>
      <c r="E12" s="29" t="n">
        <v>86.005</v>
      </c>
      <c r="F12" s="11"/>
      <c r="G12" s="29" t="n">
        <v>100.065</v>
      </c>
      <c r="H12" s="13" t="str">
        <f aca="false">IF(NOT(ISNUMBER(F12)),"GM unbounded (Pade artefact)",IF(OR(F12&lt;6,G12&lt;30),"MARGINAL — below 6 dB / 30 deg",IF(OR(F12&lt;10,G12&lt;45),"Acceptable","Comfortable")))</f>
        <v>GM unbounded (Pade artefact)</v>
      </c>
    </row>
    <row r="13" customFormat="false" ht="15" hidden="false" customHeight="false" outlineLevel="0" collapsed="false">
      <c r="A13" s="5" t="s">
        <v>215</v>
      </c>
      <c r="B13" s="11" t="s">
        <v>129</v>
      </c>
      <c r="C13" s="62" t="n">
        <v>0.065</v>
      </c>
      <c r="D13" s="29" t="n">
        <v>534.961</v>
      </c>
      <c r="E13" s="29" t="n">
        <v>23.956</v>
      </c>
      <c r="F13" s="11"/>
      <c r="G13" s="29" t="n">
        <v>94.671</v>
      </c>
      <c r="H13" s="13" t="str">
        <f aca="false">IF(NOT(ISNUMBER(F13)),"GM unbounded (Pade artefact)",IF(OR(F13&lt;6,G13&lt;30),"MARGINAL — below 6 dB / 30 deg",IF(OR(F13&lt;10,G13&lt;45),"Acceptable","Comfortable")))</f>
        <v>GM unbounded (Pade artefact)</v>
      </c>
    </row>
    <row r="14" customFormat="false" ht="15" hidden="false" customHeight="false" outlineLevel="0" collapsed="false">
      <c r="A14" s="5" t="s">
        <v>217</v>
      </c>
      <c r="B14" s="11" t="s">
        <v>127</v>
      </c>
      <c r="C14" s="62" t="n">
        <v>0.085</v>
      </c>
      <c r="D14" s="29" t="n">
        <v>374.253</v>
      </c>
      <c r="E14" s="29" t="n">
        <v>0</v>
      </c>
      <c r="F14" s="29" t="n">
        <v>22.736</v>
      </c>
      <c r="G14" s="29" t="n">
        <v>45.126</v>
      </c>
      <c r="H14" s="13" t="str">
        <f aca="false">IF(NOT(ISNUMBER(F14)),"GM unbounded (Pade artefact)",IF(OR(F14&lt;6,G14&lt;30),"MARGINAL — below 6 dB / 30 deg",IF(OR(F14&lt;10,G14&lt;45),"Acceptable","Comfortable")))</f>
        <v>Comfortable</v>
      </c>
    </row>
    <row r="15" customFormat="false" ht="15" hidden="false" customHeight="false" outlineLevel="0" collapsed="false">
      <c r="A15" s="5" t="s">
        <v>217</v>
      </c>
      <c r="B15" s="11" t="s">
        <v>128</v>
      </c>
      <c r="C15" s="62" t="n">
        <v>0.028</v>
      </c>
      <c r="D15" s="29" t="n">
        <v>374.253</v>
      </c>
      <c r="E15" s="29" t="n">
        <v>0</v>
      </c>
      <c r="F15" s="29" t="n">
        <v>13.391</v>
      </c>
      <c r="G15" s="29" t="n">
        <v>57.056</v>
      </c>
      <c r="H15" s="13" t="str">
        <f aca="false">IF(NOT(ISNUMBER(F15)),"GM unbounded (Pade artefact)",IF(OR(F15&lt;6,G15&lt;30),"MARGINAL — below 6 dB / 30 deg",IF(OR(F15&lt;10,G15&lt;45),"Acceptable","Comfortable")))</f>
        <v>Comfortable</v>
      </c>
    </row>
    <row r="16" customFormat="false" ht="15" hidden="false" customHeight="false" outlineLevel="0" collapsed="false">
      <c r="A16" s="5" t="s">
        <v>217</v>
      </c>
      <c r="B16" s="11" t="s">
        <v>129</v>
      </c>
      <c r="C16" s="62" t="n">
        <v>0.071</v>
      </c>
      <c r="D16" s="29" t="n">
        <v>374.253</v>
      </c>
      <c r="E16" s="29" t="n">
        <v>0</v>
      </c>
      <c r="F16" s="29" t="n">
        <v>33.683</v>
      </c>
      <c r="G16" s="29" t="n">
        <v>88.029</v>
      </c>
      <c r="H16" s="13" t="str">
        <f aca="false">IF(NOT(ISNUMBER(F16)),"GM unbounded (Pade artefact)",IF(OR(F16&lt;6,G16&lt;30),"MARGINAL — below 6 dB / 30 deg",IF(OR(F16&lt;10,G16&lt;45),"Acceptable","Comfortable")))</f>
        <v>Comfortable</v>
      </c>
    </row>
    <row r="18" customFormat="false" ht="33.75" hidden="false" customHeight="true" outlineLevel="0" collapsed="false">
      <c r="A18" s="63" t="s">
        <v>286</v>
      </c>
      <c r="B18" s="63"/>
      <c r="C18" s="63"/>
      <c r="D18" s="63"/>
      <c r="E18" s="63"/>
      <c r="F18" s="63"/>
      <c r="G18" s="63"/>
      <c r="H18" s="63"/>
    </row>
    <row r="20" customFormat="false" ht="18" hidden="false" customHeight="true" outlineLevel="0" collapsed="false">
      <c r="A20" s="3" t="s">
        <v>287</v>
      </c>
      <c r="B20" s="3"/>
      <c r="C20" s="3"/>
      <c r="D20" s="3"/>
      <c r="E20" s="3"/>
      <c r="F20" s="3"/>
      <c r="G20" s="3"/>
      <c r="H20" s="3"/>
    </row>
    <row r="21" customFormat="false" ht="30" hidden="false" customHeight="true" outlineLevel="0" collapsed="false">
      <c r="A21" s="4" t="s">
        <v>205</v>
      </c>
      <c r="B21" s="4" t="s">
        <v>288</v>
      </c>
      <c r="C21" s="4" t="s">
        <v>289</v>
      </c>
      <c r="D21" s="4" t="s">
        <v>290</v>
      </c>
      <c r="E21" s="4"/>
      <c r="F21" s="4"/>
      <c r="G21" s="4"/>
      <c r="H21" s="4"/>
    </row>
    <row r="22" customFormat="false" ht="15" hidden="false" customHeight="false" outlineLevel="0" collapsed="false">
      <c r="A22" s="5" t="s">
        <v>211</v>
      </c>
      <c r="B22" s="70" t="n">
        <f aca="false">IF(COUNT($F$5:$F$7)=0,"n/a — unbounded in all regions",MIN($F$5:$F$7))</f>
        <v>1.216</v>
      </c>
      <c r="C22" s="70" t="n">
        <f aca="false">MIN($G$5:$G$7)</f>
        <v>7.591</v>
      </c>
      <c r="D22" s="13" t="str">
        <f aca="false">INDEX($B$5:$B$7,MATCH(MIN($G$5:$G$7),$G$5:$G$7,0))</f>
        <v>Near-neutral</v>
      </c>
      <c r="E22" s="12"/>
      <c r="F22" s="12"/>
      <c r="G22" s="12"/>
      <c r="H22" s="12"/>
    </row>
    <row r="23" customFormat="false" ht="15" hidden="false" customHeight="false" outlineLevel="0" collapsed="false">
      <c r="A23" s="5" t="s">
        <v>213</v>
      </c>
      <c r="B23" s="70" t="n">
        <f aca="false">IF(COUNT($F$8:$F$10)=0,"n/a — unbounded in all regions",MIN($F$8:$F$10))</f>
        <v>8.915</v>
      </c>
      <c r="C23" s="70" t="n">
        <f aca="false">MIN($G$8:$G$10)</f>
        <v>51.54</v>
      </c>
      <c r="D23" s="13" t="str">
        <f aca="false">INDEX($B$8:$B$10,MATCH(MIN($G$8:$G$10),$G$8:$G$10,0))</f>
        <v>Near-neutral</v>
      </c>
      <c r="E23" s="12"/>
      <c r="F23" s="12"/>
      <c r="G23" s="12"/>
      <c r="H23" s="12"/>
    </row>
    <row r="24" customFormat="false" ht="15" hidden="false" customHeight="false" outlineLevel="0" collapsed="false">
      <c r="A24" s="5" t="s">
        <v>215</v>
      </c>
      <c r="B24" s="70" t="str">
        <f aca="false">IF(COUNT($F$11:$F$13)=0,"n/a — unbounded in all regions",MIN($F$11:$F$13))</f>
        <v>n/a — unbounded in all regions</v>
      </c>
      <c r="C24" s="70" t="n">
        <f aca="false">MIN($G$11:$G$13)</f>
        <v>87.686</v>
      </c>
      <c r="D24" s="13" t="str">
        <f aca="false">INDEX($B$11:$B$13,MATCH(MIN($G$11:$G$13),$G$11:$G$13,0))</f>
        <v>Acidic</v>
      </c>
      <c r="E24" s="12"/>
      <c r="F24" s="12"/>
      <c r="G24" s="12"/>
      <c r="H24" s="12"/>
    </row>
    <row r="25" customFormat="false" ht="15" hidden="false" customHeight="false" outlineLevel="0" collapsed="false">
      <c r="A25" s="5" t="s">
        <v>217</v>
      </c>
      <c r="B25" s="70" t="n">
        <f aca="false">IF(COUNT($F$14:$F$16)=0,"n/a — unbounded in all regions",MIN($F$14:$F$16))</f>
        <v>13.391</v>
      </c>
      <c r="C25" s="70" t="n">
        <f aca="false">MIN($G$14:$G$16)</f>
        <v>45.126</v>
      </c>
      <c r="D25" s="13" t="str">
        <f aca="false">INDEX($B$14:$B$16,MATCH(MIN($G$14:$G$16),$G$14:$G$16,0))</f>
        <v>Acidic</v>
      </c>
      <c r="E25" s="12"/>
      <c r="F25" s="12"/>
      <c r="G25" s="12"/>
      <c r="H25" s="12"/>
    </row>
  </sheetData>
  <mergeCells count="4">
    <mergeCell ref="A1:H1"/>
    <mergeCell ref="A2:H2"/>
    <mergeCell ref="A18:H18"/>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5" min="3" style="0" width="16"/>
    <col collapsed="false" customWidth="true" hidden="false" outlineLevel="0" max="7" min="6" style="0" width="18"/>
    <col collapsed="false" customWidth="true" hidden="false" outlineLevel="0" max="8" min="8" style="0" width="20"/>
  </cols>
  <sheetData>
    <row r="1" customFormat="false" ht="25.5" hidden="false" customHeight="true" outlineLevel="0" collapsed="false">
      <c r="A1" s="1" t="s">
        <v>291</v>
      </c>
      <c r="B1" s="1"/>
      <c r="C1" s="1"/>
      <c r="D1" s="1"/>
      <c r="E1" s="1"/>
      <c r="F1" s="1"/>
      <c r="G1" s="1"/>
      <c r="H1" s="1"/>
    </row>
    <row r="2" customFormat="false" ht="15.75" hidden="false" customHeight="true" outlineLevel="0" collapsed="false">
      <c r="A2" s="2" t="s">
        <v>292</v>
      </c>
      <c r="B2" s="2"/>
      <c r="C2" s="2"/>
      <c r="D2" s="2"/>
      <c r="E2" s="2"/>
      <c r="F2" s="2"/>
      <c r="G2" s="2"/>
      <c r="H2" s="2"/>
    </row>
    <row r="4" customFormat="false" ht="18" hidden="false" customHeight="true" outlineLevel="0" collapsed="false">
      <c r="A4" s="3" t="s">
        <v>293</v>
      </c>
      <c r="B4" s="3"/>
      <c r="C4" s="3"/>
      <c r="D4" s="3"/>
      <c r="E4" s="3"/>
      <c r="F4" s="3"/>
      <c r="G4" s="3"/>
      <c r="H4" s="3"/>
    </row>
    <row r="5" customFormat="false" ht="30" hidden="false" customHeight="true" outlineLevel="0" collapsed="false">
      <c r="A5" s="4" t="s">
        <v>294</v>
      </c>
      <c r="B5" s="4" t="s">
        <v>205</v>
      </c>
      <c r="C5" s="4" t="s">
        <v>270</v>
      </c>
      <c r="D5" s="4" t="s">
        <v>271</v>
      </c>
      <c r="E5" s="4" t="s">
        <v>272</v>
      </c>
      <c r="F5" s="4" t="s">
        <v>273</v>
      </c>
      <c r="G5" s="4" t="s">
        <v>295</v>
      </c>
      <c r="H5" s="4" t="s">
        <v>296</v>
      </c>
    </row>
    <row r="6" customFormat="false" ht="15" hidden="false" customHeight="false" outlineLevel="0" collapsed="false">
      <c r="A6" s="5" t="s">
        <v>297</v>
      </c>
      <c r="B6" s="11" t="s">
        <v>211</v>
      </c>
      <c r="C6" s="28" t="n">
        <v>70127.712</v>
      </c>
      <c r="D6" s="28" t="n">
        <v>150373.751</v>
      </c>
      <c r="E6" s="64" t="n">
        <v>2078383680.114</v>
      </c>
      <c r="F6" s="23" t="n">
        <v>1.666</v>
      </c>
      <c r="G6" s="11"/>
      <c r="H6" s="71" t="n">
        <f aca="false">(C6-C6)/C6</f>
        <v>0</v>
      </c>
    </row>
    <row r="7" customFormat="false" ht="15" hidden="false" customHeight="false" outlineLevel="0" collapsed="false">
      <c r="A7" s="5" t="s">
        <v>297</v>
      </c>
      <c r="B7" s="11" t="s">
        <v>213</v>
      </c>
      <c r="C7" s="28" t="n">
        <v>49528.596</v>
      </c>
      <c r="D7" s="28" t="n">
        <v>80317.064</v>
      </c>
      <c r="E7" s="64" t="n">
        <v>1435511954.686</v>
      </c>
      <c r="F7" s="23" t="n">
        <v>1.664</v>
      </c>
      <c r="G7" s="11"/>
      <c r="H7" s="71" t="n">
        <f aca="false">(C7-C7)/C7</f>
        <v>0</v>
      </c>
    </row>
    <row r="8" customFormat="false" ht="15" hidden="false" customHeight="false" outlineLevel="0" collapsed="false">
      <c r="A8" s="5" t="s">
        <v>297</v>
      </c>
      <c r="B8" s="11" t="s">
        <v>215</v>
      </c>
      <c r="C8" s="28" t="n">
        <v>12424.947</v>
      </c>
      <c r="D8" s="28" t="n">
        <v>30323.263</v>
      </c>
      <c r="E8" s="64" t="n">
        <v>209674115.04</v>
      </c>
      <c r="F8" s="23" t="n">
        <v>1.22</v>
      </c>
      <c r="G8" s="28" t="n">
        <v>29303.447</v>
      </c>
      <c r="H8" s="71" t="n">
        <f aca="false">(C8-C8)/C8</f>
        <v>0</v>
      </c>
    </row>
    <row r="9" customFormat="false" ht="15" hidden="false" customHeight="false" outlineLevel="0" collapsed="false">
      <c r="A9" s="5" t="s">
        <v>297</v>
      </c>
      <c r="B9" s="11" t="s">
        <v>217</v>
      </c>
      <c r="C9" s="28" t="n">
        <v>29671.505</v>
      </c>
      <c r="D9" s="28" t="n">
        <v>41404.649</v>
      </c>
      <c r="E9" s="64" t="n">
        <v>739574213.696</v>
      </c>
      <c r="F9" s="23" t="n">
        <v>1.518</v>
      </c>
      <c r="G9" s="28" t="n">
        <v>36284.269</v>
      </c>
      <c r="H9" s="71" t="n">
        <f aca="false">(C9-C9)/C9</f>
        <v>0</v>
      </c>
    </row>
    <row r="10" customFormat="false" ht="15" hidden="false" customHeight="false" outlineLevel="0" collapsed="false">
      <c r="A10" s="5" t="s">
        <v>298</v>
      </c>
      <c r="B10" s="11" t="s">
        <v>211</v>
      </c>
      <c r="C10" s="28" t="n">
        <v>66537.625</v>
      </c>
      <c r="D10" s="28" t="n">
        <v>136657.937</v>
      </c>
      <c r="E10" s="64" t="n">
        <v>1973043218.2</v>
      </c>
      <c r="F10" s="23" t="n">
        <v>1.57</v>
      </c>
      <c r="G10" s="11"/>
      <c r="H10" s="72" t="n">
        <f aca="false">(C10-C6)/C6</f>
        <v>-0.0511935566926809</v>
      </c>
    </row>
    <row r="11" customFormat="false" ht="15" hidden="false" customHeight="false" outlineLevel="0" collapsed="false">
      <c r="A11" s="5" t="s">
        <v>298</v>
      </c>
      <c r="B11" s="11" t="s">
        <v>213</v>
      </c>
      <c r="C11" s="28" t="n">
        <v>45404.509</v>
      </c>
      <c r="D11" s="28" t="n">
        <v>69352.816</v>
      </c>
      <c r="E11" s="64" t="n">
        <v>1304066693.792</v>
      </c>
      <c r="F11" s="23" t="n">
        <v>1.632</v>
      </c>
      <c r="G11" s="11"/>
      <c r="H11" s="72" t="n">
        <f aca="false">(C11-C7)/C7</f>
        <v>-0.0832667859189871</v>
      </c>
    </row>
    <row r="12" customFormat="false" ht="15" hidden="false" customHeight="false" outlineLevel="0" collapsed="false">
      <c r="A12" s="5" t="s">
        <v>298</v>
      </c>
      <c r="B12" s="11" t="s">
        <v>215</v>
      </c>
      <c r="C12" s="28" t="n">
        <v>14245.954</v>
      </c>
      <c r="D12" s="28" t="n">
        <v>33857.277</v>
      </c>
      <c r="E12" s="64" t="n">
        <v>247255727.419</v>
      </c>
      <c r="F12" s="23" t="n">
        <v>1.215</v>
      </c>
      <c r="G12" s="28" t="n">
        <v>30823.626</v>
      </c>
      <c r="H12" s="72" t="n">
        <f aca="false">(C12-C8)/C8</f>
        <v>0.146560544684818</v>
      </c>
    </row>
    <row r="13" customFormat="false" ht="15" hidden="false" customHeight="false" outlineLevel="0" collapsed="false">
      <c r="A13" s="5" t="s">
        <v>298</v>
      </c>
      <c r="B13" s="11" t="s">
        <v>217</v>
      </c>
      <c r="C13" s="28" t="n">
        <v>23278.199</v>
      </c>
      <c r="D13" s="28" t="n">
        <v>34311.651</v>
      </c>
      <c r="E13" s="64" t="n">
        <v>618455455.53</v>
      </c>
      <c r="F13" s="23" t="n">
        <v>1.47</v>
      </c>
      <c r="G13" s="28" t="n">
        <v>25643.017</v>
      </c>
      <c r="H13" s="72" t="n">
        <f aca="false">(C13-C9)/C9</f>
        <v>-0.215469555723581</v>
      </c>
    </row>
    <row r="14" customFormat="false" ht="15" hidden="false" customHeight="false" outlineLevel="0" collapsed="false">
      <c r="A14" s="5" t="s">
        <v>299</v>
      </c>
      <c r="B14" s="11" t="s">
        <v>211</v>
      </c>
      <c r="C14" s="28" t="n">
        <v>74950.775</v>
      </c>
      <c r="D14" s="28" t="n">
        <v>167910.012</v>
      </c>
      <c r="E14" s="64" t="n">
        <v>2217942410.627</v>
      </c>
      <c r="F14" s="23" t="n">
        <v>1.736</v>
      </c>
      <c r="G14" s="11"/>
      <c r="H14" s="72" t="n">
        <f aca="false">(C14-C6)/C6</f>
        <v>0.0687754221897329</v>
      </c>
    </row>
    <row r="15" customFormat="false" ht="15" hidden="false" customHeight="false" outlineLevel="0" collapsed="false">
      <c r="A15" s="5" t="s">
        <v>299</v>
      </c>
      <c r="B15" s="11" t="s">
        <v>213</v>
      </c>
      <c r="C15" s="28" t="n">
        <v>54827.156</v>
      </c>
      <c r="D15" s="28" t="n">
        <v>94963.856</v>
      </c>
      <c r="E15" s="64" t="n">
        <v>1599370655.295</v>
      </c>
      <c r="F15" s="23" t="n">
        <v>1.71</v>
      </c>
      <c r="G15" s="11"/>
      <c r="H15" s="72" t="n">
        <f aca="false">(C15-C7)/C7</f>
        <v>0.106979814247107</v>
      </c>
    </row>
    <row r="16" customFormat="false" ht="15" hidden="false" customHeight="false" outlineLevel="0" collapsed="false">
      <c r="A16" s="5" t="s">
        <v>299</v>
      </c>
      <c r="B16" s="11" t="s">
        <v>215</v>
      </c>
      <c r="C16" s="28" t="n">
        <v>10905.642</v>
      </c>
      <c r="D16" s="28" t="n">
        <v>27348.081</v>
      </c>
      <c r="E16" s="64" t="n">
        <v>178294325.224</v>
      </c>
      <c r="F16" s="23" t="n">
        <v>1.228</v>
      </c>
      <c r="G16" s="28" t="n">
        <v>27283.21</v>
      </c>
      <c r="H16" s="72" t="n">
        <f aca="false">(C16-C8)/C8</f>
        <v>-0.122278590001229</v>
      </c>
    </row>
    <row r="17" customFormat="false" ht="15" hidden="false" customHeight="false" outlineLevel="0" collapsed="false">
      <c r="A17" s="5" t="s">
        <v>299</v>
      </c>
      <c r="B17" s="11" t="s">
        <v>217</v>
      </c>
      <c r="C17" s="28" t="n">
        <v>42851.534</v>
      </c>
      <c r="D17" s="28" t="n">
        <v>62777.315</v>
      </c>
      <c r="E17" s="64" t="n">
        <v>1237513566.908</v>
      </c>
      <c r="F17" s="23" t="n">
        <v>1.583</v>
      </c>
      <c r="G17" s="11"/>
      <c r="H17" s="72" t="n">
        <f aca="false">(C17-C9)/C9</f>
        <v>0.444198196215527</v>
      </c>
    </row>
    <row r="18" customFormat="false" ht="15" hidden="false" customHeight="false" outlineLevel="0" collapsed="false">
      <c r="A18" s="5" t="s">
        <v>300</v>
      </c>
      <c r="B18" s="11" t="s">
        <v>211</v>
      </c>
      <c r="C18" s="28" t="n">
        <v>80903.498</v>
      </c>
      <c r="D18" s="28" t="n">
        <v>174191.346</v>
      </c>
      <c r="E18" s="64" t="n">
        <v>2186701165.302</v>
      </c>
      <c r="F18" s="23" t="n">
        <v>1.649</v>
      </c>
      <c r="G18" s="11"/>
      <c r="H18" s="72" t="n">
        <f aca="false">(C18-C6)/C6</f>
        <v>0.153659454909922</v>
      </c>
    </row>
    <row r="19" customFormat="false" ht="15" hidden="false" customHeight="false" outlineLevel="0" collapsed="false">
      <c r="A19" s="5" t="s">
        <v>300</v>
      </c>
      <c r="B19" s="11" t="s">
        <v>213</v>
      </c>
      <c r="C19" s="28" t="n">
        <v>59304.028</v>
      </c>
      <c r="D19" s="28" t="n">
        <v>102000.232</v>
      </c>
      <c r="E19" s="64" t="n">
        <v>1522937428.154</v>
      </c>
      <c r="F19" s="23" t="n">
        <v>1.696</v>
      </c>
      <c r="G19" s="11"/>
      <c r="H19" s="72" t="n">
        <f aca="false">(C19-C7)/C7</f>
        <v>0.197369455011404</v>
      </c>
    </row>
    <row r="20" customFormat="false" ht="15" hidden="false" customHeight="false" outlineLevel="0" collapsed="false">
      <c r="A20" s="5" t="s">
        <v>300</v>
      </c>
      <c r="B20" s="11" t="s">
        <v>215</v>
      </c>
      <c r="C20" s="28" t="n">
        <v>18429.147</v>
      </c>
      <c r="D20" s="28" t="n">
        <v>48361.024</v>
      </c>
      <c r="E20" s="64" t="n">
        <v>236784971.618</v>
      </c>
      <c r="F20" s="23" t="n">
        <v>1.244</v>
      </c>
      <c r="G20" s="28" t="n">
        <v>27423.226</v>
      </c>
      <c r="H20" s="72" t="n">
        <f aca="false">(C20-C8)/C8</f>
        <v>0.483237473769506</v>
      </c>
    </row>
    <row r="21" customFormat="false" ht="15" hidden="false" customHeight="false" outlineLevel="0" collapsed="false">
      <c r="A21" s="5" t="s">
        <v>300</v>
      </c>
      <c r="B21" s="11" t="s">
        <v>217</v>
      </c>
      <c r="C21" s="28" t="n">
        <v>36335.055</v>
      </c>
      <c r="D21" s="28" t="n">
        <v>55368.996</v>
      </c>
      <c r="E21" s="64" t="n">
        <v>781739560.485</v>
      </c>
      <c r="F21" s="23" t="n">
        <v>1.553</v>
      </c>
      <c r="G21" s="28" t="n">
        <v>32163.784</v>
      </c>
      <c r="H21" s="72" t="n">
        <f aca="false">(C21-C9)/C9</f>
        <v>0.224577418637848</v>
      </c>
    </row>
    <row r="22" customFormat="false" ht="15" hidden="false" customHeight="false" outlineLevel="0" collapsed="false">
      <c r="A22" s="5" t="s">
        <v>301</v>
      </c>
      <c r="B22" s="11" t="s">
        <v>211</v>
      </c>
      <c r="C22" s="28" t="n">
        <v>77069.857</v>
      </c>
      <c r="D22" s="28" t="n">
        <v>158647.834</v>
      </c>
      <c r="E22" s="64" t="n">
        <v>2077568318.092</v>
      </c>
      <c r="F22" s="23" t="n">
        <v>1.63</v>
      </c>
      <c r="G22" s="11"/>
      <c r="H22" s="72" t="n">
        <f aca="false">(C22-C6)/C6</f>
        <v>0.0989928917116247</v>
      </c>
    </row>
    <row r="23" customFormat="false" ht="15" hidden="false" customHeight="false" outlineLevel="0" collapsed="false">
      <c r="A23" s="5" t="s">
        <v>301</v>
      </c>
      <c r="B23" s="11" t="s">
        <v>213</v>
      </c>
      <c r="C23" s="28" t="n">
        <v>54843.261</v>
      </c>
      <c r="D23" s="28" t="n">
        <v>90278.561</v>
      </c>
      <c r="E23" s="64" t="n">
        <v>1384347952.83</v>
      </c>
      <c r="F23" s="23" t="n">
        <v>1.647</v>
      </c>
      <c r="G23" s="11"/>
      <c r="H23" s="72" t="n">
        <f aca="false">(C23-C7)/C7</f>
        <v>0.107304979935228</v>
      </c>
    </row>
    <row r="24" customFormat="false" ht="15" hidden="false" customHeight="false" outlineLevel="0" collapsed="false">
      <c r="A24" s="5" t="s">
        <v>301</v>
      </c>
      <c r="B24" s="11" t="s">
        <v>215</v>
      </c>
      <c r="C24" s="28" t="n">
        <v>18872.354</v>
      </c>
      <c r="D24" s="28" t="n">
        <v>48940.697</v>
      </c>
      <c r="E24" s="64" t="n">
        <v>241627923.172</v>
      </c>
      <c r="F24" s="23" t="n">
        <v>1.213</v>
      </c>
      <c r="G24" s="28" t="n">
        <v>27963.29</v>
      </c>
      <c r="H24" s="72" t="n">
        <f aca="false">(C24-C8)/C8</f>
        <v>0.518908209427372</v>
      </c>
    </row>
    <row r="25" customFormat="false" ht="15" hidden="false" customHeight="false" outlineLevel="0" collapsed="false">
      <c r="A25" s="5" t="s">
        <v>301</v>
      </c>
      <c r="B25" s="11" t="s">
        <v>217</v>
      </c>
      <c r="C25" s="28" t="n">
        <v>30803.762</v>
      </c>
      <c r="D25" s="28" t="n">
        <v>47987.511</v>
      </c>
      <c r="E25" s="64" t="n">
        <v>680597410.033</v>
      </c>
      <c r="F25" s="23" t="n">
        <v>1.502</v>
      </c>
      <c r="G25" s="28" t="n">
        <v>25062.949</v>
      </c>
      <c r="H25" s="72" t="n">
        <f aca="false">(C25-C9)/C9</f>
        <v>0.0381597428239652</v>
      </c>
    </row>
    <row r="26" customFormat="false" ht="15" hidden="false" customHeight="false" outlineLevel="0" collapsed="false">
      <c r="A26" s="5" t="s">
        <v>302</v>
      </c>
      <c r="B26" s="11" t="s">
        <v>211</v>
      </c>
      <c r="C26" s="28" t="n">
        <v>73725.322</v>
      </c>
      <c r="D26" s="28" t="n">
        <v>147540.508</v>
      </c>
      <c r="E26" s="64" t="n">
        <v>1968793728.07</v>
      </c>
      <c r="F26" s="23" t="n">
        <v>1.629</v>
      </c>
      <c r="G26" s="28" t="n">
        <v>19982.351</v>
      </c>
      <c r="H26" s="72" t="n">
        <f aca="false">(C26-C6)/C6</f>
        <v>0.0513008324013195</v>
      </c>
    </row>
    <row r="27" customFormat="false" ht="15" hidden="false" customHeight="false" outlineLevel="0" collapsed="false">
      <c r="A27" s="5" t="s">
        <v>302</v>
      </c>
      <c r="B27" s="11" t="s">
        <v>213</v>
      </c>
      <c r="C27" s="28" t="n">
        <v>51775.75</v>
      </c>
      <c r="D27" s="28" t="n">
        <v>90825.051</v>
      </c>
      <c r="E27" s="64" t="n">
        <v>1220146795.863</v>
      </c>
      <c r="F27" s="23" t="n">
        <v>1.645</v>
      </c>
      <c r="G27" s="11"/>
      <c r="H27" s="72" t="n">
        <f aca="false">(C27-C7)/C7</f>
        <v>0.0453708399083229</v>
      </c>
    </row>
    <row r="28" customFormat="false" ht="15" hidden="false" customHeight="false" outlineLevel="0" collapsed="false">
      <c r="A28" s="5" t="s">
        <v>302</v>
      </c>
      <c r="B28" s="11" t="s">
        <v>215</v>
      </c>
      <c r="C28" s="28" t="n">
        <v>23874.794</v>
      </c>
      <c r="D28" s="28" t="n">
        <v>64900.915</v>
      </c>
      <c r="E28" s="64" t="n">
        <v>307264029.141</v>
      </c>
      <c r="F28" s="23" t="n">
        <v>1.228</v>
      </c>
      <c r="G28" s="28" t="n">
        <v>28843.393</v>
      </c>
      <c r="H28" s="72" t="n">
        <f aca="false">(C28-C8)/C8</f>
        <v>0.921520792000159</v>
      </c>
    </row>
    <row r="29" customFormat="false" ht="15" hidden="false" customHeight="false" outlineLevel="0" collapsed="false">
      <c r="A29" s="5" t="s">
        <v>302</v>
      </c>
      <c r="B29" s="11" t="s">
        <v>217</v>
      </c>
      <c r="C29" s="28" t="n">
        <v>30535.488</v>
      </c>
      <c r="D29" s="28" t="n">
        <v>50967.812</v>
      </c>
      <c r="E29" s="64" t="n">
        <v>642212882.098</v>
      </c>
      <c r="F29" s="23" t="n">
        <v>1.489</v>
      </c>
      <c r="G29" s="28" t="n">
        <v>25002.942</v>
      </c>
      <c r="H29" s="72" t="n">
        <f aca="false">(C29-C9)/C9</f>
        <v>0.0291182735759443</v>
      </c>
    </row>
    <row r="31" customFormat="false" ht="18" hidden="false" customHeight="true" outlineLevel="0" collapsed="false">
      <c r="A31" s="3" t="s">
        <v>303</v>
      </c>
      <c r="B31" s="3"/>
      <c r="C31" s="3"/>
      <c r="D31" s="3"/>
      <c r="E31" s="3"/>
      <c r="F31" s="3"/>
      <c r="G31" s="3"/>
      <c r="H31" s="3"/>
    </row>
    <row r="32" customFormat="false" ht="30" hidden="false" customHeight="true" outlineLevel="0" collapsed="false">
      <c r="A32" s="4" t="s">
        <v>294</v>
      </c>
      <c r="B32" s="4" t="s">
        <v>211</v>
      </c>
      <c r="C32" s="4" t="s">
        <v>213</v>
      </c>
      <c r="D32" s="4" t="s">
        <v>215</v>
      </c>
      <c r="E32" s="4" t="s">
        <v>217</v>
      </c>
      <c r="F32" s="4" t="s">
        <v>304</v>
      </c>
      <c r="G32" s="4" t="s">
        <v>305</v>
      </c>
      <c r="H32" s="4"/>
    </row>
    <row r="33" customFormat="false" ht="15" hidden="false" customHeight="false" outlineLevel="0" collapsed="false">
      <c r="A33" s="5" t="s">
        <v>297</v>
      </c>
      <c r="B33" s="72" t="n">
        <f aca="false">H6</f>
        <v>0</v>
      </c>
      <c r="C33" s="72" t="n">
        <f aca="false">H7</f>
        <v>0</v>
      </c>
      <c r="D33" s="72" t="n">
        <f aca="false">H8</f>
        <v>0</v>
      </c>
      <c r="E33" s="72" t="n">
        <f aca="false">H9</f>
        <v>0</v>
      </c>
      <c r="F33" s="13" t="str">
        <f aca="false">IF(MAX(B33:E33)=0,"— (baseline)",INDEX($B$32:$E$32,MATCH(MAX(B33:E33),B33:E33,0)))</f>
        <v>— (baseline)</v>
      </c>
      <c r="G33" s="73" t="n">
        <f aca="false">(MAX(B33:E33)-MIN(B33:E33))*100</f>
        <v>0</v>
      </c>
      <c r="H33" s="12"/>
    </row>
    <row r="34" customFormat="false" ht="15" hidden="false" customHeight="false" outlineLevel="0" collapsed="false">
      <c r="A34" s="5" t="s">
        <v>298</v>
      </c>
      <c r="B34" s="72" t="n">
        <f aca="false">H10</f>
        <v>-0.0511935566926809</v>
      </c>
      <c r="C34" s="72" t="n">
        <f aca="false">H11</f>
        <v>-0.0832667859189871</v>
      </c>
      <c r="D34" s="72" t="n">
        <f aca="false">H12</f>
        <v>0.146560544684818</v>
      </c>
      <c r="E34" s="72" t="n">
        <f aca="false">H13</f>
        <v>-0.215469555723581</v>
      </c>
      <c r="F34" s="13" t="str">
        <f aca="false">IF(MAX(B34:E34)=0,"— (baseline)",INDEX($B$32:$E$32,MATCH(MAX(B34:E34),B34:E34,0)))</f>
        <v>IMC-scheduled PID</v>
      </c>
      <c r="G34" s="73" t="n">
        <f aca="false">(MAX(B34:E34)-MIN(B34:E34))*100</f>
        <v>36.2030100408399</v>
      </c>
      <c r="H34" s="12"/>
    </row>
    <row r="35" customFormat="false" ht="15" hidden="false" customHeight="false" outlineLevel="0" collapsed="false">
      <c r="A35" s="5" t="s">
        <v>299</v>
      </c>
      <c r="B35" s="72" t="n">
        <f aca="false">H14</f>
        <v>0.0687754221897329</v>
      </c>
      <c r="C35" s="72" t="n">
        <f aca="false">H15</f>
        <v>0.106979814247107</v>
      </c>
      <c r="D35" s="72" t="n">
        <f aca="false">H16</f>
        <v>-0.122278590001229</v>
      </c>
      <c r="E35" s="72" t="n">
        <f aca="false">H17</f>
        <v>0.444198196215527</v>
      </c>
      <c r="F35" s="13" t="str">
        <f aca="false">IF(MAX(B35:E35)=0,"— (baseline)",INDEX($B$32:$E$32,MATCH(MAX(B35:E35),B35:E35,0)))</f>
        <v>Pure gain-scheduled PID</v>
      </c>
      <c r="G35" s="73" t="n">
        <f aca="false">(MAX(B35:E35)-MIN(B35:E35))*100</f>
        <v>56.6476786216756</v>
      </c>
      <c r="H35" s="12"/>
    </row>
    <row r="36" customFormat="false" ht="15" hidden="false" customHeight="false" outlineLevel="0" collapsed="false">
      <c r="A36" s="5" t="s">
        <v>300</v>
      </c>
      <c r="B36" s="72" t="n">
        <f aca="false">H18</f>
        <v>0.153659454909922</v>
      </c>
      <c r="C36" s="72" t="n">
        <f aca="false">H19</f>
        <v>0.197369455011404</v>
      </c>
      <c r="D36" s="72" t="n">
        <f aca="false">H20</f>
        <v>0.483237473769506</v>
      </c>
      <c r="E36" s="72" t="n">
        <f aca="false">H21</f>
        <v>0.224577418637848</v>
      </c>
      <c r="F36" s="13" t="str">
        <f aca="false">IF(MAX(B36:E36)=0,"— (baseline)",INDEX($B$32:$E$32,MATCH(MAX(B36:E36),B36:E36,0)))</f>
        <v>IMC-scheduled PID</v>
      </c>
      <c r="G36" s="73" t="n">
        <f aca="false">(MAX(B36:E36)-MIN(B36:E36))*100</f>
        <v>32.9578018859584</v>
      </c>
      <c r="H36" s="12"/>
    </row>
    <row r="37" customFormat="false" ht="15" hidden="false" customHeight="false" outlineLevel="0" collapsed="false">
      <c r="A37" s="5" t="s">
        <v>301</v>
      </c>
      <c r="B37" s="72" t="n">
        <f aca="false">H22</f>
        <v>0.0989928917116247</v>
      </c>
      <c r="C37" s="72" t="n">
        <f aca="false">H23</f>
        <v>0.107304979935228</v>
      </c>
      <c r="D37" s="72" t="n">
        <f aca="false">H24</f>
        <v>0.518908209427372</v>
      </c>
      <c r="E37" s="72" t="n">
        <f aca="false">H25</f>
        <v>0.0381597428239652</v>
      </c>
      <c r="F37" s="13" t="str">
        <f aca="false">IF(MAX(B37:E37)=0,"— (baseline)",INDEX($B$32:$E$32,MATCH(MAX(B37:E37),B37:E37,0)))</f>
        <v>IMC-scheduled PID</v>
      </c>
      <c r="G37" s="73" t="n">
        <f aca="false">(MAX(B37:E37)-MIN(B37:E37))*100</f>
        <v>48.0748466603407</v>
      </c>
      <c r="H37" s="12"/>
    </row>
    <row r="38" customFormat="false" ht="15" hidden="false" customHeight="false" outlineLevel="0" collapsed="false">
      <c r="A38" s="5" t="s">
        <v>302</v>
      </c>
      <c r="B38" s="72" t="n">
        <f aca="false">H26</f>
        <v>0.0513008324013195</v>
      </c>
      <c r="C38" s="72" t="n">
        <f aca="false">H27</f>
        <v>0.0453708399083229</v>
      </c>
      <c r="D38" s="72" t="n">
        <f aca="false">H28</f>
        <v>0.921520792000159</v>
      </c>
      <c r="E38" s="72" t="n">
        <f aca="false">H29</f>
        <v>0.0291182735759443</v>
      </c>
      <c r="F38" s="13" t="str">
        <f aca="false">IF(MAX(B38:E38)=0,"— (baseline)",INDEX($B$32:$E$32,MATCH(MAX(B38:E38),B38:E38,0)))</f>
        <v>IMC-scheduled PID</v>
      </c>
      <c r="G38" s="73" t="n">
        <f aca="false">(MAX(B38:E38)-MIN(B38:E38))*100</f>
        <v>89.2402518424215</v>
      </c>
      <c r="H38" s="12"/>
    </row>
    <row r="40" customFormat="false" ht="15" hidden="false" customHeight="false" outlineLevel="0" collapsed="false">
      <c r="A40" s="49" t="s">
        <v>306</v>
      </c>
      <c r="B40" s="74" t="n">
        <f aca="false">SUMPRODUCT(ABS(B33:B38))/COUNT(B33:B38)</f>
        <v>0.0706536929842134</v>
      </c>
      <c r="C40" s="74" t="n">
        <f aca="false">SUMPRODUCT(ABS(C33:C38))/COUNT(C33:C38)</f>
        <v>0.0900486458368414</v>
      </c>
      <c r="D40" s="74" t="n">
        <f aca="false">SUMPRODUCT(ABS(D33:D38))/COUNT(D33:D38)</f>
        <v>0.365417601647181</v>
      </c>
      <c r="E40" s="74" t="n">
        <f aca="false">SUMPRODUCT(ABS(E33:E38))/COUNT(E33:E38)</f>
        <v>0.158587197829478</v>
      </c>
      <c r="F40" s="75" t="s">
        <v>307</v>
      </c>
      <c r="G40" s="53"/>
      <c r="H40" s="53"/>
    </row>
    <row r="42" customFormat="false" ht="30" hidden="false" customHeight="true" outlineLevel="0" collapsed="false">
      <c r="A42" s="76" t="s">
        <v>308</v>
      </c>
      <c r="B42" s="76"/>
      <c r="C42" s="76"/>
      <c r="D42" s="76"/>
      <c r="E42" s="76"/>
      <c r="F42" s="76"/>
      <c r="G42" s="76"/>
      <c r="H42" s="76"/>
    </row>
    <row r="43" customFormat="false" ht="15" hidden="false" customHeight="false" outlineLevel="0" collapsed="false">
      <c r="A43" s="76"/>
      <c r="B43" s="76"/>
      <c r="C43" s="76"/>
      <c r="D43" s="76"/>
      <c r="E43" s="76"/>
      <c r="F43" s="76"/>
      <c r="G43" s="76"/>
      <c r="H43" s="76"/>
    </row>
  </sheetData>
  <mergeCells count="5">
    <mergeCell ref="A1:H1"/>
    <mergeCell ref="A2:H2"/>
    <mergeCell ref="A4:H4"/>
    <mergeCell ref="A31:H31"/>
    <mergeCell ref="A42:H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K100"/>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pane xSplit="0" ySplit="4" topLeftCell="A6"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8"/>
    <col collapsed="false" customWidth="true" hidden="false" outlineLevel="0" max="5" min="4" style="0" width="14"/>
    <col collapsed="false" customWidth="true" hidden="false" outlineLevel="0" max="9" min="6" style="0" width="16"/>
    <col collapsed="false" customWidth="true" hidden="false" outlineLevel="0" max="10" min="10" style="0" width="18"/>
    <col collapsed="false" customWidth="true" hidden="false" outlineLevel="0" max="11" min="11" style="0" width="14"/>
  </cols>
  <sheetData>
    <row r="1" customFormat="false" ht="25.5" hidden="false" customHeight="true" outlineLevel="0" collapsed="false">
      <c r="A1" s="1" t="s">
        <v>309</v>
      </c>
      <c r="B1" s="1"/>
      <c r="C1" s="1"/>
      <c r="D1" s="1"/>
      <c r="E1" s="1"/>
      <c r="F1" s="1"/>
      <c r="G1" s="1"/>
      <c r="H1" s="1"/>
      <c r="I1" s="1"/>
      <c r="J1" s="1"/>
      <c r="K1" s="1"/>
    </row>
    <row r="2" customFormat="false" ht="15.75" hidden="false" customHeight="true" outlineLevel="0" collapsed="false">
      <c r="A2" s="2" t="s">
        <v>310</v>
      </c>
      <c r="B2" s="2"/>
      <c r="C2" s="2"/>
      <c r="D2" s="2"/>
      <c r="E2" s="2"/>
      <c r="F2" s="2"/>
      <c r="G2" s="2"/>
      <c r="H2" s="2"/>
      <c r="I2" s="2"/>
      <c r="J2" s="2"/>
      <c r="K2" s="2"/>
    </row>
    <row r="4" customFormat="false" ht="30" hidden="false" customHeight="true" outlineLevel="0" collapsed="false">
      <c r="A4" s="4" t="s">
        <v>205</v>
      </c>
      <c r="B4" s="4" t="s">
        <v>294</v>
      </c>
      <c r="C4" s="4" t="s">
        <v>254</v>
      </c>
      <c r="D4" s="4" t="s">
        <v>108</v>
      </c>
      <c r="E4" s="4" t="s">
        <v>255</v>
      </c>
      <c r="F4" s="4" t="s">
        <v>256</v>
      </c>
      <c r="G4" s="4" t="s">
        <v>257</v>
      </c>
      <c r="H4" s="4" t="s">
        <v>258</v>
      </c>
      <c r="I4" s="4" t="s">
        <v>259</v>
      </c>
      <c r="J4" s="4" t="s">
        <v>260</v>
      </c>
      <c r="K4" s="4" t="s">
        <v>261</v>
      </c>
    </row>
    <row r="5" customFormat="false" ht="15" hidden="false" customHeight="false" outlineLevel="0" collapsed="false">
      <c r="A5" s="5" t="s">
        <v>211</v>
      </c>
      <c r="B5" s="11" t="s">
        <v>297</v>
      </c>
      <c r="C5" s="65" t="n">
        <v>1</v>
      </c>
      <c r="D5" s="28" t="n">
        <v>0</v>
      </c>
      <c r="E5" s="65" t="s">
        <v>262</v>
      </c>
      <c r="F5" s="28" t="n">
        <v>84573.868</v>
      </c>
      <c r="G5" s="28" t="n">
        <v>183413</v>
      </c>
      <c r="H5" s="64" t="n">
        <v>3383105686.38</v>
      </c>
      <c r="I5" s="23" t="n">
        <v>0</v>
      </c>
      <c r="J5" s="11"/>
      <c r="K5" s="33" t="str">
        <f aca="false">IF(ISNUMBER(J5),"Yes","Not settled")</f>
        <v>Not settled</v>
      </c>
    </row>
    <row r="6" customFormat="false" ht="15" hidden="false" customHeight="false" outlineLevel="0" collapsed="false">
      <c r="A6" s="5" t="s">
        <v>211</v>
      </c>
      <c r="B6" s="11" t="s">
        <v>297</v>
      </c>
      <c r="C6" s="65" t="n">
        <v>2</v>
      </c>
      <c r="D6" s="28" t="n">
        <v>60007.06</v>
      </c>
      <c r="E6" s="65" t="s">
        <v>263</v>
      </c>
      <c r="F6" s="28" t="n">
        <v>34532.506</v>
      </c>
      <c r="G6" s="28" t="n">
        <v>73755.354</v>
      </c>
      <c r="H6" s="64" t="n">
        <v>341483332.647</v>
      </c>
      <c r="I6" s="23" t="n">
        <v>2.13</v>
      </c>
      <c r="J6" s="11"/>
      <c r="K6" s="33" t="str">
        <f aca="false">IF(ISNUMBER(J6),"Yes","Not settled")</f>
        <v>Not settled</v>
      </c>
    </row>
    <row r="7" customFormat="false" ht="15" hidden="false" customHeight="false" outlineLevel="0" collapsed="false">
      <c r="A7" s="5" t="s">
        <v>211</v>
      </c>
      <c r="B7" s="11" t="s">
        <v>297</v>
      </c>
      <c r="C7" s="65" t="n">
        <v>3</v>
      </c>
      <c r="D7" s="28" t="n">
        <v>80009.413</v>
      </c>
      <c r="E7" s="65" t="s">
        <v>264</v>
      </c>
      <c r="F7" s="28" t="n">
        <v>42327.443</v>
      </c>
      <c r="G7" s="28" t="n">
        <v>91929.331</v>
      </c>
      <c r="H7" s="64" t="n">
        <v>422511507.201</v>
      </c>
      <c r="I7" s="23" t="n">
        <v>2.52</v>
      </c>
      <c r="J7" s="11"/>
      <c r="K7" s="33" t="str">
        <f aca="false">IF(ISNUMBER(J7),"Yes","Not settled")</f>
        <v>Not settled</v>
      </c>
    </row>
    <row r="8" customFormat="false" ht="15" hidden="false" customHeight="false" outlineLevel="0" collapsed="false">
      <c r="A8" s="5" t="s">
        <v>211</v>
      </c>
      <c r="B8" s="11" t="s">
        <v>297</v>
      </c>
      <c r="C8" s="65" t="n">
        <v>4</v>
      </c>
      <c r="D8" s="28" t="n">
        <v>100011.766</v>
      </c>
      <c r="E8" s="65" t="s">
        <v>265</v>
      </c>
      <c r="F8" s="28" t="n">
        <v>119077.033</v>
      </c>
      <c r="G8" s="28" t="n">
        <v>252397.318</v>
      </c>
      <c r="H8" s="64" t="n">
        <v>4166434194.228</v>
      </c>
      <c r="I8" s="23" t="n">
        <v>2.015</v>
      </c>
      <c r="J8" s="11"/>
      <c r="K8" s="33" t="str">
        <f aca="false">IF(ISNUMBER(J8),"Yes","Not settled")</f>
        <v>Not settled</v>
      </c>
    </row>
    <row r="9" customFormat="false" ht="15" hidden="false" customHeight="false" outlineLevel="0" collapsed="false">
      <c r="A9" s="5" t="s">
        <v>213</v>
      </c>
      <c r="B9" s="11" t="s">
        <v>297</v>
      </c>
      <c r="C9" s="65" t="n">
        <v>1</v>
      </c>
      <c r="D9" s="28" t="n">
        <v>0</v>
      </c>
      <c r="E9" s="65" t="s">
        <v>262</v>
      </c>
      <c r="F9" s="28" t="n">
        <v>64172.4</v>
      </c>
      <c r="G9" s="28" t="n">
        <v>110241.128</v>
      </c>
      <c r="H9" s="64" t="n">
        <v>2542884055.472</v>
      </c>
      <c r="I9" s="23" t="n">
        <v>0</v>
      </c>
      <c r="J9" s="11"/>
      <c r="K9" s="33" t="str">
        <f aca="false">IF(ISNUMBER(J9),"Yes","Not settled")</f>
        <v>Not settled</v>
      </c>
    </row>
    <row r="10" customFormat="false" ht="15" hidden="false" customHeight="false" outlineLevel="0" collapsed="false">
      <c r="A10" s="5" t="s">
        <v>213</v>
      </c>
      <c r="B10" s="11" t="s">
        <v>297</v>
      </c>
      <c r="C10" s="65" t="n">
        <v>2</v>
      </c>
      <c r="D10" s="28" t="n">
        <v>60007.06</v>
      </c>
      <c r="E10" s="65" t="s">
        <v>263</v>
      </c>
      <c r="F10" s="28" t="n">
        <v>25189.145</v>
      </c>
      <c r="G10" s="28" t="n">
        <v>42083.007</v>
      </c>
      <c r="H10" s="64" t="n">
        <v>238793375.787</v>
      </c>
      <c r="I10" s="23" t="n">
        <v>2.354</v>
      </c>
      <c r="J10" s="11"/>
      <c r="K10" s="33" t="str">
        <f aca="false">IF(ISNUMBER(J10),"Yes","Not settled")</f>
        <v>Not settled</v>
      </c>
    </row>
    <row r="11" customFormat="false" ht="15" hidden="false" customHeight="false" outlineLevel="0" collapsed="false">
      <c r="A11" s="5" t="s">
        <v>213</v>
      </c>
      <c r="B11" s="11" t="s">
        <v>297</v>
      </c>
      <c r="C11" s="65" t="n">
        <v>3</v>
      </c>
      <c r="D11" s="28" t="n">
        <v>80009.413</v>
      </c>
      <c r="E11" s="65" t="s">
        <v>264</v>
      </c>
      <c r="F11" s="28" t="n">
        <v>31433.816</v>
      </c>
      <c r="G11" s="28" t="n">
        <v>52603.658</v>
      </c>
      <c r="H11" s="64" t="n">
        <v>314586029.049</v>
      </c>
      <c r="I11" s="23" t="n">
        <v>1.952</v>
      </c>
      <c r="J11" s="11"/>
      <c r="K11" s="33" t="str">
        <f aca="false">IF(ISNUMBER(J11),"Yes","Not settled")</f>
        <v>Not settled</v>
      </c>
    </row>
    <row r="12" customFormat="false" ht="15" hidden="false" customHeight="false" outlineLevel="0" collapsed="false">
      <c r="A12" s="5" t="s">
        <v>213</v>
      </c>
      <c r="B12" s="11" t="s">
        <v>297</v>
      </c>
      <c r="C12" s="65" t="n">
        <v>4</v>
      </c>
      <c r="D12" s="28" t="n">
        <v>100011.766</v>
      </c>
      <c r="E12" s="65" t="s">
        <v>265</v>
      </c>
      <c r="F12" s="28" t="n">
        <v>77319.023</v>
      </c>
      <c r="G12" s="28" t="n">
        <v>116340.464</v>
      </c>
      <c r="H12" s="64" t="n">
        <v>2645784358.436</v>
      </c>
      <c r="I12" s="23" t="n">
        <v>2.348</v>
      </c>
      <c r="J12" s="11"/>
      <c r="K12" s="33" t="str">
        <f aca="false">IF(ISNUMBER(J12),"Yes","Not settled")</f>
        <v>Not settled</v>
      </c>
    </row>
    <row r="13" customFormat="false" ht="15" hidden="false" customHeight="false" outlineLevel="0" collapsed="false">
      <c r="A13" s="5" t="s">
        <v>215</v>
      </c>
      <c r="B13" s="11" t="s">
        <v>297</v>
      </c>
      <c r="C13" s="65" t="n">
        <v>1</v>
      </c>
      <c r="D13" s="28" t="n">
        <v>0</v>
      </c>
      <c r="E13" s="65" t="s">
        <v>262</v>
      </c>
      <c r="F13" s="28" t="n">
        <v>14658.15</v>
      </c>
      <c r="G13" s="28" t="n">
        <v>34979.853</v>
      </c>
      <c r="H13" s="64" t="n">
        <v>334584389.836</v>
      </c>
      <c r="I13" s="23" t="n">
        <v>0</v>
      </c>
      <c r="J13" s="28" t="n">
        <v>27363.219</v>
      </c>
      <c r="K13" s="33" t="str">
        <f aca="false">IF(ISNUMBER(J13),"Yes","Not settled")</f>
        <v>Yes</v>
      </c>
    </row>
    <row r="14" customFormat="false" ht="15" hidden="false" customHeight="false" outlineLevel="0" collapsed="false">
      <c r="A14" s="5" t="s">
        <v>215</v>
      </c>
      <c r="B14" s="11" t="s">
        <v>297</v>
      </c>
      <c r="C14" s="65" t="n">
        <v>2</v>
      </c>
      <c r="D14" s="28" t="n">
        <v>60007.06</v>
      </c>
      <c r="E14" s="65" t="s">
        <v>263</v>
      </c>
      <c r="F14" s="28" t="n">
        <v>18863.128</v>
      </c>
      <c r="G14" s="28" t="n">
        <v>56754.812</v>
      </c>
      <c r="H14" s="64" t="n">
        <v>153537101.321</v>
      </c>
      <c r="I14" s="23" t="n">
        <v>2.065</v>
      </c>
      <c r="J14" s="28" t="n">
        <v>12981.527</v>
      </c>
      <c r="K14" s="33" t="str">
        <f aca="false">IF(ISNUMBER(J14),"Yes","Not settled")</f>
        <v>Yes</v>
      </c>
    </row>
    <row r="15" customFormat="false" ht="15" hidden="false" customHeight="false" outlineLevel="0" collapsed="false">
      <c r="A15" s="5" t="s">
        <v>215</v>
      </c>
      <c r="B15" s="11" t="s">
        <v>297</v>
      </c>
      <c r="C15" s="65" t="n">
        <v>3</v>
      </c>
      <c r="D15" s="28" t="n">
        <v>80009.413</v>
      </c>
      <c r="E15" s="65" t="s">
        <v>264</v>
      </c>
      <c r="F15" s="28" t="n">
        <v>855.435</v>
      </c>
      <c r="G15" s="28" t="n">
        <v>410.225</v>
      </c>
      <c r="H15" s="64" t="n">
        <v>843051.091</v>
      </c>
      <c r="I15" s="23" t="n">
        <v>0.345</v>
      </c>
      <c r="J15" s="28" t="n">
        <v>460.054</v>
      </c>
      <c r="K15" s="33" t="str">
        <f aca="false">IF(ISNUMBER(J15),"Yes","Not settled")</f>
        <v>Yes</v>
      </c>
    </row>
    <row r="16" customFormat="false" ht="15" hidden="false" customHeight="false" outlineLevel="0" collapsed="false">
      <c r="A16" s="5" t="s">
        <v>215</v>
      </c>
      <c r="B16" s="11" t="s">
        <v>297</v>
      </c>
      <c r="C16" s="65" t="n">
        <v>4</v>
      </c>
      <c r="D16" s="28" t="n">
        <v>100011.766</v>
      </c>
      <c r="E16" s="65" t="s">
        <v>265</v>
      </c>
      <c r="F16" s="28" t="n">
        <v>15323.075</v>
      </c>
      <c r="G16" s="28" t="n">
        <v>29148.161</v>
      </c>
      <c r="H16" s="64" t="n">
        <v>349731917.914</v>
      </c>
      <c r="I16" s="23" t="n">
        <v>2.471</v>
      </c>
      <c r="J16" s="28" t="n">
        <v>29303.447</v>
      </c>
      <c r="K16" s="33" t="str">
        <f aca="false">IF(ISNUMBER(J16),"Yes","Not settled")</f>
        <v>Yes</v>
      </c>
    </row>
    <row r="17" customFormat="false" ht="15" hidden="false" customHeight="false" outlineLevel="0" collapsed="false">
      <c r="A17" s="5" t="s">
        <v>217</v>
      </c>
      <c r="B17" s="11" t="s">
        <v>297</v>
      </c>
      <c r="C17" s="65" t="n">
        <v>1</v>
      </c>
      <c r="D17" s="28" t="n">
        <v>0</v>
      </c>
      <c r="E17" s="65" t="s">
        <v>262</v>
      </c>
      <c r="F17" s="28" t="n">
        <v>54650.558</v>
      </c>
      <c r="G17" s="28" t="n">
        <v>81386.557</v>
      </c>
      <c r="H17" s="64" t="n">
        <v>2154811140.399</v>
      </c>
      <c r="I17" s="23" t="n">
        <v>0</v>
      </c>
      <c r="J17" s="11"/>
      <c r="K17" s="33" t="str">
        <f aca="false">IF(ISNUMBER(J17),"Yes","Not settled")</f>
        <v>Not settled</v>
      </c>
    </row>
    <row r="18" customFormat="false" ht="15" hidden="false" customHeight="false" outlineLevel="0" collapsed="false">
      <c r="A18" s="5" t="s">
        <v>217</v>
      </c>
      <c r="B18" s="11" t="s">
        <v>297</v>
      </c>
      <c r="C18" s="65" t="n">
        <v>2</v>
      </c>
      <c r="D18" s="28" t="n">
        <v>60007.06</v>
      </c>
      <c r="E18" s="65" t="s">
        <v>263</v>
      </c>
      <c r="F18" s="28" t="n">
        <v>17052.379</v>
      </c>
      <c r="G18" s="28" t="n">
        <v>24324.908</v>
      </c>
      <c r="H18" s="64" t="n">
        <v>149172121.837</v>
      </c>
      <c r="I18" s="23" t="n">
        <v>2.205</v>
      </c>
      <c r="J18" s="11"/>
      <c r="K18" s="33" t="str">
        <f aca="false">IF(ISNUMBER(J18),"Yes","Not settled")</f>
        <v>Not settled</v>
      </c>
    </row>
    <row r="19" customFormat="false" ht="15" hidden="false" customHeight="false" outlineLevel="0" collapsed="false">
      <c r="A19" s="5" t="s">
        <v>217</v>
      </c>
      <c r="B19" s="11" t="s">
        <v>297</v>
      </c>
      <c r="C19" s="65" t="n">
        <v>3</v>
      </c>
      <c r="D19" s="28" t="n">
        <v>80009.413</v>
      </c>
      <c r="E19" s="65" t="s">
        <v>264</v>
      </c>
      <c r="F19" s="28" t="n">
        <v>26645.449</v>
      </c>
      <c r="G19" s="28" t="n">
        <v>37799.188</v>
      </c>
      <c r="H19" s="64" t="n">
        <v>267405885.547</v>
      </c>
      <c r="I19" s="23" t="n">
        <v>1.67</v>
      </c>
      <c r="J19" s="11"/>
      <c r="K19" s="33" t="str">
        <f aca="false">IF(ISNUMBER(J19),"Yes","Not settled")</f>
        <v>Not settled</v>
      </c>
    </row>
    <row r="20" customFormat="false" ht="15" hidden="false" customHeight="false" outlineLevel="0" collapsed="false">
      <c r="A20" s="5" t="s">
        <v>217</v>
      </c>
      <c r="B20" s="11" t="s">
        <v>297</v>
      </c>
      <c r="C20" s="65" t="n">
        <v>4</v>
      </c>
      <c r="D20" s="28" t="n">
        <v>100011.766</v>
      </c>
      <c r="E20" s="65" t="s">
        <v>265</v>
      </c>
      <c r="F20" s="28" t="n">
        <v>20337.634</v>
      </c>
      <c r="G20" s="28" t="n">
        <v>22107.943</v>
      </c>
      <c r="H20" s="64" t="n">
        <v>386907707.001</v>
      </c>
      <c r="I20" s="23" t="n">
        <v>2.195</v>
      </c>
      <c r="J20" s="28" t="n">
        <v>36284.269</v>
      </c>
      <c r="K20" s="33" t="str">
        <f aca="false">IF(ISNUMBER(J20),"Yes","Not settled")</f>
        <v>Yes</v>
      </c>
    </row>
    <row r="21" customFormat="false" ht="15" hidden="false" customHeight="false" outlineLevel="0" collapsed="false">
      <c r="A21" s="5" t="s">
        <v>211</v>
      </c>
      <c r="B21" s="11" t="s">
        <v>298</v>
      </c>
      <c r="C21" s="65" t="n">
        <v>1</v>
      </c>
      <c r="D21" s="28" t="n">
        <v>0</v>
      </c>
      <c r="E21" s="65" t="s">
        <v>262</v>
      </c>
      <c r="F21" s="28" t="n">
        <v>80413.211</v>
      </c>
      <c r="G21" s="28" t="n">
        <v>166825.913</v>
      </c>
      <c r="H21" s="64" t="n">
        <v>3216265542.977</v>
      </c>
      <c r="I21" s="23" t="n">
        <v>0</v>
      </c>
      <c r="J21" s="11"/>
      <c r="K21" s="33" t="str">
        <f aca="false">IF(ISNUMBER(J21),"Yes","Not settled")</f>
        <v>Not settled</v>
      </c>
    </row>
    <row r="22" customFormat="false" ht="15" hidden="false" customHeight="false" outlineLevel="0" collapsed="false">
      <c r="A22" s="5" t="s">
        <v>211</v>
      </c>
      <c r="B22" s="11" t="s">
        <v>298</v>
      </c>
      <c r="C22" s="65" t="n">
        <v>2</v>
      </c>
      <c r="D22" s="28" t="n">
        <v>60007.06</v>
      </c>
      <c r="E22" s="65" t="s">
        <v>263</v>
      </c>
      <c r="F22" s="28" t="n">
        <v>32395.208</v>
      </c>
      <c r="G22" s="28" t="n">
        <v>65829.677</v>
      </c>
      <c r="H22" s="64" t="n">
        <v>321133882.667</v>
      </c>
      <c r="I22" s="23" t="n">
        <v>1.88</v>
      </c>
      <c r="J22" s="11"/>
      <c r="K22" s="33" t="str">
        <f aca="false">IF(ISNUMBER(J22),"Yes","Not settled")</f>
        <v>Not settled</v>
      </c>
    </row>
    <row r="23" customFormat="false" ht="15" hidden="false" customHeight="false" outlineLevel="0" collapsed="false">
      <c r="A23" s="5" t="s">
        <v>211</v>
      </c>
      <c r="B23" s="11" t="s">
        <v>298</v>
      </c>
      <c r="C23" s="65" t="n">
        <v>3</v>
      </c>
      <c r="D23" s="28" t="n">
        <v>80009.413</v>
      </c>
      <c r="E23" s="65" t="s">
        <v>264</v>
      </c>
      <c r="F23" s="28" t="n">
        <v>40102.749</v>
      </c>
      <c r="G23" s="28" t="n">
        <v>83139.149</v>
      </c>
      <c r="H23" s="64" t="n">
        <v>401107634.605</v>
      </c>
      <c r="I23" s="23" t="n">
        <v>2.397</v>
      </c>
      <c r="J23" s="11"/>
      <c r="K23" s="33" t="str">
        <f aca="false">IF(ISNUMBER(J23),"Yes","Not settled")</f>
        <v>Not settled</v>
      </c>
    </row>
    <row r="24" customFormat="false" ht="15" hidden="false" customHeight="false" outlineLevel="0" collapsed="false">
      <c r="A24" s="5" t="s">
        <v>211</v>
      </c>
      <c r="B24" s="11" t="s">
        <v>298</v>
      </c>
      <c r="C24" s="65" t="n">
        <v>4</v>
      </c>
      <c r="D24" s="28" t="n">
        <v>100011.766</v>
      </c>
      <c r="E24" s="65" t="s">
        <v>265</v>
      </c>
      <c r="F24" s="28" t="n">
        <v>113239.332</v>
      </c>
      <c r="G24" s="28" t="n">
        <v>230837.01</v>
      </c>
      <c r="H24" s="64" t="n">
        <v>3953665812.551</v>
      </c>
      <c r="I24" s="23" t="n">
        <v>2.003</v>
      </c>
      <c r="J24" s="11"/>
      <c r="K24" s="33" t="str">
        <f aca="false">IF(ISNUMBER(J24),"Yes","Not settled")</f>
        <v>Not settled</v>
      </c>
    </row>
    <row r="25" customFormat="false" ht="15" hidden="false" customHeight="false" outlineLevel="0" collapsed="false">
      <c r="A25" s="5" t="s">
        <v>213</v>
      </c>
      <c r="B25" s="11" t="s">
        <v>298</v>
      </c>
      <c r="C25" s="65" t="n">
        <v>1</v>
      </c>
      <c r="D25" s="28" t="n">
        <v>0</v>
      </c>
      <c r="E25" s="65" t="s">
        <v>262</v>
      </c>
      <c r="F25" s="28" t="n">
        <v>60493.089</v>
      </c>
      <c r="G25" s="28" t="n">
        <v>98788.512</v>
      </c>
      <c r="H25" s="64" t="n">
        <v>2392207058.699</v>
      </c>
      <c r="I25" s="23" t="n">
        <v>0</v>
      </c>
      <c r="J25" s="11"/>
      <c r="K25" s="33" t="str">
        <f aca="false">IF(ISNUMBER(J25),"Yes","Not settled")</f>
        <v>Not settled</v>
      </c>
    </row>
    <row r="26" customFormat="false" ht="15" hidden="false" customHeight="false" outlineLevel="0" collapsed="false">
      <c r="A26" s="5" t="s">
        <v>213</v>
      </c>
      <c r="B26" s="11" t="s">
        <v>298</v>
      </c>
      <c r="C26" s="65" t="n">
        <v>2</v>
      </c>
      <c r="D26" s="28" t="n">
        <v>60007.06</v>
      </c>
      <c r="E26" s="65" t="s">
        <v>263</v>
      </c>
      <c r="F26" s="28" t="n">
        <v>23576.69</v>
      </c>
      <c r="G26" s="28" t="n">
        <v>38479.506</v>
      </c>
      <c r="H26" s="64" t="n">
        <v>218798245.789</v>
      </c>
      <c r="I26" s="23" t="n">
        <v>2.342</v>
      </c>
      <c r="J26" s="11"/>
      <c r="K26" s="33" t="str">
        <f aca="false">IF(ISNUMBER(J26),"Yes","Not settled")</f>
        <v>Not settled</v>
      </c>
    </row>
    <row r="27" customFormat="false" ht="15" hidden="false" customHeight="false" outlineLevel="0" collapsed="false">
      <c r="A27" s="5" t="s">
        <v>213</v>
      </c>
      <c r="B27" s="11" t="s">
        <v>298</v>
      </c>
      <c r="C27" s="65" t="n">
        <v>3</v>
      </c>
      <c r="D27" s="28" t="n">
        <v>80009.413</v>
      </c>
      <c r="E27" s="65" t="s">
        <v>264</v>
      </c>
      <c r="F27" s="28" t="n">
        <v>29563.78</v>
      </c>
      <c r="G27" s="28" t="n">
        <v>46723.674</v>
      </c>
      <c r="H27" s="64" t="n">
        <v>295915336.336</v>
      </c>
      <c r="I27" s="23" t="n">
        <v>1.848</v>
      </c>
      <c r="J27" s="11"/>
      <c r="K27" s="33" t="str">
        <f aca="false">IF(ISNUMBER(J27),"Yes","Not settled")</f>
        <v>Not settled</v>
      </c>
    </row>
    <row r="28" customFormat="false" ht="15" hidden="false" customHeight="false" outlineLevel="0" collapsed="false">
      <c r="A28" s="5" t="s">
        <v>213</v>
      </c>
      <c r="B28" s="11" t="s">
        <v>298</v>
      </c>
      <c r="C28" s="65" t="n">
        <v>4</v>
      </c>
      <c r="D28" s="28" t="n">
        <v>100011.766</v>
      </c>
      <c r="E28" s="65" t="s">
        <v>265</v>
      </c>
      <c r="F28" s="28" t="n">
        <v>67984.478</v>
      </c>
      <c r="G28" s="28" t="n">
        <v>93419.574</v>
      </c>
      <c r="H28" s="64" t="n">
        <v>2309346134.342</v>
      </c>
      <c r="I28" s="23" t="n">
        <v>2.338</v>
      </c>
      <c r="J28" s="11"/>
      <c r="K28" s="33" t="str">
        <f aca="false">IF(ISNUMBER(J28),"Yes","Not settled")</f>
        <v>Not settled</v>
      </c>
    </row>
    <row r="29" customFormat="false" ht="15" hidden="false" customHeight="false" outlineLevel="0" collapsed="false">
      <c r="A29" s="5" t="s">
        <v>215</v>
      </c>
      <c r="B29" s="11" t="s">
        <v>298</v>
      </c>
      <c r="C29" s="65" t="n">
        <v>1</v>
      </c>
      <c r="D29" s="28" t="n">
        <v>0</v>
      </c>
      <c r="E29" s="65" t="s">
        <v>262</v>
      </c>
      <c r="F29" s="28" t="n">
        <v>17373.726</v>
      </c>
      <c r="G29" s="28" t="n">
        <v>39930.189</v>
      </c>
      <c r="H29" s="64" t="n">
        <v>407940804.376</v>
      </c>
      <c r="I29" s="23" t="n">
        <v>0</v>
      </c>
      <c r="J29" s="28" t="n">
        <v>28983.41</v>
      </c>
      <c r="K29" s="33" t="str">
        <f aca="false">IF(ISNUMBER(J29),"Yes","Not settled")</f>
        <v>Yes</v>
      </c>
    </row>
    <row r="30" customFormat="false" ht="15" hidden="false" customHeight="false" outlineLevel="0" collapsed="false">
      <c r="A30" s="5" t="s">
        <v>215</v>
      </c>
      <c r="B30" s="11" t="s">
        <v>298</v>
      </c>
      <c r="C30" s="65" t="n">
        <v>2</v>
      </c>
      <c r="D30" s="28" t="n">
        <v>60007.06</v>
      </c>
      <c r="E30" s="65" t="s">
        <v>263</v>
      </c>
      <c r="F30" s="28" t="n">
        <v>22020.008</v>
      </c>
      <c r="G30" s="28" t="n">
        <v>64222.992</v>
      </c>
      <c r="H30" s="64" t="n">
        <v>193660986.143</v>
      </c>
      <c r="I30" s="23" t="n">
        <v>2.036</v>
      </c>
      <c r="J30" s="28" t="n">
        <v>15281.798</v>
      </c>
      <c r="K30" s="33" t="str">
        <f aca="false">IF(ISNUMBER(J30),"Yes","Not settled")</f>
        <v>Yes</v>
      </c>
    </row>
    <row r="31" customFormat="false" ht="15" hidden="false" customHeight="false" outlineLevel="0" collapsed="false">
      <c r="A31" s="5" t="s">
        <v>215</v>
      </c>
      <c r="B31" s="11" t="s">
        <v>298</v>
      </c>
      <c r="C31" s="65" t="n">
        <v>3</v>
      </c>
      <c r="D31" s="28" t="n">
        <v>80009.413</v>
      </c>
      <c r="E31" s="65" t="s">
        <v>264</v>
      </c>
      <c r="F31" s="28" t="n">
        <v>967.494</v>
      </c>
      <c r="G31" s="28" t="n">
        <v>480.179</v>
      </c>
      <c r="H31" s="64" t="n">
        <v>1006847.196</v>
      </c>
      <c r="I31" s="23" t="n">
        <v>0.374</v>
      </c>
      <c r="J31" s="28" t="n">
        <v>1380.162</v>
      </c>
      <c r="K31" s="33" t="str">
        <f aca="false">IF(ISNUMBER(J31),"Yes","Not settled")</f>
        <v>Yes</v>
      </c>
    </row>
    <row r="32" customFormat="false" ht="15" hidden="false" customHeight="false" outlineLevel="0" collapsed="false">
      <c r="A32" s="5" t="s">
        <v>215</v>
      </c>
      <c r="B32" s="11" t="s">
        <v>298</v>
      </c>
      <c r="C32" s="65" t="n">
        <v>4</v>
      </c>
      <c r="D32" s="28" t="n">
        <v>100011.766</v>
      </c>
      <c r="E32" s="65" t="s">
        <v>265</v>
      </c>
      <c r="F32" s="28" t="n">
        <v>16622.59</v>
      </c>
      <c r="G32" s="28" t="n">
        <v>30795.749</v>
      </c>
      <c r="H32" s="64" t="n">
        <v>386414271.961</v>
      </c>
      <c r="I32" s="23" t="n">
        <v>2.448</v>
      </c>
      <c r="J32" s="28" t="n">
        <v>30823.626</v>
      </c>
      <c r="K32" s="33" t="str">
        <f aca="false">IF(ISNUMBER(J32),"Yes","Not settled")</f>
        <v>Yes</v>
      </c>
    </row>
    <row r="33" customFormat="false" ht="15" hidden="false" customHeight="false" outlineLevel="0" collapsed="false">
      <c r="A33" s="5" t="s">
        <v>217</v>
      </c>
      <c r="B33" s="11" t="s">
        <v>298</v>
      </c>
      <c r="C33" s="65" t="n">
        <v>1</v>
      </c>
      <c r="D33" s="28" t="n">
        <v>0</v>
      </c>
      <c r="E33" s="65" t="s">
        <v>262</v>
      </c>
      <c r="F33" s="28" t="n">
        <v>50804.813</v>
      </c>
      <c r="G33" s="28" t="n">
        <v>71310.462</v>
      </c>
      <c r="H33" s="64" t="n">
        <v>1995244134.355</v>
      </c>
      <c r="I33" s="23" t="n">
        <v>0</v>
      </c>
      <c r="J33" s="11"/>
      <c r="K33" s="33" t="str">
        <f aca="false">IF(ISNUMBER(J33),"Yes","Not settled")</f>
        <v>Not settled</v>
      </c>
    </row>
    <row r="34" customFormat="false" ht="15" hidden="false" customHeight="false" outlineLevel="0" collapsed="false">
      <c r="A34" s="5" t="s">
        <v>217</v>
      </c>
      <c r="B34" s="11" t="s">
        <v>298</v>
      </c>
      <c r="C34" s="65" t="n">
        <v>2</v>
      </c>
      <c r="D34" s="28" t="n">
        <v>60007.06</v>
      </c>
      <c r="E34" s="65" t="s">
        <v>263</v>
      </c>
      <c r="F34" s="28" t="n">
        <v>9696.658</v>
      </c>
      <c r="G34" s="28" t="n">
        <v>17861.142</v>
      </c>
      <c r="H34" s="64" t="n">
        <v>60617376.29</v>
      </c>
      <c r="I34" s="23" t="n">
        <v>2.161</v>
      </c>
      <c r="J34" s="28" t="n">
        <v>10741.264</v>
      </c>
      <c r="K34" s="33" t="str">
        <f aca="false">IF(ISNUMBER(J34),"Yes","Not settled")</f>
        <v>Yes</v>
      </c>
    </row>
    <row r="35" customFormat="false" ht="15" hidden="false" customHeight="false" outlineLevel="0" collapsed="false">
      <c r="A35" s="5" t="s">
        <v>217</v>
      </c>
      <c r="B35" s="11" t="s">
        <v>298</v>
      </c>
      <c r="C35" s="65" t="n">
        <v>3</v>
      </c>
      <c r="D35" s="28" t="n">
        <v>80009.413</v>
      </c>
      <c r="E35" s="65" t="s">
        <v>264</v>
      </c>
      <c r="F35" s="28" t="n">
        <v>24415.494</v>
      </c>
      <c r="G35" s="28" t="n">
        <v>32378.152</v>
      </c>
      <c r="H35" s="64" t="n">
        <v>244411229.744</v>
      </c>
      <c r="I35" s="23" t="n">
        <v>1.564</v>
      </c>
      <c r="J35" s="11"/>
      <c r="K35" s="33" t="str">
        <f aca="false">IF(ISNUMBER(J35),"Yes","Not settled")</f>
        <v>Not settled</v>
      </c>
    </row>
    <row r="36" customFormat="false" ht="15" hidden="false" customHeight="false" outlineLevel="0" collapsed="false">
      <c r="A36" s="5" t="s">
        <v>217</v>
      </c>
      <c r="B36" s="11" t="s">
        <v>298</v>
      </c>
      <c r="C36" s="65" t="n">
        <v>4</v>
      </c>
      <c r="D36" s="28" t="n">
        <v>100011.766</v>
      </c>
      <c r="E36" s="65" t="s">
        <v>265</v>
      </c>
      <c r="F36" s="28" t="n">
        <v>8195.832</v>
      </c>
      <c r="G36" s="28" t="n">
        <v>15696.848</v>
      </c>
      <c r="H36" s="64" t="n">
        <v>173549081.731</v>
      </c>
      <c r="I36" s="23" t="n">
        <v>2.154</v>
      </c>
      <c r="J36" s="28" t="n">
        <v>25643.017</v>
      </c>
      <c r="K36" s="33" t="str">
        <f aca="false">IF(ISNUMBER(J36),"Yes","Not settled")</f>
        <v>Yes</v>
      </c>
    </row>
    <row r="37" customFormat="false" ht="15" hidden="false" customHeight="false" outlineLevel="0" collapsed="false">
      <c r="A37" s="5" t="s">
        <v>211</v>
      </c>
      <c r="B37" s="11" t="s">
        <v>299</v>
      </c>
      <c r="C37" s="65" t="n">
        <v>1</v>
      </c>
      <c r="D37" s="28" t="n">
        <v>0</v>
      </c>
      <c r="E37" s="65" t="s">
        <v>262</v>
      </c>
      <c r="F37" s="28" t="n">
        <v>89041.961</v>
      </c>
      <c r="G37" s="28" t="n">
        <v>203215.945</v>
      </c>
      <c r="H37" s="64" t="n">
        <v>3562622640.59</v>
      </c>
      <c r="I37" s="23" t="n">
        <v>0</v>
      </c>
      <c r="J37" s="11"/>
      <c r="K37" s="33" t="str">
        <f aca="false">IF(ISNUMBER(J37),"Yes","Not settled")</f>
        <v>Not settled</v>
      </c>
    </row>
    <row r="38" customFormat="false" ht="15" hidden="false" customHeight="false" outlineLevel="0" collapsed="false">
      <c r="A38" s="5" t="s">
        <v>211</v>
      </c>
      <c r="B38" s="11" t="s">
        <v>299</v>
      </c>
      <c r="C38" s="65" t="n">
        <v>2</v>
      </c>
      <c r="D38" s="28" t="n">
        <v>60007.06</v>
      </c>
      <c r="E38" s="65" t="s">
        <v>263</v>
      </c>
      <c r="F38" s="28" t="n">
        <v>37227.604</v>
      </c>
      <c r="G38" s="28" t="n">
        <v>81910.622</v>
      </c>
      <c r="H38" s="64" t="n">
        <v>371163881.045</v>
      </c>
      <c r="I38" s="23" t="n">
        <v>2.154</v>
      </c>
      <c r="J38" s="11"/>
      <c r="K38" s="33" t="str">
        <f aca="false">IF(ISNUMBER(J38),"Yes","Not settled")</f>
        <v>Not settled</v>
      </c>
    </row>
    <row r="39" customFormat="false" ht="15" hidden="false" customHeight="false" outlineLevel="0" collapsed="false">
      <c r="A39" s="5" t="s">
        <v>211</v>
      </c>
      <c r="B39" s="11" t="s">
        <v>299</v>
      </c>
      <c r="C39" s="65" t="n">
        <v>3</v>
      </c>
      <c r="D39" s="28" t="n">
        <v>80009.413</v>
      </c>
      <c r="E39" s="65" t="s">
        <v>264</v>
      </c>
      <c r="F39" s="28" t="n">
        <v>44513.479</v>
      </c>
      <c r="G39" s="28" t="n">
        <v>101512.745</v>
      </c>
      <c r="H39" s="64" t="n">
        <v>445483458.464</v>
      </c>
      <c r="I39" s="23" t="n">
        <v>2.599</v>
      </c>
      <c r="J39" s="11"/>
      <c r="K39" s="33" t="str">
        <f aca="false">IF(ISNUMBER(J39),"Yes","Not settled")</f>
        <v>Not settled</v>
      </c>
    </row>
    <row r="40" customFormat="false" ht="15" hidden="false" customHeight="false" outlineLevel="0" collapsed="false">
      <c r="A40" s="5" t="s">
        <v>211</v>
      </c>
      <c r="B40" s="11" t="s">
        <v>299</v>
      </c>
      <c r="C40" s="65" t="n">
        <v>4</v>
      </c>
      <c r="D40" s="28" t="n">
        <v>100011.766</v>
      </c>
      <c r="E40" s="65" t="s">
        <v>265</v>
      </c>
      <c r="F40" s="28" t="n">
        <v>129020.055</v>
      </c>
      <c r="G40" s="28" t="n">
        <v>285000.736</v>
      </c>
      <c r="H40" s="64" t="n">
        <v>4492499662.408</v>
      </c>
      <c r="I40" s="23" t="n">
        <v>2.189</v>
      </c>
      <c r="J40" s="11"/>
      <c r="K40" s="33" t="str">
        <f aca="false">IF(ISNUMBER(J40),"Yes","Not settled")</f>
        <v>Not settled</v>
      </c>
    </row>
    <row r="41" customFormat="false" ht="15" hidden="false" customHeight="false" outlineLevel="0" collapsed="false">
      <c r="A41" s="5" t="s">
        <v>213</v>
      </c>
      <c r="B41" s="11" t="s">
        <v>299</v>
      </c>
      <c r="C41" s="65" t="n">
        <v>1</v>
      </c>
      <c r="D41" s="28" t="n">
        <v>0</v>
      </c>
      <c r="E41" s="65" t="s">
        <v>262</v>
      </c>
      <c r="F41" s="28" t="n">
        <v>69687.706</v>
      </c>
      <c r="G41" s="28" t="n">
        <v>126624.144</v>
      </c>
      <c r="H41" s="64" t="n">
        <v>2768940699.439</v>
      </c>
      <c r="I41" s="23" t="n">
        <v>0</v>
      </c>
      <c r="J41" s="11"/>
      <c r="K41" s="33" t="str">
        <f aca="false">IF(ISNUMBER(J41),"Yes","Not settled")</f>
        <v>Not settled</v>
      </c>
    </row>
    <row r="42" customFormat="false" ht="15" hidden="false" customHeight="false" outlineLevel="0" collapsed="false">
      <c r="A42" s="5" t="s">
        <v>213</v>
      </c>
      <c r="B42" s="11" t="s">
        <v>299</v>
      </c>
      <c r="C42" s="65" t="n">
        <v>2</v>
      </c>
      <c r="D42" s="28" t="n">
        <v>60007.06</v>
      </c>
      <c r="E42" s="65" t="s">
        <v>263</v>
      </c>
      <c r="F42" s="28" t="n">
        <v>27645.143</v>
      </c>
      <c r="G42" s="28" t="n">
        <v>48588.476</v>
      </c>
      <c r="H42" s="64" t="n">
        <v>264441786.153</v>
      </c>
      <c r="I42" s="23" t="n">
        <v>2.382</v>
      </c>
      <c r="J42" s="11"/>
      <c r="K42" s="33" t="str">
        <f aca="false">IF(ISNUMBER(J42),"Yes","Not settled")</f>
        <v>Not settled</v>
      </c>
    </row>
    <row r="43" customFormat="false" ht="15" hidden="false" customHeight="false" outlineLevel="0" collapsed="false">
      <c r="A43" s="5" t="s">
        <v>213</v>
      </c>
      <c r="B43" s="11" t="s">
        <v>299</v>
      </c>
      <c r="C43" s="65" t="n">
        <v>3</v>
      </c>
      <c r="D43" s="28" t="n">
        <v>80009.413</v>
      </c>
      <c r="E43" s="65" t="s">
        <v>264</v>
      </c>
      <c r="F43" s="28" t="n">
        <v>34389.916</v>
      </c>
      <c r="G43" s="28" t="n">
        <v>61306.49</v>
      </c>
      <c r="H43" s="64" t="n">
        <v>343153014.085</v>
      </c>
      <c r="I43" s="23" t="n">
        <v>2.074</v>
      </c>
      <c r="J43" s="11"/>
      <c r="K43" s="33" t="str">
        <f aca="false">IF(ISNUMBER(J43),"Yes","Not settled")</f>
        <v>Not settled</v>
      </c>
    </row>
    <row r="44" customFormat="false" ht="15" hidden="false" customHeight="false" outlineLevel="0" collapsed="false">
      <c r="A44" s="5" t="s">
        <v>213</v>
      </c>
      <c r="B44" s="11" t="s">
        <v>299</v>
      </c>
      <c r="C44" s="65" t="n">
        <v>4</v>
      </c>
      <c r="D44" s="28" t="n">
        <v>100011.766</v>
      </c>
      <c r="E44" s="65" t="s">
        <v>265</v>
      </c>
      <c r="F44" s="28" t="n">
        <v>87585.859</v>
      </c>
      <c r="G44" s="28" t="n">
        <v>143336.315</v>
      </c>
      <c r="H44" s="64" t="n">
        <v>3020947121.502</v>
      </c>
      <c r="I44" s="23" t="n">
        <v>2.382</v>
      </c>
      <c r="J44" s="11"/>
      <c r="K44" s="33" t="str">
        <f aca="false">IF(ISNUMBER(J44),"Yes","Not settled")</f>
        <v>Not settled</v>
      </c>
    </row>
    <row r="45" customFormat="false" ht="15" hidden="false" customHeight="false" outlineLevel="0" collapsed="false">
      <c r="A45" s="5" t="s">
        <v>215</v>
      </c>
      <c r="B45" s="11" t="s">
        <v>299</v>
      </c>
      <c r="C45" s="65" t="n">
        <v>1</v>
      </c>
      <c r="D45" s="28" t="n">
        <v>0</v>
      </c>
      <c r="E45" s="65" t="s">
        <v>262</v>
      </c>
      <c r="F45" s="28" t="n">
        <v>12737.238</v>
      </c>
      <c r="G45" s="28" t="n">
        <v>31427.673</v>
      </c>
      <c r="H45" s="64" t="n">
        <v>285185945.225</v>
      </c>
      <c r="I45" s="23" t="n">
        <v>0</v>
      </c>
      <c r="J45" s="28" t="n">
        <v>25783.033</v>
      </c>
      <c r="K45" s="33" t="str">
        <f aca="false">IF(ISNUMBER(J45),"Yes","Not settled")</f>
        <v>Yes</v>
      </c>
    </row>
    <row r="46" customFormat="false" ht="15" hidden="false" customHeight="false" outlineLevel="0" collapsed="false">
      <c r="A46" s="5" t="s">
        <v>215</v>
      </c>
      <c r="B46" s="11" t="s">
        <v>299</v>
      </c>
      <c r="C46" s="65" t="n">
        <v>2</v>
      </c>
      <c r="D46" s="28" t="n">
        <v>60007.06</v>
      </c>
      <c r="E46" s="65" t="s">
        <v>263</v>
      </c>
      <c r="F46" s="28" t="n">
        <v>16675.769</v>
      </c>
      <c r="G46" s="28" t="n">
        <v>52015.26</v>
      </c>
      <c r="H46" s="64" t="n">
        <v>127962742.521</v>
      </c>
      <c r="I46" s="23" t="n">
        <v>2.098</v>
      </c>
      <c r="J46" s="28" t="n">
        <v>11021.297</v>
      </c>
      <c r="K46" s="33" t="str">
        <f aca="false">IF(ISNUMBER(J46),"Yes","Not settled")</f>
        <v>Yes</v>
      </c>
    </row>
    <row r="47" customFormat="false" ht="15" hidden="false" customHeight="false" outlineLevel="0" collapsed="false">
      <c r="A47" s="5" t="s">
        <v>215</v>
      </c>
      <c r="B47" s="11" t="s">
        <v>299</v>
      </c>
      <c r="C47" s="65" t="n">
        <v>3</v>
      </c>
      <c r="D47" s="28" t="n">
        <v>80009.413</v>
      </c>
      <c r="E47" s="65" t="s">
        <v>264</v>
      </c>
      <c r="F47" s="28" t="n">
        <v>749.706</v>
      </c>
      <c r="G47" s="28" t="n">
        <v>347.926</v>
      </c>
      <c r="H47" s="64" t="n">
        <v>700257.487</v>
      </c>
      <c r="I47" s="23" t="n">
        <v>0.318</v>
      </c>
      <c r="J47" s="28" t="n">
        <v>380.045</v>
      </c>
      <c r="K47" s="33" t="str">
        <f aca="false">IF(ISNUMBER(J47),"Yes","Not settled")</f>
        <v>Yes</v>
      </c>
    </row>
    <row r="48" customFormat="false" ht="15" hidden="false" customHeight="false" outlineLevel="0" collapsed="false">
      <c r="A48" s="5" t="s">
        <v>215</v>
      </c>
      <c r="B48" s="11" t="s">
        <v>299</v>
      </c>
      <c r="C48" s="65" t="n">
        <v>4</v>
      </c>
      <c r="D48" s="28" t="n">
        <v>100011.766</v>
      </c>
      <c r="E48" s="65" t="s">
        <v>265</v>
      </c>
      <c r="F48" s="28" t="n">
        <v>13459.856</v>
      </c>
      <c r="G48" s="28" t="n">
        <v>25601.465</v>
      </c>
      <c r="H48" s="64" t="n">
        <v>299328355.665</v>
      </c>
      <c r="I48" s="23" t="n">
        <v>2.497</v>
      </c>
      <c r="J48" s="28" t="n">
        <v>27283.21</v>
      </c>
      <c r="K48" s="33" t="str">
        <f aca="false">IF(ISNUMBER(J48),"Yes","Not settled")</f>
        <v>Yes</v>
      </c>
    </row>
    <row r="49" customFormat="false" ht="15" hidden="false" customHeight="false" outlineLevel="0" collapsed="false">
      <c r="A49" s="5" t="s">
        <v>217</v>
      </c>
      <c r="B49" s="11" t="s">
        <v>299</v>
      </c>
      <c r="C49" s="65" t="n">
        <v>1</v>
      </c>
      <c r="D49" s="28" t="n">
        <v>0</v>
      </c>
      <c r="E49" s="65" t="s">
        <v>262</v>
      </c>
      <c r="F49" s="28" t="n">
        <v>58976.519</v>
      </c>
      <c r="G49" s="28" t="n">
        <v>93922.233</v>
      </c>
      <c r="H49" s="64" t="n">
        <v>2334221917.712</v>
      </c>
      <c r="I49" s="23" t="n">
        <v>0</v>
      </c>
      <c r="J49" s="11"/>
      <c r="K49" s="33" t="str">
        <f aca="false">IF(ISNUMBER(J49),"Yes","Not settled")</f>
        <v>Not settled</v>
      </c>
    </row>
    <row r="50" customFormat="false" ht="15" hidden="false" customHeight="false" outlineLevel="0" collapsed="false">
      <c r="A50" s="5" t="s">
        <v>217</v>
      </c>
      <c r="B50" s="11" t="s">
        <v>299</v>
      </c>
      <c r="C50" s="65" t="n">
        <v>2</v>
      </c>
      <c r="D50" s="28" t="n">
        <v>60007.06</v>
      </c>
      <c r="E50" s="65" t="s">
        <v>263</v>
      </c>
      <c r="F50" s="28" t="n">
        <v>20939.602</v>
      </c>
      <c r="G50" s="28" t="n">
        <v>32053.971</v>
      </c>
      <c r="H50" s="64" t="n">
        <v>196287388.545</v>
      </c>
      <c r="I50" s="23" t="n">
        <v>2.261</v>
      </c>
      <c r="J50" s="11"/>
      <c r="K50" s="33" t="str">
        <f aca="false">IF(ISNUMBER(J50),"Yes","Not settled")</f>
        <v>Not settled</v>
      </c>
    </row>
    <row r="51" customFormat="false" ht="15" hidden="false" customHeight="false" outlineLevel="0" collapsed="false">
      <c r="A51" s="5" t="s">
        <v>217</v>
      </c>
      <c r="B51" s="11" t="s">
        <v>299</v>
      </c>
      <c r="C51" s="65" t="n">
        <v>3</v>
      </c>
      <c r="D51" s="28" t="n">
        <v>80009.413</v>
      </c>
      <c r="E51" s="65" t="s">
        <v>264</v>
      </c>
      <c r="F51" s="28" t="n">
        <v>28912.297</v>
      </c>
      <c r="G51" s="28" t="n">
        <v>44749.13</v>
      </c>
      <c r="H51" s="64" t="n">
        <v>288727722.209</v>
      </c>
      <c r="I51" s="23" t="n">
        <v>1.815</v>
      </c>
      <c r="J51" s="11"/>
      <c r="K51" s="33" t="str">
        <f aca="false">IF(ISNUMBER(J51),"Yes","Not settled")</f>
        <v>Not settled</v>
      </c>
    </row>
    <row r="52" customFormat="false" ht="15" hidden="false" customHeight="false" outlineLevel="0" collapsed="false">
      <c r="A52" s="5" t="s">
        <v>217</v>
      </c>
      <c r="B52" s="11" t="s">
        <v>299</v>
      </c>
      <c r="C52" s="65" t="n">
        <v>4</v>
      </c>
      <c r="D52" s="28" t="n">
        <v>100011.766</v>
      </c>
      <c r="E52" s="65" t="s">
        <v>265</v>
      </c>
      <c r="F52" s="28" t="n">
        <v>62577.717</v>
      </c>
      <c r="G52" s="28" t="n">
        <v>80383.927</v>
      </c>
      <c r="H52" s="64" t="n">
        <v>2130817239.166</v>
      </c>
      <c r="I52" s="23" t="n">
        <v>2.257</v>
      </c>
      <c r="J52" s="11"/>
      <c r="K52" s="33" t="str">
        <f aca="false">IF(ISNUMBER(J52),"Yes","Not settled")</f>
        <v>Not settled</v>
      </c>
    </row>
    <row r="53" customFormat="false" ht="15" hidden="false" customHeight="false" outlineLevel="0" collapsed="false">
      <c r="A53" s="5" t="s">
        <v>211</v>
      </c>
      <c r="B53" s="11" t="s">
        <v>300</v>
      </c>
      <c r="C53" s="65" t="n">
        <v>1</v>
      </c>
      <c r="D53" s="28" t="n">
        <v>0</v>
      </c>
      <c r="E53" s="65" t="s">
        <v>262</v>
      </c>
      <c r="F53" s="28" t="n">
        <v>127760.518</v>
      </c>
      <c r="G53" s="28" t="n">
        <v>279686.8</v>
      </c>
      <c r="H53" s="64" t="n">
        <v>3810600193.511</v>
      </c>
      <c r="I53" s="23" t="n">
        <v>0</v>
      </c>
      <c r="J53" s="11"/>
      <c r="K53" s="33" t="str">
        <f aca="false">IF(ISNUMBER(J53),"Yes","Not settled")</f>
        <v>Not settled</v>
      </c>
    </row>
    <row r="54" customFormat="false" ht="15" hidden="false" customHeight="false" outlineLevel="0" collapsed="false">
      <c r="A54" s="5" t="s">
        <v>211</v>
      </c>
      <c r="B54" s="11" t="s">
        <v>300</v>
      </c>
      <c r="C54" s="65" t="n">
        <v>2</v>
      </c>
      <c r="D54" s="28" t="n">
        <v>60007.06</v>
      </c>
      <c r="E54" s="65" t="s">
        <v>263</v>
      </c>
      <c r="F54" s="28" t="n">
        <v>34229.324</v>
      </c>
      <c r="G54" s="28" t="n">
        <v>72377.466</v>
      </c>
      <c r="H54" s="64" t="n">
        <v>340937033.576</v>
      </c>
      <c r="I54" s="23" t="n">
        <v>2.065</v>
      </c>
      <c r="J54" s="11"/>
      <c r="K54" s="33" t="str">
        <f aca="false">IF(ISNUMBER(J54),"Yes","Not settled")</f>
        <v>Not settled</v>
      </c>
    </row>
    <row r="55" customFormat="false" ht="15" hidden="false" customHeight="false" outlineLevel="0" collapsed="false">
      <c r="A55" s="5" t="s">
        <v>211</v>
      </c>
      <c r="B55" s="11" t="s">
        <v>300</v>
      </c>
      <c r="C55" s="65" t="n">
        <v>3</v>
      </c>
      <c r="D55" s="28" t="n">
        <v>80009.413</v>
      </c>
      <c r="E55" s="65" t="s">
        <v>264</v>
      </c>
      <c r="F55" s="28" t="n">
        <v>42340.799</v>
      </c>
      <c r="G55" s="28" t="n">
        <v>91920.78</v>
      </c>
      <c r="H55" s="64" t="n">
        <v>422935011.674</v>
      </c>
      <c r="I55" s="23" t="n">
        <v>2.49</v>
      </c>
      <c r="J55" s="11"/>
      <c r="K55" s="33" t="str">
        <f aca="false">IF(ISNUMBER(J55),"Yes","Not settled")</f>
        <v>Not settled</v>
      </c>
    </row>
    <row r="56" customFormat="false" ht="15" hidden="false" customHeight="false" outlineLevel="0" collapsed="false">
      <c r="A56" s="5" t="s">
        <v>211</v>
      </c>
      <c r="B56" s="11" t="s">
        <v>300</v>
      </c>
      <c r="C56" s="65" t="n">
        <v>4</v>
      </c>
      <c r="D56" s="28" t="n">
        <v>100011.766</v>
      </c>
      <c r="E56" s="65" t="s">
        <v>265</v>
      </c>
      <c r="F56" s="28" t="n">
        <v>119283.351</v>
      </c>
      <c r="G56" s="28" t="n">
        <v>252780.339</v>
      </c>
      <c r="H56" s="64" t="n">
        <v>4172332422.445</v>
      </c>
      <c r="I56" s="23" t="n">
        <v>2.04</v>
      </c>
      <c r="J56" s="11"/>
      <c r="K56" s="33" t="str">
        <f aca="false">IF(ISNUMBER(J56),"Yes","Not settled")</f>
        <v>Not settled</v>
      </c>
    </row>
    <row r="57" customFormat="false" ht="15" hidden="false" customHeight="false" outlineLevel="0" collapsed="false">
      <c r="A57" s="5" t="s">
        <v>213</v>
      </c>
      <c r="B57" s="11" t="s">
        <v>300</v>
      </c>
      <c r="C57" s="65" t="n">
        <v>1</v>
      </c>
      <c r="D57" s="28" t="n">
        <v>0</v>
      </c>
      <c r="E57" s="65" t="s">
        <v>262</v>
      </c>
      <c r="F57" s="28" t="n">
        <v>102803.046</v>
      </c>
      <c r="G57" s="28" t="n">
        <v>194540.866</v>
      </c>
      <c r="H57" s="64" t="n">
        <v>2895681679.575</v>
      </c>
      <c r="I57" s="23" t="n">
        <v>0</v>
      </c>
      <c r="J57" s="11"/>
      <c r="K57" s="33" t="str">
        <f aca="false">IF(ISNUMBER(J57),"Yes","Not settled")</f>
        <v>Not settled</v>
      </c>
    </row>
    <row r="58" customFormat="false" ht="15" hidden="false" customHeight="false" outlineLevel="0" collapsed="false">
      <c r="A58" s="5" t="s">
        <v>213</v>
      </c>
      <c r="B58" s="11" t="s">
        <v>300</v>
      </c>
      <c r="C58" s="65" t="n">
        <v>2</v>
      </c>
      <c r="D58" s="28" t="n">
        <v>60007.06</v>
      </c>
      <c r="E58" s="65" t="s">
        <v>263</v>
      </c>
      <c r="F58" s="28" t="n">
        <v>25560.377</v>
      </c>
      <c r="G58" s="28" t="n">
        <v>43526.833</v>
      </c>
      <c r="H58" s="64" t="n">
        <v>241957523.309</v>
      </c>
      <c r="I58" s="23" t="n">
        <v>2.417</v>
      </c>
      <c r="J58" s="11"/>
      <c r="K58" s="33" t="str">
        <f aca="false">IF(ISNUMBER(J58),"Yes","Not settled")</f>
        <v>Not settled</v>
      </c>
    </row>
    <row r="59" customFormat="false" ht="15" hidden="false" customHeight="false" outlineLevel="0" collapsed="false">
      <c r="A59" s="5" t="s">
        <v>213</v>
      </c>
      <c r="B59" s="11" t="s">
        <v>300</v>
      </c>
      <c r="C59" s="65" t="n">
        <v>3</v>
      </c>
      <c r="D59" s="28" t="n">
        <v>80009.413</v>
      </c>
      <c r="E59" s="65" t="s">
        <v>264</v>
      </c>
      <c r="F59" s="28" t="n">
        <v>31370.339</v>
      </c>
      <c r="G59" s="28" t="n">
        <v>52324.247</v>
      </c>
      <c r="H59" s="64" t="n">
        <v>313412588.351</v>
      </c>
      <c r="I59" s="23" t="n">
        <v>1.949</v>
      </c>
      <c r="J59" s="11"/>
      <c r="K59" s="33" t="str">
        <f aca="false">IF(ISNUMBER(J59),"Yes","Not settled")</f>
        <v>Not settled</v>
      </c>
    </row>
    <row r="60" customFormat="false" ht="15" hidden="false" customHeight="false" outlineLevel="0" collapsed="false">
      <c r="A60" s="5" t="s">
        <v>213</v>
      </c>
      <c r="B60" s="11" t="s">
        <v>300</v>
      </c>
      <c r="C60" s="65" t="n">
        <v>4</v>
      </c>
      <c r="D60" s="28" t="n">
        <v>100011.766</v>
      </c>
      <c r="E60" s="65" t="s">
        <v>265</v>
      </c>
      <c r="F60" s="28" t="n">
        <v>77482.351</v>
      </c>
      <c r="G60" s="28" t="n">
        <v>117608.981</v>
      </c>
      <c r="H60" s="64" t="n">
        <v>2640697921.379</v>
      </c>
      <c r="I60" s="23" t="n">
        <v>2.419</v>
      </c>
      <c r="J60" s="11"/>
      <c r="K60" s="33" t="str">
        <f aca="false">IF(ISNUMBER(J60),"Yes","Not settled")</f>
        <v>Not settled</v>
      </c>
    </row>
    <row r="61" customFormat="false" ht="15" hidden="false" customHeight="false" outlineLevel="0" collapsed="false">
      <c r="A61" s="5" t="s">
        <v>215</v>
      </c>
      <c r="B61" s="11" t="s">
        <v>300</v>
      </c>
      <c r="C61" s="65" t="n">
        <v>1</v>
      </c>
      <c r="D61" s="28" t="n">
        <v>0</v>
      </c>
      <c r="E61" s="65" t="s">
        <v>262</v>
      </c>
      <c r="F61" s="28" t="n">
        <v>36973.799</v>
      </c>
      <c r="G61" s="28" t="n">
        <v>98422.53</v>
      </c>
      <c r="H61" s="64" t="n">
        <v>418782993.894</v>
      </c>
      <c r="I61" s="23" t="n">
        <v>0</v>
      </c>
      <c r="J61" s="28" t="n">
        <v>27423.226</v>
      </c>
      <c r="K61" s="33" t="str">
        <f aca="false">IF(ISNUMBER(J61),"Yes","Not settled")</f>
        <v>Yes</v>
      </c>
    </row>
    <row r="62" customFormat="false" ht="15" hidden="false" customHeight="false" outlineLevel="0" collapsed="false">
      <c r="A62" s="5" t="s">
        <v>215</v>
      </c>
      <c r="B62" s="11" t="s">
        <v>300</v>
      </c>
      <c r="C62" s="65" t="n">
        <v>2</v>
      </c>
      <c r="D62" s="28" t="n">
        <v>60007.06</v>
      </c>
      <c r="E62" s="65" t="s">
        <v>263</v>
      </c>
      <c r="F62" s="28" t="n">
        <v>19956.705</v>
      </c>
      <c r="G62" s="28" t="n">
        <v>61382.663</v>
      </c>
      <c r="H62" s="64" t="n">
        <v>164838013.245</v>
      </c>
      <c r="I62" s="23" t="n">
        <v>2.134</v>
      </c>
      <c r="J62" s="28" t="n">
        <v>13201.553</v>
      </c>
      <c r="K62" s="33" t="str">
        <f aca="false">IF(ISNUMBER(J62),"Yes","Not settled")</f>
        <v>Yes</v>
      </c>
    </row>
    <row r="63" customFormat="false" ht="15" hidden="false" customHeight="false" outlineLevel="0" collapsed="false">
      <c r="A63" s="5" t="s">
        <v>215</v>
      </c>
      <c r="B63" s="11" t="s">
        <v>300</v>
      </c>
      <c r="C63" s="65" t="n">
        <v>3</v>
      </c>
      <c r="D63" s="28" t="n">
        <v>80009.413</v>
      </c>
      <c r="E63" s="65" t="s">
        <v>264</v>
      </c>
      <c r="F63" s="28" t="n">
        <v>825.09</v>
      </c>
      <c r="G63" s="28" t="n">
        <v>396.26</v>
      </c>
      <c r="H63" s="64" t="n">
        <v>799659.523</v>
      </c>
      <c r="I63" s="23" t="n">
        <v>0.32</v>
      </c>
      <c r="J63" s="28" t="n">
        <v>460.054</v>
      </c>
      <c r="K63" s="33" t="str">
        <f aca="false">IF(ISNUMBER(J63),"Yes","Not settled")</f>
        <v>Yes</v>
      </c>
    </row>
    <row r="64" customFormat="false" ht="15" hidden="false" customHeight="false" outlineLevel="0" collapsed="false">
      <c r="A64" s="5" t="s">
        <v>215</v>
      </c>
      <c r="B64" s="11" t="s">
        <v>300</v>
      </c>
      <c r="C64" s="65" t="n">
        <v>4</v>
      </c>
      <c r="D64" s="28" t="n">
        <v>100011.766</v>
      </c>
      <c r="E64" s="65" t="s">
        <v>265</v>
      </c>
      <c r="F64" s="28" t="n">
        <v>15960.993</v>
      </c>
      <c r="G64" s="28" t="n">
        <v>33242.642</v>
      </c>
      <c r="H64" s="64" t="n">
        <v>362719219.809</v>
      </c>
      <c r="I64" s="23" t="n">
        <v>2.522</v>
      </c>
      <c r="J64" s="28" t="n">
        <v>27343.217</v>
      </c>
      <c r="K64" s="33" t="str">
        <f aca="false">IF(ISNUMBER(J64),"Yes","Not settled")</f>
        <v>Yes</v>
      </c>
    </row>
    <row r="65" customFormat="false" ht="15" hidden="false" customHeight="false" outlineLevel="0" collapsed="false">
      <c r="A65" s="5" t="s">
        <v>217</v>
      </c>
      <c r="B65" s="11" t="s">
        <v>300</v>
      </c>
      <c r="C65" s="65" t="n">
        <v>1</v>
      </c>
      <c r="D65" s="28" t="n">
        <v>0</v>
      </c>
      <c r="E65" s="65" t="s">
        <v>262</v>
      </c>
      <c r="F65" s="28" t="n">
        <v>85823.05</v>
      </c>
      <c r="G65" s="28" t="n">
        <v>139007.793</v>
      </c>
      <c r="H65" s="64" t="n">
        <v>2421655912.391</v>
      </c>
      <c r="I65" s="23" t="n">
        <v>0</v>
      </c>
      <c r="J65" s="11"/>
      <c r="K65" s="33" t="str">
        <f aca="false">IF(ISNUMBER(J65),"Yes","Not settled")</f>
        <v>Not settled</v>
      </c>
    </row>
    <row r="66" customFormat="false" ht="15" hidden="false" customHeight="false" outlineLevel="0" collapsed="false">
      <c r="A66" s="5" t="s">
        <v>217</v>
      </c>
      <c r="B66" s="11" t="s">
        <v>300</v>
      </c>
      <c r="C66" s="65" t="n">
        <v>2</v>
      </c>
      <c r="D66" s="28" t="n">
        <v>60007.06</v>
      </c>
      <c r="E66" s="65" t="s">
        <v>263</v>
      </c>
      <c r="F66" s="28" t="n">
        <v>16401.444</v>
      </c>
      <c r="G66" s="28" t="n">
        <v>23499.909</v>
      </c>
      <c r="H66" s="64" t="n">
        <v>145623021.534</v>
      </c>
      <c r="I66" s="23" t="n">
        <v>2.276</v>
      </c>
      <c r="J66" s="11"/>
      <c r="K66" s="33" t="str">
        <f aca="false">IF(ISNUMBER(J66),"Yes","Not settled")</f>
        <v>Not settled</v>
      </c>
    </row>
    <row r="67" customFormat="false" ht="15" hidden="false" customHeight="false" outlineLevel="0" collapsed="false">
      <c r="A67" s="5" t="s">
        <v>217</v>
      </c>
      <c r="B67" s="11" t="s">
        <v>300</v>
      </c>
      <c r="C67" s="65" t="n">
        <v>3</v>
      </c>
      <c r="D67" s="28" t="n">
        <v>80009.413</v>
      </c>
      <c r="E67" s="65" t="s">
        <v>264</v>
      </c>
      <c r="F67" s="28" t="n">
        <v>26417.74</v>
      </c>
      <c r="G67" s="28" t="n">
        <v>37642.438</v>
      </c>
      <c r="H67" s="64" t="n">
        <v>265060502.486</v>
      </c>
      <c r="I67" s="23" t="n">
        <v>1.666</v>
      </c>
      <c r="J67" s="11"/>
      <c r="K67" s="33" t="str">
        <f aca="false">IF(ISNUMBER(J67),"Yes","Not settled")</f>
        <v>Not settled</v>
      </c>
    </row>
    <row r="68" customFormat="false" ht="15" hidden="false" customHeight="false" outlineLevel="0" collapsed="false">
      <c r="A68" s="5" t="s">
        <v>217</v>
      </c>
      <c r="B68" s="11" t="s">
        <v>300</v>
      </c>
      <c r="C68" s="65" t="n">
        <v>4</v>
      </c>
      <c r="D68" s="28" t="n">
        <v>100011.766</v>
      </c>
      <c r="E68" s="65" t="s">
        <v>265</v>
      </c>
      <c r="F68" s="28" t="n">
        <v>16697.986</v>
      </c>
      <c r="G68" s="28" t="n">
        <v>21325.842</v>
      </c>
      <c r="H68" s="64" t="n">
        <v>294618805.529</v>
      </c>
      <c r="I68" s="23" t="n">
        <v>2.27</v>
      </c>
      <c r="J68" s="28" t="n">
        <v>32163.784</v>
      </c>
      <c r="K68" s="33" t="str">
        <f aca="false">IF(ISNUMBER(J68),"Yes","Not settled")</f>
        <v>Yes</v>
      </c>
    </row>
    <row r="69" customFormat="false" ht="15" hidden="false" customHeight="false" outlineLevel="0" collapsed="false">
      <c r="A69" s="5" t="s">
        <v>211</v>
      </c>
      <c r="B69" s="11" t="s">
        <v>301</v>
      </c>
      <c r="C69" s="65" t="n">
        <v>1</v>
      </c>
      <c r="D69" s="28" t="n">
        <v>0</v>
      </c>
      <c r="E69" s="65" t="s">
        <v>262</v>
      </c>
      <c r="F69" s="28" t="n">
        <v>122739.142</v>
      </c>
      <c r="G69" s="28" t="n">
        <v>259026.718</v>
      </c>
      <c r="H69" s="64" t="n">
        <v>3651232379.424</v>
      </c>
      <c r="I69" s="23" t="n">
        <v>0</v>
      </c>
      <c r="J69" s="11"/>
      <c r="K69" s="33" t="str">
        <f aca="false">IF(ISNUMBER(J69),"Yes","Not settled")</f>
        <v>Not settled</v>
      </c>
    </row>
    <row r="70" customFormat="false" ht="15" hidden="false" customHeight="false" outlineLevel="0" collapsed="false">
      <c r="A70" s="5" t="s">
        <v>211</v>
      </c>
      <c r="B70" s="11" t="s">
        <v>301</v>
      </c>
      <c r="C70" s="65" t="n">
        <v>2</v>
      </c>
      <c r="D70" s="28" t="n">
        <v>60007.06</v>
      </c>
      <c r="E70" s="65" t="s">
        <v>263</v>
      </c>
      <c r="F70" s="28" t="n">
        <v>32297.969</v>
      </c>
      <c r="G70" s="28" t="n">
        <v>64669.291</v>
      </c>
      <c r="H70" s="64" t="n">
        <v>322357531.698</v>
      </c>
      <c r="I70" s="23" t="n">
        <v>1.989</v>
      </c>
      <c r="J70" s="11"/>
      <c r="K70" s="33" t="str">
        <f aca="false">IF(ISNUMBER(J70),"Yes","Not settled")</f>
        <v>Not settled</v>
      </c>
    </row>
    <row r="71" customFormat="false" ht="15" hidden="false" customHeight="false" outlineLevel="0" collapsed="false">
      <c r="A71" s="5" t="s">
        <v>211</v>
      </c>
      <c r="B71" s="11" t="s">
        <v>301</v>
      </c>
      <c r="C71" s="65" t="n">
        <v>3</v>
      </c>
      <c r="D71" s="28" t="n">
        <v>80009.413</v>
      </c>
      <c r="E71" s="65" t="s">
        <v>264</v>
      </c>
      <c r="F71" s="28" t="n">
        <v>40598.927</v>
      </c>
      <c r="G71" s="28" t="n">
        <v>84697.154</v>
      </c>
      <c r="H71" s="64" t="n">
        <v>405068555.009</v>
      </c>
      <c r="I71" s="23" t="n">
        <v>2.399</v>
      </c>
      <c r="J71" s="11"/>
      <c r="K71" s="33" t="str">
        <f aca="false">IF(ISNUMBER(J71),"Yes","Not settled")</f>
        <v>Not settled</v>
      </c>
    </row>
    <row r="72" customFormat="false" ht="15" hidden="false" customHeight="false" outlineLevel="0" collapsed="false">
      <c r="A72" s="5" t="s">
        <v>211</v>
      </c>
      <c r="B72" s="11" t="s">
        <v>301</v>
      </c>
      <c r="C72" s="65" t="n">
        <v>4</v>
      </c>
      <c r="D72" s="28" t="n">
        <v>100011.766</v>
      </c>
      <c r="E72" s="65" t="s">
        <v>265</v>
      </c>
      <c r="F72" s="28" t="n">
        <v>112643.391</v>
      </c>
      <c r="G72" s="28" t="n">
        <v>226198.173</v>
      </c>
      <c r="H72" s="64" t="n">
        <v>3931614806.239</v>
      </c>
      <c r="I72" s="23" t="n">
        <v>2.132</v>
      </c>
      <c r="J72" s="11"/>
      <c r="K72" s="33" t="str">
        <f aca="false">IF(ISNUMBER(J72),"Yes","Not settled")</f>
        <v>Not settled</v>
      </c>
    </row>
    <row r="73" customFormat="false" ht="15" hidden="false" customHeight="false" outlineLevel="0" collapsed="false">
      <c r="A73" s="5" t="s">
        <v>213</v>
      </c>
      <c r="B73" s="11" t="s">
        <v>301</v>
      </c>
      <c r="C73" s="65" t="n">
        <v>1</v>
      </c>
      <c r="D73" s="28" t="n">
        <v>0</v>
      </c>
      <c r="E73" s="65" t="s">
        <v>262</v>
      </c>
      <c r="F73" s="28" t="n">
        <v>98546.262</v>
      </c>
      <c r="G73" s="28" t="n">
        <v>183594.676</v>
      </c>
      <c r="H73" s="64" t="n">
        <v>2726831154.923</v>
      </c>
      <c r="I73" s="23" t="n">
        <v>0</v>
      </c>
      <c r="J73" s="11"/>
      <c r="K73" s="33" t="str">
        <f aca="false">IF(ISNUMBER(J73),"Yes","Not settled")</f>
        <v>Not settled</v>
      </c>
    </row>
    <row r="74" customFormat="false" ht="15" hidden="false" customHeight="false" outlineLevel="0" collapsed="false">
      <c r="A74" s="5" t="s">
        <v>213</v>
      </c>
      <c r="B74" s="11" t="s">
        <v>301</v>
      </c>
      <c r="C74" s="65" t="n">
        <v>2</v>
      </c>
      <c r="D74" s="28" t="n">
        <v>60007.06</v>
      </c>
      <c r="E74" s="65" t="s">
        <v>263</v>
      </c>
      <c r="F74" s="28" t="n">
        <v>23435.01</v>
      </c>
      <c r="G74" s="28" t="n">
        <v>37851.769</v>
      </c>
      <c r="H74" s="64" t="n">
        <v>219129335.504</v>
      </c>
      <c r="I74" s="23" t="n">
        <v>2.367</v>
      </c>
      <c r="J74" s="11"/>
      <c r="K74" s="33" t="str">
        <f aca="false">IF(ISNUMBER(J74),"Yes","Not settled")</f>
        <v>Not settled</v>
      </c>
    </row>
    <row r="75" customFormat="false" ht="15" hidden="false" customHeight="false" outlineLevel="0" collapsed="false">
      <c r="A75" s="5" t="s">
        <v>213</v>
      </c>
      <c r="B75" s="11" t="s">
        <v>301</v>
      </c>
      <c r="C75" s="65" t="n">
        <v>3</v>
      </c>
      <c r="D75" s="28" t="n">
        <v>80009.413</v>
      </c>
      <c r="E75" s="65" t="s">
        <v>264</v>
      </c>
      <c r="F75" s="28" t="n">
        <v>29639.996</v>
      </c>
      <c r="G75" s="28" t="n">
        <v>46947.266</v>
      </c>
      <c r="H75" s="64" t="n">
        <v>296033087.498</v>
      </c>
      <c r="I75" s="23" t="n">
        <v>1.852</v>
      </c>
      <c r="J75" s="11"/>
      <c r="K75" s="33" t="str">
        <f aca="false">IF(ISNUMBER(J75),"Yes","Not settled")</f>
        <v>Not settled</v>
      </c>
    </row>
    <row r="76" customFormat="false" ht="15" hidden="false" customHeight="false" outlineLevel="0" collapsed="false">
      <c r="A76" s="5" t="s">
        <v>213</v>
      </c>
      <c r="B76" s="11" t="s">
        <v>301</v>
      </c>
      <c r="C76" s="65" t="n">
        <v>4</v>
      </c>
      <c r="D76" s="28" t="n">
        <v>100011.766</v>
      </c>
      <c r="E76" s="65" t="s">
        <v>265</v>
      </c>
      <c r="F76" s="28" t="n">
        <v>67751.775</v>
      </c>
      <c r="G76" s="28" t="n">
        <v>92720.533</v>
      </c>
      <c r="H76" s="64" t="n">
        <v>2295398233.396</v>
      </c>
      <c r="I76" s="23" t="n">
        <v>2.37</v>
      </c>
      <c r="J76" s="11"/>
      <c r="K76" s="33" t="str">
        <f aca="false">IF(ISNUMBER(J76),"Yes","Not settled")</f>
        <v>Not settled</v>
      </c>
    </row>
    <row r="77" customFormat="false" ht="15" hidden="false" customHeight="false" outlineLevel="0" collapsed="false">
      <c r="A77" s="5" t="s">
        <v>215</v>
      </c>
      <c r="B77" s="11" t="s">
        <v>301</v>
      </c>
      <c r="C77" s="65" t="n">
        <v>1</v>
      </c>
      <c r="D77" s="28" t="n">
        <v>0</v>
      </c>
      <c r="E77" s="65" t="s">
        <v>262</v>
      </c>
      <c r="F77" s="28" t="n">
        <v>39215.351</v>
      </c>
      <c r="G77" s="28" t="n">
        <v>104996.185</v>
      </c>
      <c r="H77" s="64" t="n">
        <v>442166994.363</v>
      </c>
      <c r="I77" s="23" t="n">
        <v>0</v>
      </c>
      <c r="J77" s="28" t="n">
        <v>27623.25</v>
      </c>
      <c r="K77" s="33" t="str">
        <f aca="false">IF(ISNUMBER(J77),"Yes","Not settled")</f>
        <v>Yes</v>
      </c>
    </row>
    <row r="78" customFormat="false" ht="15" hidden="false" customHeight="false" outlineLevel="0" collapsed="false">
      <c r="A78" s="5" t="s">
        <v>215</v>
      </c>
      <c r="B78" s="11" t="s">
        <v>301</v>
      </c>
      <c r="C78" s="65" t="n">
        <v>2</v>
      </c>
      <c r="D78" s="28" t="n">
        <v>60007.06</v>
      </c>
      <c r="E78" s="65" t="s">
        <v>263</v>
      </c>
      <c r="F78" s="28" t="n">
        <v>19337.057</v>
      </c>
      <c r="G78" s="28" t="n">
        <v>57997.621</v>
      </c>
      <c r="H78" s="64" t="n">
        <v>158961227.255</v>
      </c>
      <c r="I78" s="23" t="n">
        <v>2.1</v>
      </c>
      <c r="J78" s="28" t="n">
        <v>11981.41</v>
      </c>
      <c r="K78" s="33" t="str">
        <f aca="false">IF(ISNUMBER(J78),"Yes","Not settled")</f>
        <v>Yes</v>
      </c>
    </row>
    <row r="79" customFormat="false" ht="15" hidden="false" customHeight="false" outlineLevel="0" collapsed="false">
      <c r="A79" s="5" t="s">
        <v>215</v>
      </c>
      <c r="B79" s="11" t="s">
        <v>301</v>
      </c>
      <c r="C79" s="65" t="n">
        <v>3</v>
      </c>
      <c r="D79" s="28" t="n">
        <v>80009.413</v>
      </c>
      <c r="E79" s="65" t="s">
        <v>264</v>
      </c>
      <c r="F79" s="28" t="n">
        <v>840.825</v>
      </c>
      <c r="G79" s="28" t="n">
        <v>417.553</v>
      </c>
      <c r="H79" s="64" t="n">
        <v>816878.657</v>
      </c>
      <c r="I79" s="23" t="n">
        <v>0.28</v>
      </c>
      <c r="J79" s="28" t="n">
        <v>540.064</v>
      </c>
      <c r="K79" s="33" t="str">
        <f aca="false">IF(ISNUMBER(J79),"Yes","Not settled")</f>
        <v>Yes</v>
      </c>
    </row>
    <row r="80" customFormat="false" ht="15" hidden="false" customHeight="false" outlineLevel="0" collapsed="false">
      <c r="A80" s="5" t="s">
        <v>215</v>
      </c>
      <c r="B80" s="11" t="s">
        <v>301</v>
      </c>
      <c r="C80" s="65" t="n">
        <v>4</v>
      </c>
      <c r="D80" s="28" t="n">
        <v>100011.766</v>
      </c>
      <c r="E80" s="65" t="s">
        <v>265</v>
      </c>
      <c r="F80" s="28" t="n">
        <v>16096.184</v>
      </c>
      <c r="G80" s="28" t="n">
        <v>32351.428</v>
      </c>
      <c r="H80" s="64" t="n">
        <v>364566592.415</v>
      </c>
      <c r="I80" s="23" t="n">
        <v>2.47</v>
      </c>
      <c r="J80" s="28" t="n">
        <v>27963.29</v>
      </c>
      <c r="K80" s="33" t="str">
        <f aca="false">IF(ISNUMBER(J80),"Yes","Not settled")</f>
        <v>Yes</v>
      </c>
    </row>
    <row r="81" customFormat="false" ht="15" hidden="false" customHeight="false" outlineLevel="0" collapsed="false">
      <c r="A81" s="5" t="s">
        <v>217</v>
      </c>
      <c r="B81" s="11" t="s">
        <v>301</v>
      </c>
      <c r="C81" s="65" t="n">
        <v>1</v>
      </c>
      <c r="D81" s="28" t="n">
        <v>0</v>
      </c>
      <c r="E81" s="65" t="s">
        <v>262</v>
      </c>
      <c r="F81" s="28" t="n">
        <v>80921.625</v>
      </c>
      <c r="G81" s="28" t="n">
        <v>126687.508</v>
      </c>
      <c r="H81" s="64" t="n">
        <v>2252521307.877</v>
      </c>
      <c r="I81" s="23" t="n">
        <v>0</v>
      </c>
      <c r="J81" s="11"/>
      <c r="K81" s="33" t="str">
        <f aca="false">IF(ISNUMBER(J81),"Yes","Not settled")</f>
        <v>Not settled</v>
      </c>
    </row>
    <row r="82" customFormat="false" ht="15" hidden="false" customHeight="false" outlineLevel="0" collapsed="false">
      <c r="A82" s="5" t="s">
        <v>217</v>
      </c>
      <c r="B82" s="11" t="s">
        <v>301</v>
      </c>
      <c r="C82" s="65" t="n">
        <v>2</v>
      </c>
      <c r="D82" s="28" t="n">
        <v>60007.06</v>
      </c>
      <c r="E82" s="65" t="s">
        <v>263</v>
      </c>
      <c r="F82" s="28" t="n">
        <v>8960.829</v>
      </c>
      <c r="G82" s="28" t="n">
        <v>16570.942</v>
      </c>
      <c r="H82" s="64" t="n">
        <v>57922619.446</v>
      </c>
      <c r="I82" s="23" t="n">
        <v>2.225</v>
      </c>
      <c r="J82" s="28" t="n">
        <v>10161.195</v>
      </c>
      <c r="K82" s="33" t="str">
        <f aca="false">IF(ISNUMBER(J82),"Yes","Not settled")</f>
        <v>Yes</v>
      </c>
    </row>
    <row r="83" customFormat="false" ht="15" hidden="false" customHeight="false" outlineLevel="0" collapsed="false">
      <c r="A83" s="5" t="s">
        <v>217</v>
      </c>
      <c r="B83" s="11" t="s">
        <v>301</v>
      </c>
      <c r="C83" s="65" t="n">
        <v>3</v>
      </c>
      <c r="D83" s="28" t="n">
        <v>80009.413</v>
      </c>
      <c r="E83" s="65" t="s">
        <v>264</v>
      </c>
      <c r="F83" s="28" t="n">
        <v>24466.606</v>
      </c>
      <c r="G83" s="28" t="n">
        <v>32499.521</v>
      </c>
      <c r="H83" s="64" t="n">
        <v>245060478.324</v>
      </c>
      <c r="I83" s="23" t="n">
        <v>1.562</v>
      </c>
      <c r="J83" s="11"/>
      <c r="K83" s="33" t="str">
        <f aca="false">IF(ISNUMBER(J83),"Yes","Not settled")</f>
        <v>Not settled</v>
      </c>
    </row>
    <row r="84" customFormat="false" ht="15" hidden="false" customHeight="false" outlineLevel="0" collapsed="false">
      <c r="A84" s="5" t="s">
        <v>217</v>
      </c>
      <c r="B84" s="11" t="s">
        <v>301</v>
      </c>
      <c r="C84" s="65" t="n">
        <v>4</v>
      </c>
      <c r="D84" s="28" t="n">
        <v>100011.766</v>
      </c>
      <c r="E84" s="65" t="s">
        <v>265</v>
      </c>
      <c r="F84" s="28" t="n">
        <v>8865.99</v>
      </c>
      <c r="G84" s="28" t="n">
        <v>16192.071</v>
      </c>
      <c r="H84" s="64" t="n">
        <v>166885234.485</v>
      </c>
      <c r="I84" s="23" t="n">
        <v>2.22</v>
      </c>
      <c r="J84" s="28" t="n">
        <v>25062.949</v>
      </c>
      <c r="K84" s="33" t="str">
        <f aca="false">IF(ISNUMBER(J84),"Yes","Not settled")</f>
        <v>Yes</v>
      </c>
    </row>
    <row r="85" customFormat="false" ht="15" hidden="false" customHeight="false" outlineLevel="0" collapsed="false">
      <c r="A85" s="5" t="s">
        <v>211</v>
      </c>
      <c r="B85" s="11" t="s">
        <v>302</v>
      </c>
      <c r="C85" s="65" t="n">
        <v>1</v>
      </c>
      <c r="D85" s="28" t="n">
        <v>0</v>
      </c>
      <c r="E85" s="65" t="s">
        <v>262</v>
      </c>
      <c r="F85" s="28" t="n">
        <v>119312.338</v>
      </c>
      <c r="G85" s="28" t="n">
        <v>248761.001</v>
      </c>
      <c r="H85" s="64" t="n">
        <v>3479826663.773</v>
      </c>
      <c r="I85" s="23" t="n">
        <v>0</v>
      </c>
      <c r="J85" s="11"/>
      <c r="K85" s="33" t="str">
        <f aca="false">IF(ISNUMBER(J85),"Yes","Not settled")</f>
        <v>Not settled</v>
      </c>
    </row>
    <row r="86" customFormat="false" ht="15" hidden="false" customHeight="false" outlineLevel="0" collapsed="false">
      <c r="A86" s="5" t="s">
        <v>211</v>
      </c>
      <c r="B86" s="11" t="s">
        <v>302</v>
      </c>
      <c r="C86" s="65" t="n">
        <v>2</v>
      </c>
      <c r="D86" s="28" t="n">
        <v>60007.06</v>
      </c>
      <c r="E86" s="65" t="s">
        <v>263</v>
      </c>
      <c r="F86" s="28" t="n">
        <v>30905.468</v>
      </c>
      <c r="G86" s="28" t="n">
        <v>60093.232</v>
      </c>
      <c r="H86" s="64" t="n">
        <v>304621588.023</v>
      </c>
      <c r="I86" s="23" t="n">
        <v>2.165</v>
      </c>
      <c r="J86" s="28" t="n">
        <v>19982.351</v>
      </c>
      <c r="K86" s="33" t="str">
        <f aca="false">IF(ISNUMBER(J86),"Yes","Not settled")</f>
        <v>Yes</v>
      </c>
    </row>
    <row r="87" customFormat="false" ht="15" hidden="false" customHeight="false" outlineLevel="0" collapsed="false">
      <c r="A87" s="5" t="s">
        <v>211</v>
      </c>
      <c r="B87" s="11" t="s">
        <v>302</v>
      </c>
      <c r="C87" s="65" t="n">
        <v>3</v>
      </c>
      <c r="D87" s="28" t="n">
        <v>80009.413</v>
      </c>
      <c r="E87" s="65" t="s">
        <v>264</v>
      </c>
      <c r="F87" s="28" t="n">
        <v>38495.419</v>
      </c>
      <c r="G87" s="28" t="n">
        <v>76438.074</v>
      </c>
      <c r="H87" s="64" t="n">
        <v>385497332.112</v>
      </c>
      <c r="I87" s="23" t="n">
        <v>2.284</v>
      </c>
      <c r="J87" s="11"/>
      <c r="K87" s="33" t="str">
        <f aca="false">IF(ISNUMBER(J87),"Yes","Not settled")</f>
        <v>Not settled</v>
      </c>
    </row>
    <row r="88" customFormat="false" ht="15" hidden="false" customHeight="false" outlineLevel="0" collapsed="false">
      <c r="A88" s="5" t="s">
        <v>211</v>
      </c>
      <c r="B88" s="11" t="s">
        <v>302</v>
      </c>
      <c r="C88" s="65" t="n">
        <v>4</v>
      </c>
      <c r="D88" s="28" t="n">
        <v>100011.766</v>
      </c>
      <c r="E88" s="65" t="s">
        <v>265</v>
      </c>
      <c r="F88" s="28" t="n">
        <v>106188.064</v>
      </c>
      <c r="G88" s="28" t="n">
        <v>204869.727</v>
      </c>
      <c r="H88" s="64" t="n">
        <v>3705229328.372</v>
      </c>
      <c r="I88" s="23" t="n">
        <v>2.066</v>
      </c>
      <c r="J88" s="11"/>
      <c r="K88" s="33" t="str">
        <f aca="false">IF(ISNUMBER(J88),"Yes","Not settled")</f>
        <v>Not settled</v>
      </c>
    </row>
    <row r="89" customFormat="false" ht="15" hidden="false" customHeight="false" outlineLevel="0" collapsed="false">
      <c r="A89" s="5" t="s">
        <v>213</v>
      </c>
      <c r="B89" s="11" t="s">
        <v>302</v>
      </c>
      <c r="C89" s="65" t="n">
        <v>1</v>
      </c>
      <c r="D89" s="28" t="n">
        <v>0</v>
      </c>
      <c r="E89" s="65" t="s">
        <v>262</v>
      </c>
      <c r="F89" s="28" t="n">
        <v>103083.168</v>
      </c>
      <c r="G89" s="28" t="n">
        <v>221084.306</v>
      </c>
      <c r="H89" s="64" t="n">
        <v>2604119094.508</v>
      </c>
      <c r="I89" s="23" t="n">
        <v>0</v>
      </c>
      <c r="J89" s="11"/>
      <c r="K89" s="33" t="str">
        <f aca="false">IF(ISNUMBER(J89),"Yes","Not settled")</f>
        <v>Not settled</v>
      </c>
    </row>
    <row r="90" customFormat="false" ht="15" hidden="false" customHeight="false" outlineLevel="0" collapsed="false">
      <c r="A90" s="5" t="s">
        <v>213</v>
      </c>
      <c r="B90" s="11" t="s">
        <v>302</v>
      </c>
      <c r="C90" s="65" t="n">
        <v>2</v>
      </c>
      <c r="D90" s="28" t="n">
        <v>60007.06</v>
      </c>
      <c r="E90" s="65" t="s">
        <v>263</v>
      </c>
      <c r="F90" s="28" t="n">
        <v>21501.124</v>
      </c>
      <c r="G90" s="28" t="n">
        <v>34783.004</v>
      </c>
      <c r="H90" s="64" t="n">
        <v>197442299.093</v>
      </c>
      <c r="I90" s="23" t="n">
        <v>2.412</v>
      </c>
      <c r="J90" s="11"/>
      <c r="K90" s="33" t="str">
        <f aca="false">IF(ISNUMBER(J90),"Yes","Not settled")</f>
        <v>Not settled</v>
      </c>
    </row>
    <row r="91" customFormat="false" ht="15" hidden="false" customHeight="false" outlineLevel="0" collapsed="false">
      <c r="A91" s="5" t="s">
        <v>213</v>
      </c>
      <c r="B91" s="11" t="s">
        <v>302</v>
      </c>
      <c r="C91" s="65" t="n">
        <v>3</v>
      </c>
      <c r="D91" s="28" t="n">
        <v>80009.413</v>
      </c>
      <c r="E91" s="65" t="s">
        <v>264</v>
      </c>
      <c r="F91" s="28" t="n">
        <v>27693.246</v>
      </c>
      <c r="G91" s="28" t="n">
        <v>41181.08</v>
      </c>
      <c r="H91" s="64" t="n">
        <v>276687936.885</v>
      </c>
      <c r="I91" s="23" t="n">
        <v>1.751</v>
      </c>
      <c r="J91" s="11"/>
      <c r="K91" s="33" t="str">
        <f aca="false">IF(ISNUMBER(J91),"Yes","Not settled")</f>
        <v>Not settled</v>
      </c>
    </row>
    <row r="92" customFormat="false" ht="15" hidden="false" customHeight="false" outlineLevel="0" collapsed="false">
      <c r="A92" s="5" t="s">
        <v>213</v>
      </c>
      <c r="B92" s="11" t="s">
        <v>302</v>
      </c>
      <c r="C92" s="65" t="n">
        <v>4</v>
      </c>
      <c r="D92" s="28" t="n">
        <v>100011.766</v>
      </c>
      <c r="E92" s="65" t="s">
        <v>265</v>
      </c>
      <c r="F92" s="28" t="n">
        <v>54825.46</v>
      </c>
      <c r="G92" s="28" t="n">
        <v>66251.812</v>
      </c>
      <c r="H92" s="64" t="n">
        <v>1802337852.967</v>
      </c>
      <c r="I92" s="23" t="n">
        <v>2.418</v>
      </c>
      <c r="J92" s="11"/>
      <c r="K92" s="33" t="str">
        <f aca="false">IF(ISNUMBER(J92),"Yes","Not settled")</f>
        <v>Not settled</v>
      </c>
    </row>
    <row r="93" customFormat="false" ht="15" hidden="false" customHeight="false" outlineLevel="0" collapsed="false">
      <c r="A93" s="5" t="s">
        <v>215</v>
      </c>
      <c r="B93" s="11" t="s">
        <v>302</v>
      </c>
      <c r="C93" s="65" t="n">
        <v>1</v>
      </c>
      <c r="D93" s="28" t="n">
        <v>0</v>
      </c>
      <c r="E93" s="65" t="s">
        <v>262</v>
      </c>
      <c r="F93" s="28" t="n">
        <v>53690.91</v>
      </c>
      <c r="G93" s="28" t="n">
        <v>155848.738</v>
      </c>
      <c r="H93" s="64" t="n">
        <v>595070227.408</v>
      </c>
      <c r="I93" s="23" t="n">
        <v>0</v>
      </c>
      <c r="J93" s="28" t="n">
        <v>28843.393</v>
      </c>
      <c r="K93" s="33" t="str">
        <f aca="false">IF(ISNUMBER(J93),"Yes","Not settled")</f>
        <v>Yes</v>
      </c>
    </row>
    <row r="94" customFormat="false" ht="15" hidden="false" customHeight="false" outlineLevel="0" collapsed="false">
      <c r="A94" s="5" t="s">
        <v>215</v>
      </c>
      <c r="B94" s="11" t="s">
        <v>302</v>
      </c>
      <c r="C94" s="65" t="n">
        <v>2</v>
      </c>
      <c r="D94" s="28" t="n">
        <v>60007.06</v>
      </c>
      <c r="E94" s="65" t="s">
        <v>263</v>
      </c>
      <c r="F94" s="28" t="n">
        <v>22034.392</v>
      </c>
      <c r="G94" s="28" t="n">
        <v>65163.99</v>
      </c>
      <c r="H94" s="64" t="n">
        <v>192017919.716</v>
      </c>
      <c r="I94" s="23" t="n">
        <v>2.139</v>
      </c>
      <c r="J94" s="28" t="n">
        <v>13981.645</v>
      </c>
      <c r="K94" s="33" t="str">
        <f aca="false">IF(ISNUMBER(J94),"Yes","Not settled")</f>
        <v>Yes</v>
      </c>
    </row>
    <row r="95" customFormat="false" ht="15" hidden="false" customHeight="false" outlineLevel="0" collapsed="false">
      <c r="A95" s="5" t="s">
        <v>215</v>
      </c>
      <c r="B95" s="11" t="s">
        <v>302</v>
      </c>
      <c r="C95" s="65" t="n">
        <v>3</v>
      </c>
      <c r="D95" s="28" t="n">
        <v>80009.413</v>
      </c>
      <c r="E95" s="65" t="s">
        <v>264</v>
      </c>
      <c r="F95" s="28" t="n">
        <v>914.157</v>
      </c>
      <c r="G95" s="28" t="n">
        <v>462.087</v>
      </c>
      <c r="H95" s="64" t="n">
        <v>928175.448</v>
      </c>
      <c r="I95" s="23" t="n">
        <v>0.278</v>
      </c>
      <c r="J95" s="28" t="n">
        <v>600.071</v>
      </c>
      <c r="K95" s="33" t="str">
        <f aca="false">IF(ISNUMBER(J95),"Yes","Not settled")</f>
        <v>Yes</v>
      </c>
    </row>
    <row r="96" customFormat="false" ht="15" hidden="false" customHeight="false" outlineLevel="0" collapsed="false">
      <c r="A96" s="5" t="s">
        <v>215</v>
      </c>
      <c r="B96" s="11" t="s">
        <v>302</v>
      </c>
      <c r="C96" s="65" t="n">
        <v>4</v>
      </c>
      <c r="D96" s="28" t="n">
        <v>100011.766</v>
      </c>
      <c r="E96" s="65" t="s">
        <v>265</v>
      </c>
      <c r="F96" s="28" t="n">
        <v>18859.716</v>
      </c>
      <c r="G96" s="28" t="n">
        <v>38128.845</v>
      </c>
      <c r="H96" s="64" t="n">
        <v>441039793.993</v>
      </c>
      <c r="I96" s="23" t="n">
        <v>2.497</v>
      </c>
      <c r="J96" s="28" t="n">
        <v>28483.351</v>
      </c>
      <c r="K96" s="33" t="str">
        <f aca="false">IF(ISNUMBER(J96),"Yes","Not settled")</f>
        <v>Yes</v>
      </c>
    </row>
    <row r="97" customFormat="false" ht="15" hidden="false" customHeight="false" outlineLevel="0" collapsed="false">
      <c r="A97" s="5" t="s">
        <v>217</v>
      </c>
      <c r="B97" s="11" t="s">
        <v>302</v>
      </c>
      <c r="C97" s="65" t="n">
        <v>1</v>
      </c>
      <c r="D97" s="28" t="n">
        <v>0</v>
      </c>
      <c r="E97" s="65" t="s">
        <v>262</v>
      </c>
      <c r="F97" s="28" t="n">
        <v>81080.856</v>
      </c>
      <c r="G97" s="28" t="n">
        <v>139084.707</v>
      </c>
      <c r="H97" s="64" t="n">
        <v>2099698530.649</v>
      </c>
      <c r="I97" s="23" t="n">
        <v>0</v>
      </c>
      <c r="J97" s="11"/>
      <c r="K97" s="33" t="str">
        <f aca="false">IF(ISNUMBER(J97),"Yes","Not settled")</f>
        <v>Not settled</v>
      </c>
    </row>
    <row r="98" customFormat="false" ht="15" hidden="false" customHeight="false" outlineLevel="0" collapsed="false">
      <c r="A98" s="5" t="s">
        <v>217</v>
      </c>
      <c r="B98" s="11" t="s">
        <v>302</v>
      </c>
      <c r="C98" s="65" t="n">
        <v>2</v>
      </c>
      <c r="D98" s="28" t="n">
        <v>60007.06</v>
      </c>
      <c r="E98" s="65" t="s">
        <v>263</v>
      </c>
      <c r="F98" s="28" t="n">
        <v>9461.485</v>
      </c>
      <c r="G98" s="28" t="n">
        <v>19203.692</v>
      </c>
      <c r="H98" s="64" t="n">
        <v>61748362.791</v>
      </c>
      <c r="I98" s="23" t="n">
        <v>2.257</v>
      </c>
      <c r="J98" s="28" t="n">
        <v>10121.191</v>
      </c>
      <c r="K98" s="33" t="str">
        <f aca="false">IF(ISNUMBER(J98),"Yes","Not settled")</f>
        <v>Yes</v>
      </c>
    </row>
    <row r="99" customFormat="false" ht="15" hidden="false" customHeight="false" outlineLevel="0" collapsed="false">
      <c r="A99" s="5" t="s">
        <v>217</v>
      </c>
      <c r="B99" s="11" t="s">
        <v>302</v>
      </c>
      <c r="C99" s="65" t="n">
        <v>3</v>
      </c>
      <c r="D99" s="28" t="n">
        <v>80009.413</v>
      </c>
      <c r="E99" s="65" t="s">
        <v>264</v>
      </c>
      <c r="F99" s="28" t="n">
        <v>22562.545</v>
      </c>
      <c r="G99" s="28" t="n">
        <v>27502.85</v>
      </c>
      <c r="H99" s="64" t="n">
        <v>226187390.024</v>
      </c>
      <c r="I99" s="23" t="n">
        <v>1.445</v>
      </c>
      <c r="J99" s="11"/>
      <c r="K99" s="33" t="str">
        <f aca="false">IF(ISNUMBER(J99),"Yes","Not settled")</f>
        <v>Not settled</v>
      </c>
    </row>
    <row r="100" customFormat="false" ht="15" hidden="false" customHeight="false" outlineLevel="0" collapsed="false">
      <c r="A100" s="5" t="s">
        <v>217</v>
      </c>
      <c r="B100" s="11" t="s">
        <v>302</v>
      </c>
      <c r="C100" s="65" t="n">
        <v>4</v>
      </c>
      <c r="D100" s="28" t="n">
        <v>100011.766</v>
      </c>
      <c r="E100" s="65" t="s">
        <v>265</v>
      </c>
      <c r="F100" s="28" t="n">
        <v>9037.065</v>
      </c>
      <c r="G100" s="28" t="n">
        <v>18079.998</v>
      </c>
      <c r="H100" s="64" t="n">
        <v>181217244.928</v>
      </c>
      <c r="I100" s="23" t="n">
        <v>2.253</v>
      </c>
      <c r="J100" s="28" t="n">
        <v>25002.942</v>
      </c>
      <c r="K100" s="33" t="str">
        <f aca="false">IF(ISNUMBER(J100),"Yes","Not settled")</f>
        <v>Yes</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9CBF"/>
    <pageSetUpPr fitToPage="false"/>
  </sheetPr>
  <dimension ref="A1:J17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10" min="3" style="0" width="20"/>
  </cols>
  <sheetData>
    <row r="1" customFormat="false" ht="25.5" hidden="false" customHeight="true" outlineLevel="0" collapsed="false">
      <c r="A1" s="1" t="s">
        <v>311</v>
      </c>
      <c r="B1" s="1"/>
      <c r="C1" s="1"/>
      <c r="D1" s="1"/>
      <c r="E1" s="1"/>
      <c r="F1" s="1"/>
      <c r="G1" s="1"/>
      <c r="H1" s="1"/>
      <c r="I1" s="1"/>
      <c r="J1" s="1"/>
    </row>
    <row r="2" customFormat="false" ht="15.75" hidden="false" customHeight="true" outlineLevel="0" collapsed="false">
      <c r="A2" s="2" t="s">
        <v>312</v>
      </c>
      <c r="B2" s="2"/>
      <c r="C2" s="2"/>
      <c r="D2" s="2"/>
      <c r="E2" s="2"/>
      <c r="F2" s="2"/>
      <c r="G2" s="2"/>
      <c r="H2" s="2"/>
      <c r="I2" s="2"/>
      <c r="J2" s="2"/>
    </row>
    <row r="4" customFormat="false" ht="30" hidden="false" customHeight="true" outlineLevel="0" collapsed="false">
      <c r="A4" s="4" t="s">
        <v>108</v>
      </c>
      <c r="B4" s="4" t="s">
        <v>313</v>
      </c>
      <c r="C4" s="4" t="s">
        <v>314</v>
      </c>
      <c r="D4" s="4" t="s">
        <v>315</v>
      </c>
      <c r="E4" s="4" t="s">
        <v>316</v>
      </c>
      <c r="F4" s="4" t="s">
        <v>317</v>
      </c>
      <c r="G4" s="4" t="s">
        <v>318</v>
      </c>
      <c r="H4" s="4" t="s">
        <v>319</v>
      </c>
      <c r="I4" s="4" t="s">
        <v>320</v>
      </c>
      <c r="J4" s="4" t="s">
        <v>321</v>
      </c>
    </row>
    <row r="5" customFormat="false" ht="15" hidden="false" customHeight="false" outlineLevel="0" collapsed="false">
      <c r="A5" s="28" t="n">
        <v>0</v>
      </c>
      <c r="B5" s="29" t="n">
        <v>7</v>
      </c>
      <c r="C5" s="18" t="n">
        <v>7</v>
      </c>
      <c r="D5" s="18" t="n">
        <v>7</v>
      </c>
      <c r="E5" s="18" t="n">
        <v>7</v>
      </c>
      <c r="F5" s="18" t="n">
        <v>7</v>
      </c>
      <c r="G5" s="18" t="n">
        <v>5</v>
      </c>
      <c r="H5" s="18" t="n">
        <v>5</v>
      </c>
      <c r="I5" s="18" t="n">
        <v>5</v>
      </c>
      <c r="J5" s="18" t="n">
        <v>5</v>
      </c>
    </row>
    <row r="6" customFormat="false" ht="15" hidden="false" customHeight="false" outlineLevel="0" collapsed="false">
      <c r="A6" s="28" t="n">
        <v>100.011766090128</v>
      </c>
      <c r="B6" s="29" t="n">
        <v>7</v>
      </c>
      <c r="C6" s="18" t="n">
        <v>7</v>
      </c>
      <c r="D6" s="18" t="n">
        <v>7</v>
      </c>
      <c r="E6" s="18" t="n">
        <v>7</v>
      </c>
      <c r="F6" s="18" t="n">
        <v>7</v>
      </c>
      <c r="G6" s="18" t="n">
        <v>5</v>
      </c>
      <c r="H6" s="18" t="n">
        <v>5</v>
      </c>
      <c r="I6" s="18" t="n">
        <v>5</v>
      </c>
      <c r="J6" s="18" t="n">
        <v>5</v>
      </c>
    </row>
    <row r="7" customFormat="false" ht="15" hidden="false" customHeight="false" outlineLevel="0" collapsed="false">
      <c r="A7" s="28" t="n">
        <v>200.023532180257</v>
      </c>
      <c r="B7" s="29" t="n">
        <v>7</v>
      </c>
      <c r="C7" s="18" t="n">
        <v>7</v>
      </c>
      <c r="D7" s="18" t="n">
        <v>7</v>
      </c>
      <c r="E7" s="18" t="n">
        <v>7</v>
      </c>
      <c r="F7" s="18" t="n">
        <v>7</v>
      </c>
      <c r="G7" s="18" t="n">
        <v>5</v>
      </c>
      <c r="H7" s="18" t="n">
        <v>5</v>
      </c>
      <c r="I7" s="18" t="n">
        <v>5</v>
      </c>
      <c r="J7" s="18" t="n">
        <v>5</v>
      </c>
    </row>
    <row r="8" customFormat="false" ht="15" hidden="false" customHeight="false" outlineLevel="0" collapsed="false">
      <c r="A8" s="28" t="n">
        <v>300.035298270385</v>
      </c>
      <c r="B8" s="29" t="n">
        <v>7</v>
      </c>
      <c r="C8" s="18" t="n">
        <v>7</v>
      </c>
      <c r="D8" s="18" t="n">
        <v>7</v>
      </c>
      <c r="E8" s="18" t="n">
        <v>7</v>
      </c>
      <c r="F8" s="18" t="n">
        <v>7</v>
      </c>
      <c r="G8" s="18" t="n">
        <v>5</v>
      </c>
      <c r="H8" s="18" t="n">
        <v>5</v>
      </c>
      <c r="I8" s="18" t="n">
        <v>5</v>
      </c>
      <c r="J8" s="18" t="n">
        <v>5</v>
      </c>
    </row>
    <row r="9" customFormat="false" ht="15" hidden="false" customHeight="false" outlineLevel="0" collapsed="false">
      <c r="A9" s="28" t="n">
        <v>400.047064360513</v>
      </c>
      <c r="B9" s="29" t="n">
        <v>7</v>
      </c>
      <c r="C9" s="18" t="n">
        <v>7</v>
      </c>
      <c r="D9" s="18" t="n">
        <v>7</v>
      </c>
      <c r="E9" s="18" t="n">
        <v>7</v>
      </c>
      <c r="F9" s="18" t="n">
        <v>7</v>
      </c>
      <c r="G9" s="18" t="n">
        <v>5</v>
      </c>
      <c r="H9" s="18" t="n">
        <v>5</v>
      </c>
      <c r="I9" s="18" t="n">
        <v>5</v>
      </c>
      <c r="J9" s="18" t="n">
        <v>5</v>
      </c>
    </row>
    <row r="10" customFormat="false" ht="15" hidden="false" customHeight="false" outlineLevel="0" collapsed="false">
      <c r="A10" s="28" t="n">
        <v>500.058830450641</v>
      </c>
      <c r="B10" s="29" t="n">
        <v>7</v>
      </c>
      <c r="C10" s="18" t="n">
        <v>7</v>
      </c>
      <c r="D10" s="18" t="n">
        <v>7</v>
      </c>
      <c r="E10" s="18" t="n">
        <v>7</v>
      </c>
      <c r="F10" s="18" t="n">
        <v>7</v>
      </c>
      <c r="G10" s="18" t="n">
        <v>5</v>
      </c>
      <c r="H10" s="18" t="n">
        <v>5</v>
      </c>
      <c r="I10" s="18" t="n">
        <v>5</v>
      </c>
      <c r="J10" s="18" t="n">
        <v>5</v>
      </c>
    </row>
    <row r="11" customFormat="false" ht="15" hidden="false" customHeight="false" outlineLevel="0" collapsed="false">
      <c r="A11" s="28" t="n">
        <v>600.07059654077</v>
      </c>
      <c r="B11" s="29" t="n">
        <v>7</v>
      </c>
      <c r="C11" s="18" t="n">
        <v>7</v>
      </c>
      <c r="D11" s="18" t="n">
        <v>7</v>
      </c>
      <c r="E11" s="18" t="n">
        <v>7</v>
      </c>
      <c r="F11" s="18" t="n">
        <v>7</v>
      </c>
      <c r="G11" s="18" t="n">
        <v>5</v>
      </c>
      <c r="H11" s="18" t="n">
        <v>5</v>
      </c>
      <c r="I11" s="18" t="n">
        <v>5</v>
      </c>
      <c r="J11" s="18" t="n">
        <v>5</v>
      </c>
    </row>
    <row r="12" customFormat="false" ht="15" hidden="false" customHeight="false" outlineLevel="0" collapsed="false">
      <c r="A12" s="28" t="n">
        <v>700.082362630898</v>
      </c>
      <c r="B12" s="29" t="n">
        <v>7</v>
      </c>
      <c r="C12" s="18" t="n">
        <v>7</v>
      </c>
      <c r="D12" s="18" t="n">
        <v>7</v>
      </c>
      <c r="E12" s="18" t="n">
        <v>7</v>
      </c>
      <c r="F12" s="18" t="n">
        <v>7</v>
      </c>
      <c r="G12" s="18" t="n">
        <v>5</v>
      </c>
      <c r="H12" s="18" t="n">
        <v>5</v>
      </c>
      <c r="I12" s="18" t="n">
        <v>5</v>
      </c>
      <c r="J12" s="18" t="n">
        <v>5</v>
      </c>
    </row>
    <row r="13" customFormat="false" ht="15" hidden="false" customHeight="false" outlineLevel="0" collapsed="false">
      <c r="A13" s="28" t="n">
        <v>800.094128721026</v>
      </c>
      <c r="B13" s="29" t="n">
        <v>7</v>
      </c>
      <c r="C13" s="18" t="n">
        <v>7</v>
      </c>
      <c r="D13" s="18" t="n">
        <v>7</v>
      </c>
      <c r="E13" s="18" t="n">
        <v>7</v>
      </c>
      <c r="F13" s="18" t="n">
        <v>7</v>
      </c>
      <c r="G13" s="18" t="n">
        <v>5</v>
      </c>
      <c r="H13" s="18" t="n">
        <v>5</v>
      </c>
      <c r="I13" s="18" t="n">
        <v>5</v>
      </c>
      <c r="J13" s="18" t="n">
        <v>5</v>
      </c>
    </row>
    <row r="14" customFormat="false" ht="15" hidden="false" customHeight="false" outlineLevel="0" collapsed="false">
      <c r="A14" s="28" t="n">
        <v>900.105894811154</v>
      </c>
      <c r="B14" s="29" t="n">
        <v>7</v>
      </c>
      <c r="C14" s="18" t="n">
        <v>7</v>
      </c>
      <c r="D14" s="18" t="n">
        <v>7</v>
      </c>
      <c r="E14" s="18" t="n">
        <v>7</v>
      </c>
      <c r="F14" s="18" t="n">
        <v>7</v>
      </c>
      <c r="G14" s="18" t="n">
        <v>5</v>
      </c>
      <c r="H14" s="18" t="n">
        <v>5</v>
      </c>
      <c r="I14" s="18" t="n">
        <v>5</v>
      </c>
      <c r="J14" s="18" t="n">
        <v>5</v>
      </c>
    </row>
    <row r="15" customFormat="false" ht="15" hidden="false" customHeight="false" outlineLevel="0" collapsed="false">
      <c r="A15" s="28" t="n">
        <v>1000.11766090128</v>
      </c>
      <c r="B15" s="29" t="n">
        <v>7</v>
      </c>
      <c r="C15" s="18" t="n">
        <v>7</v>
      </c>
      <c r="D15" s="18" t="n">
        <v>7</v>
      </c>
      <c r="E15" s="18" t="n">
        <v>7</v>
      </c>
      <c r="F15" s="18" t="n">
        <v>7</v>
      </c>
      <c r="G15" s="18" t="n">
        <v>5</v>
      </c>
      <c r="H15" s="18" t="n">
        <v>5</v>
      </c>
      <c r="I15" s="18" t="n">
        <v>5</v>
      </c>
      <c r="J15" s="18" t="n">
        <v>5</v>
      </c>
    </row>
    <row r="16" customFormat="false" ht="15" hidden="false" customHeight="false" outlineLevel="0" collapsed="false">
      <c r="A16" s="28" t="n">
        <v>1100.12942699141</v>
      </c>
      <c r="B16" s="29" t="n">
        <v>7</v>
      </c>
      <c r="C16" s="18" t="n">
        <v>7</v>
      </c>
      <c r="D16" s="18" t="n">
        <v>7</v>
      </c>
      <c r="E16" s="18" t="n">
        <v>7</v>
      </c>
      <c r="F16" s="18" t="n">
        <v>7</v>
      </c>
      <c r="G16" s="18" t="n">
        <v>5</v>
      </c>
      <c r="H16" s="18" t="n">
        <v>5</v>
      </c>
      <c r="I16" s="18" t="n">
        <v>5</v>
      </c>
      <c r="J16" s="18" t="n">
        <v>5</v>
      </c>
    </row>
    <row r="17" customFormat="false" ht="15" hidden="false" customHeight="false" outlineLevel="0" collapsed="false">
      <c r="A17" s="28" t="n">
        <v>1200.14119308154</v>
      </c>
      <c r="B17" s="29" t="n">
        <v>7</v>
      </c>
      <c r="C17" s="18" t="n">
        <v>7</v>
      </c>
      <c r="D17" s="18" t="n">
        <v>7</v>
      </c>
      <c r="E17" s="18" t="n">
        <v>7</v>
      </c>
      <c r="F17" s="18" t="n">
        <v>7</v>
      </c>
      <c r="G17" s="18" t="n">
        <v>5</v>
      </c>
      <c r="H17" s="18" t="n">
        <v>5</v>
      </c>
      <c r="I17" s="18" t="n">
        <v>5</v>
      </c>
      <c r="J17" s="18" t="n">
        <v>5</v>
      </c>
    </row>
    <row r="18" customFormat="false" ht="15" hidden="false" customHeight="false" outlineLevel="0" collapsed="false">
      <c r="A18" s="28" t="n">
        <v>1300.15295917167</v>
      </c>
      <c r="B18" s="29" t="n">
        <v>7</v>
      </c>
      <c r="C18" s="18" t="n">
        <v>7</v>
      </c>
      <c r="D18" s="18" t="n">
        <v>7</v>
      </c>
      <c r="E18" s="18" t="n">
        <v>7</v>
      </c>
      <c r="F18" s="18" t="n">
        <v>7</v>
      </c>
      <c r="G18" s="18" t="n">
        <v>5</v>
      </c>
      <c r="H18" s="18" t="n">
        <v>5</v>
      </c>
      <c r="I18" s="18" t="n">
        <v>5</v>
      </c>
      <c r="J18" s="18" t="n">
        <v>5</v>
      </c>
    </row>
    <row r="19" customFormat="false" ht="15" hidden="false" customHeight="false" outlineLevel="0" collapsed="false">
      <c r="A19" s="28" t="n">
        <v>1400.1647252618</v>
      </c>
      <c r="B19" s="29" t="n">
        <v>7</v>
      </c>
      <c r="C19" s="18" t="n">
        <v>7</v>
      </c>
      <c r="D19" s="18" t="n">
        <v>7</v>
      </c>
      <c r="E19" s="18" t="n">
        <v>7</v>
      </c>
      <c r="F19" s="18" t="n">
        <v>7</v>
      </c>
      <c r="G19" s="18" t="n">
        <v>5</v>
      </c>
      <c r="H19" s="18" t="n">
        <v>5</v>
      </c>
      <c r="I19" s="18" t="n">
        <v>5</v>
      </c>
      <c r="J19" s="18" t="n">
        <v>5</v>
      </c>
    </row>
    <row r="20" customFormat="false" ht="15" hidden="false" customHeight="false" outlineLevel="0" collapsed="false">
      <c r="A20" s="28" t="n">
        <v>1500.17649135192</v>
      </c>
      <c r="B20" s="29" t="n">
        <v>7</v>
      </c>
      <c r="C20" s="18" t="n">
        <v>7</v>
      </c>
      <c r="D20" s="18" t="n">
        <v>7</v>
      </c>
      <c r="E20" s="18" t="n">
        <v>7</v>
      </c>
      <c r="F20" s="18" t="n">
        <v>7</v>
      </c>
      <c r="G20" s="18" t="n">
        <v>5</v>
      </c>
      <c r="H20" s="18" t="n">
        <v>5</v>
      </c>
      <c r="I20" s="18" t="n">
        <v>5</v>
      </c>
      <c r="J20" s="18" t="n">
        <v>5</v>
      </c>
    </row>
    <row r="21" customFormat="false" ht="15" hidden="false" customHeight="false" outlineLevel="0" collapsed="false">
      <c r="A21" s="28" t="n">
        <v>1600.18825744205</v>
      </c>
      <c r="B21" s="29" t="n">
        <v>7</v>
      </c>
      <c r="C21" s="18" t="n">
        <v>7</v>
      </c>
      <c r="D21" s="18" t="n">
        <v>7</v>
      </c>
      <c r="E21" s="18" t="n">
        <v>7</v>
      </c>
      <c r="F21" s="18" t="n">
        <v>7</v>
      </c>
      <c r="G21" s="18" t="n">
        <v>5</v>
      </c>
      <c r="H21" s="18" t="n">
        <v>5</v>
      </c>
      <c r="I21" s="18" t="n">
        <v>5</v>
      </c>
      <c r="J21" s="18" t="n">
        <v>5</v>
      </c>
    </row>
    <row r="22" customFormat="false" ht="15" hidden="false" customHeight="false" outlineLevel="0" collapsed="false">
      <c r="A22" s="28" t="n">
        <v>1700.20002353218</v>
      </c>
      <c r="B22" s="29" t="n">
        <v>7</v>
      </c>
      <c r="C22" s="18" t="n">
        <v>7</v>
      </c>
      <c r="D22" s="18" t="n">
        <v>7</v>
      </c>
      <c r="E22" s="18" t="n">
        <v>7</v>
      </c>
      <c r="F22" s="18" t="n">
        <v>7</v>
      </c>
      <c r="G22" s="18" t="n">
        <v>5</v>
      </c>
      <c r="H22" s="18" t="n">
        <v>5</v>
      </c>
      <c r="I22" s="18" t="n">
        <v>5</v>
      </c>
      <c r="J22" s="18" t="n">
        <v>5</v>
      </c>
    </row>
    <row r="23" customFormat="false" ht="15" hidden="false" customHeight="false" outlineLevel="0" collapsed="false">
      <c r="A23" s="28" t="n">
        <v>1800.21178962231</v>
      </c>
      <c r="B23" s="29" t="n">
        <v>7</v>
      </c>
      <c r="C23" s="18" t="n">
        <v>7</v>
      </c>
      <c r="D23" s="18" t="n">
        <v>7</v>
      </c>
      <c r="E23" s="18" t="n">
        <v>7</v>
      </c>
      <c r="F23" s="18" t="n">
        <v>7</v>
      </c>
      <c r="G23" s="18" t="n">
        <v>5</v>
      </c>
      <c r="H23" s="18" t="n">
        <v>5</v>
      </c>
      <c r="I23" s="18" t="n">
        <v>5</v>
      </c>
      <c r="J23" s="18" t="n">
        <v>5</v>
      </c>
    </row>
    <row r="24" customFormat="false" ht="15" hidden="false" customHeight="false" outlineLevel="0" collapsed="false">
      <c r="A24" s="28" t="n">
        <v>1900.22355571244</v>
      </c>
      <c r="B24" s="29" t="n">
        <v>7</v>
      </c>
      <c r="C24" s="18" t="n">
        <v>7</v>
      </c>
      <c r="D24" s="18" t="n">
        <v>7</v>
      </c>
      <c r="E24" s="18" t="n">
        <v>7</v>
      </c>
      <c r="F24" s="18" t="n">
        <v>7</v>
      </c>
      <c r="G24" s="18" t="n">
        <v>5</v>
      </c>
      <c r="H24" s="18" t="n">
        <v>5</v>
      </c>
      <c r="I24" s="18" t="n">
        <v>5</v>
      </c>
      <c r="J24" s="18" t="n">
        <v>5</v>
      </c>
    </row>
    <row r="25" customFormat="false" ht="15" hidden="false" customHeight="false" outlineLevel="0" collapsed="false">
      <c r="A25" s="28" t="n">
        <v>2000.23532180257</v>
      </c>
      <c r="B25" s="29" t="n">
        <v>7</v>
      </c>
      <c r="C25" s="18" t="n">
        <v>7</v>
      </c>
      <c r="D25" s="18" t="n">
        <v>7</v>
      </c>
      <c r="E25" s="18" t="n">
        <v>7</v>
      </c>
      <c r="F25" s="18" t="n">
        <v>7</v>
      </c>
      <c r="G25" s="18" t="n">
        <v>5</v>
      </c>
      <c r="H25" s="18" t="n">
        <v>5</v>
      </c>
      <c r="I25" s="18" t="n">
        <v>5</v>
      </c>
      <c r="J25" s="18" t="n">
        <v>5</v>
      </c>
    </row>
    <row r="26" customFormat="false" ht="15" hidden="false" customHeight="false" outlineLevel="0" collapsed="false">
      <c r="A26" s="28" t="n">
        <v>2100.24708789269</v>
      </c>
      <c r="B26" s="29" t="n">
        <v>7</v>
      </c>
      <c r="C26" s="18" t="n">
        <v>7</v>
      </c>
      <c r="D26" s="18" t="n">
        <v>7</v>
      </c>
      <c r="E26" s="18" t="n">
        <v>7</v>
      </c>
      <c r="F26" s="18" t="n">
        <v>7</v>
      </c>
      <c r="G26" s="18" t="n">
        <v>5</v>
      </c>
      <c r="H26" s="18" t="n">
        <v>5</v>
      </c>
      <c r="I26" s="18" t="n">
        <v>5</v>
      </c>
      <c r="J26" s="18" t="n">
        <v>5</v>
      </c>
    </row>
    <row r="27" customFormat="false" ht="15" hidden="false" customHeight="false" outlineLevel="0" collapsed="false">
      <c r="A27" s="28" t="n">
        <v>2200.25885398282</v>
      </c>
      <c r="B27" s="29" t="n">
        <v>7</v>
      </c>
      <c r="C27" s="18" t="n">
        <v>7</v>
      </c>
      <c r="D27" s="18" t="n">
        <v>7</v>
      </c>
      <c r="E27" s="18" t="n">
        <v>7</v>
      </c>
      <c r="F27" s="18" t="n">
        <v>7</v>
      </c>
      <c r="G27" s="18" t="n">
        <v>5</v>
      </c>
      <c r="H27" s="18" t="n">
        <v>5</v>
      </c>
      <c r="I27" s="18" t="n">
        <v>5</v>
      </c>
      <c r="J27" s="18" t="n">
        <v>5</v>
      </c>
    </row>
    <row r="28" customFormat="false" ht="15" hidden="false" customHeight="false" outlineLevel="0" collapsed="false">
      <c r="A28" s="28" t="n">
        <v>2300.27062007295</v>
      </c>
      <c r="B28" s="29" t="n">
        <v>7</v>
      </c>
      <c r="C28" s="18" t="n">
        <v>7</v>
      </c>
      <c r="D28" s="18" t="n">
        <v>7</v>
      </c>
      <c r="E28" s="18" t="n">
        <v>7</v>
      </c>
      <c r="F28" s="18" t="n">
        <v>7</v>
      </c>
      <c r="G28" s="18" t="n">
        <v>5</v>
      </c>
      <c r="H28" s="18" t="n">
        <v>5</v>
      </c>
      <c r="I28" s="18" t="n">
        <v>5</v>
      </c>
      <c r="J28" s="18" t="n">
        <v>5</v>
      </c>
    </row>
    <row r="29" customFormat="false" ht="15" hidden="false" customHeight="false" outlineLevel="0" collapsed="false">
      <c r="A29" s="28" t="n">
        <v>2400.28238616308</v>
      </c>
      <c r="B29" s="29" t="n">
        <v>7</v>
      </c>
      <c r="C29" s="18" t="n">
        <v>7</v>
      </c>
      <c r="D29" s="18" t="n">
        <v>7</v>
      </c>
      <c r="E29" s="18" t="n">
        <v>7</v>
      </c>
      <c r="F29" s="18" t="n">
        <v>7</v>
      </c>
      <c r="G29" s="18" t="n">
        <v>5</v>
      </c>
      <c r="H29" s="18" t="n">
        <v>5</v>
      </c>
      <c r="I29" s="18" t="n">
        <v>5</v>
      </c>
      <c r="J29" s="18" t="n">
        <v>5</v>
      </c>
    </row>
    <row r="30" customFormat="false" ht="15" hidden="false" customHeight="false" outlineLevel="0" collapsed="false">
      <c r="A30" s="28" t="n">
        <v>2500.29415225321</v>
      </c>
      <c r="B30" s="29" t="n">
        <v>7</v>
      </c>
      <c r="C30" s="18" t="n">
        <v>7</v>
      </c>
      <c r="D30" s="18" t="n">
        <v>7</v>
      </c>
      <c r="E30" s="18" t="n">
        <v>7</v>
      </c>
      <c r="F30" s="18" t="n">
        <v>7</v>
      </c>
      <c r="G30" s="18" t="n">
        <v>5</v>
      </c>
      <c r="H30" s="18" t="n">
        <v>5</v>
      </c>
      <c r="I30" s="18" t="n">
        <v>5</v>
      </c>
      <c r="J30" s="18" t="n">
        <v>5</v>
      </c>
    </row>
    <row r="31" customFormat="false" ht="15" hidden="false" customHeight="false" outlineLevel="0" collapsed="false">
      <c r="A31" s="28" t="n">
        <v>2600.30591834334</v>
      </c>
      <c r="B31" s="29" t="n">
        <v>7</v>
      </c>
      <c r="C31" s="18" t="n">
        <v>7</v>
      </c>
      <c r="D31" s="18" t="n">
        <v>7</v>
      </c>
      <c r="E31" s="18" t="n">
        <v>7</v>
      </c>
      <c r="F31" s="18" t="n">
        <v>7</v>
      </c>
      <c r="G31" s="18" t="n">
        <v>5</v>
      </c>
      <c r="H31" s="18" t="n">
        <v>5</v>
      </c>
      <c r="I31" s="18" t="n">
        <v>5</v>
      </c>
      <c r="J31" s="18" t="n">
        <v>5</v>
      </c>
    </row>
    <row r="32" customFormat="false" ht="15" hidden="false" customHeight="false" outlineLevel="0" collapsed="false">
      <c r="A32" s="28" t="n">
        <v>2700.31768443346</v>
      </c>
      <c r="B32" s="29" t="n">
        <v>7</v>
      </c>
      <c r="C32" s="18" t="n">
        <v>7</v>
      </c>
      <c r="D32" s="18" t="n">
        <v>7</v>
      </c>
      <c r="E32" s="18" t="n">
        <v>7</v>
      </c>
      <c r="F32" s="18" t="n">
        <v>7</v>
      </c>
      <c r="G32" s="18" t="n">
        <v>5</v>
      </c>
      <c r="H32" s="18" t="n">
        <v>5</v>
      </c>
      <c r="I32" s="18" t="n">
        <v>5</v>
      </c>
      <c r="J32" s="18" t="n">
        <v>5</v>
      </c>
    </row>
    <row r="33" customFormat="false" ht="15" hidden="false" customHeight="false" outlineLevel="0" collapsed="false">
      <c r="A33" s="28" t="n">
        <v>2800.32945052359</v>
      </c>
      <c r="B33" s="29" t="n">
        <v>7</v>
      </c>
      <c r="C33" s="18" t="n">
        <v>7</v>
      </c>
      <c r="D33" s="18" t="n">
        <v>7</v>
      </c>
      <c r="E33" s="18" t="n">
        <v>7</v>
      </c>
      <c r="F33" s="18" t="n">
        <v>7</v>
      </c>
      <c r="G33" s="18" t="n">
        <v>5</v>
      </c>
      <c r="H33" s="18" t="n">
        <v>5</v>
      </c>
      <c r="I33" s="18" t="n">
        <v>5</v>
      </c>
      <c r="J33" s="18" t="n">
        <v>5</v>
      </c>
    </row>
    <row r="34" customFormat="false" ht="15" hidden="false" customHeight="false" outlineLevel="0" collapsed="false">
      <c r="A34" s="28" t="n">
        <v>2900.34121661372</v>
      </c>
      <c r="B34" s="29" t="n">
        <v>7</v>
      </c>
      <c r="C34" s="18" t="n">
        <v>7</v>
      </c>
      <c r="D34" s="18" t="n">
        <v>7</v>
      </c>
      <c r="E34" s="18" t="n">
        <v>7</v>
      </c>
      <c r="F34" s="18" t="n">
        <v>7</v>
      </c>
      <c r="G34" s="18" t="n">
        <v>5</v>
      </c>
      <c r="H34" s="18" t="n">
        <v>5</v>
      </c>
      <c r="I34" s="18" t="n">
        <v>5</v>
      </c>
      <c r="J34" s="18" t="n">
        <v>5</v>
      </c>
    </row>
    <row r="35" customFormat="false" ht="15" hidden="false" customHeight="false" outlineLevel="0" collapsed="false">
      <c r="A35" s="28" t="n">
        <v>3000.35298270385</v>
      </c>
      <c r="B35" s="29" t="n">
        <v>7</v>
      </c>
      <c r="C35" s="18" t="n">
        <v>7</v>
      </c>
      <c r="D35" s="18" t="n">
        <v>7</v>
      </c>
      <c r="E35" s="18" t="n">
        <v>7</v>
      </c>
      <c r="F35" s="18" t="n">
        <v>7</v>
      </c>
      <c r="G35" s="18" t="n">
        <v>5</v>
      </c>
      <c r="H35" s="18" t="n">
        <v>5</v>
      </c>
      <c r="I35" s="18" t="n">
        <v>5</v>
      </c>
      <c r="J35" s="18" t="n">
        <v>5</v>
      </c>
    </row>
    <row r="36" customFormat="false" ht="15" hidden="false" customHeight="false" outlineLevel="0" collapsed="false">
      <c r="A36" s="28" t="n">
        <v>3100.36474879398</v>
      </c>
      <c r="B36" s="29" t="n">
        <v>7</v>
      </c>
      <c r="C36" s="18" t="n">
        <v>7</v>
      </c>
      <c r="D36" s="18" t="n">
        <v>7</v>
      </c>
      <c r="E36" s="18" t="n">
        <v>7</v>
      </c>
      <c r="F36" s="18" t="n">
        <v>7</v>
      </c>
      <c r="G36" s="18" t="n">
        <v>5</v>
      </c>
      <c r="H36" s="18" t="n">
        <v>5</v>
      </c>
      <c r="I36" s="18" t="n">
        <v>5</v>
      </c>
      <c r="J36" s="18" t="n">
        <v>5</v>
      </c>
    </row>
    <row r="37" customFormat="false" ht="15" hidden="false" customHeight="false" outlineLevel="0" collapsed="false">
      <c r="A37" s="28" t="n">
        <v>3200.3765148841</v>
      </c>
      <c r="B37" s="29" t="n">
        <v>7</v>
      </c>
      <c r="C37" s="18" t="n">
        <v>7</v>
      </c>
      <c r="D37" s="18" t="n">
        <v>7</v>
      </c>
      <c r="E37" s="18" t="n">
        <v>7</v>
      </c>
      <c r="F37" s="18" t="n">
        <v>7</v>
      </c>
      <c r="G37" s="18" t="n">
        <v>5</v>
      </c>
      <c r="H37" s="18" t="n">
        <v>5</v>
      </c>
      <c r="I37" s="18" t="n">
        <v>5</v>
      </c>
      <c r="J37" s="18" t="n">
        <v>5</v>
      </c>
    </row>
    <row r="38" customFormat="false" ht="15" hidden="false" customHeight="false" outlineLevel="0" collapsed="false">
      <c r="A38" s="28" t="n">
        <v>3300.38828097423</v>
      </c>
      <c r="B38" s="29" t="n">
        <v>7</v>
      </c>
      <c r="C38" s="18" t="n">
        <v>7</v>
      </c>
      <c r="D38" s="18" t="n">
        <v>7</v>
      </c>
      <c r="E38" s="18" t="n">
        <v>7</v>
      </c>
      <c r="F38" s="18" t="n">
        <v>7</v>
      </c>
      <c r="G38" s="18" t="n">
        <v>5</v>
      </c>
      <c r="H38" s="18" t="n">
        <v>5</v>
      </c>
      <c r="I38" s="18" t="n">
        <v>5</v>
      </c>
      <c r="J38" s="18" t="n">
        <v>5</v>
      </c>
    </row>
    <row r="39" customFormat="false" ht="15" hidden="false" customHeight="false" outlineLevel="0" collapsed="false">
      <c r="A39" s="28" t="n">
        <v>3400.40004706436</v>
      </c>
      <c r="B39" s="29" t="n">
        <v>7</v>
      </c>
      <c r="C39" s="18" t="n">
        <v>7</v>
      </c>
      <c r="D39" s="18" t="n">
        <v>7</v>
      </c>
      <c r="E39" s="18" t="n">
        <v>7</v>
      </c>
      <c r="F39" s="18" t="n">
        <v>7</v>
      </c>
      <c r="G39" s="18" t="n">
        <v>5</v>
      </c>
      <c r="H39" s="18" t="n">
        <v>5</v>
      </c>
      <c r="I39" s="18" t="n">
        <v>5</v>
      </c>
      <c r="J39" s="18" t="n">
        <v>5</v>
      </c>
    </row>
    <row r="40" customFormat="false" ht="15" hidden="false" customHeight="false" outlineLevel="0" collapsed="false">
      <c r="A40" s="28" t="n">
        <v>3500.41181315449</v>
      </c>
      <c r="B40" s="29" t="n">
        <v>7</v>
      </c>
      <c r="C40" s="18" t="n">
        <v>7</v>
      </c>
      <c r="D40" s="18" t="n">
        <v>7</v>
      </c>
      <c r="E40" s="18" t="n">
        <v>7</v>
      </c>
      <c r="F40" s="18" t="n">
        <v>7</v>
      </c>
      <c r="G40" s="18" t="n">
        <v>5</v>
      </c>
      <c r="H40" s="18" t="n">
        <v>5</v>
      </c>
      <c r="I40" s="18" t="n">
        <v>5</v>
      </c>
      <c r="J40" s="18" t="n">
        <v>5</v>
      </c>
    </row>
    <row r="41" customFormat="false" ht="15" hidden="false" customHeight="false" outlineLevel="0" collapsed="false">
      <c r="A41" s="28" t="n">
        <v>3600.42357924462</v>
      </c>
      <c r="B41" s="29" t="n">
        <v>7</v>
      </c>
      <c r="C41" s="18" t="n">
        <v>7</v>
      </c>
      <c r="D41" s="18" t="n">
        <v>7</v>
      </c>
      <c r="E41" s="18" t="n">
        <v>7</v>
      </c>
      <c r="F41" s="18" t="n">
        <v>7</v>
      </c>
      <c r="G41" s="18" t="n">
        <v>5</v>
      </c>
      <c r="H41" s="18" t="n">
        <v>5</v>
      </c>
      <c r="I41" s="18" t="n">
        <v>5</v>
      </c>
      <c r="J41" s="18" t="n">
        <v>5</v>
      </c>
    </row>
    <row r="42" customFormat="false" ht="15" hidden="false" customHeight="false" outlineLevel="0" collapsed="false">
      <c r="A42" s="28" t="n">
        <v>3700.43534533475</v>
      </c>
      <c r="B42" s="29" t="n">
        <v>7</v>
      </c>
      <c r="C42" s="18" t="n">
        <v>7</v>
      </c>
      <c r="D42" s="18" t="n">
        <v>7</v>
      </c>
      <c r="E42" s="18" t="n">
        <v>7</v>
      </c>
      <c r="F42" s="18" t="n">
        <v>7</v>
      </c>
      <c r="G42" s="18" t="n">
        <v>5</v>
      </c>
      <c r="H42" s="18" t="n">
        <v>5</v>
      </c>
      <c r="I42" s="18" t="n">
        <v>5</v>
      </c>
      <c r="J42" s="18" t="n">
        <v>5</v>
      </c>
    </row>
    <row r="43" customFormat="false" ht="15" hidden="false" customHeight="false" outlineLevel="0" collapsed="false">
      <c r="A43" s="28" t="n">
        <v>3800.44711142487</v>
      </c>
      <c r="B43" s="29" t="n">
        <v>7</v>
      </c>
      <c r="C43" s="18" t="n">
        <v>7</v>
      </c>
      <c r="D43" s="18" t="n">
        <v>7</v>
      </c>
      <c r="E43" s="18" t="n">
        <v>7</v>
      </c>
      <c r="F43" s="18" t="n">
        <v>7</v>
      </c>
      <c r="G43" s="18" t="n">
        <v>5</v>
      </c>
      <c r="H43" s="18" t="n">
        <v>5</v>
      </c>
      <c r="I43" s="18" t="n">
        <v>5</v>
      </c>
      <c r="J43" s="18" t="n">
        <v>5</v>
      </c>
    </row>
    <row r="44" customFormat="false" ht="15" hidden="false" customHeight="false" outlineLevel="0" collapsed="false">
      <c r="A44" s="28" t="n">
        <v>3900.458877515</v>
      </c>
      <c r="B44" s="29" t="n">
        <v>7</v>
      </c>
      <c r="C44" s="18" t="n">
        <v>7</v>
      </c>
      <c r="D44" s="18" t="n">
        <v>7</v>
      </c>
      <c r="E44" s="18" t="n">
        <v>7</v>
      </c>
      <c r="F44" s="18" t="n">
        <v>7</v>
      </c>
      <c r="G44" s="18" t="n">
        <v>5</v>
      </c>
      <c r="H44" s="18" t="n">
        <v>5</v>
      </c>
      <c r="I44" s="18" t="n">
        <v>5</v>
      </c>
      <c r="J44" s="18" t="n">
        <v>5</v>
      </c>
    </row>
    <row r="45" customFormat="false" ht="15" hidden="false" customHeight="false" outlineLevel="0" collapsed="false">
      <c r="A45" s="28" t="n">
        <v>4000.47064360513</v>
      </c>
      <c r="B45" s="29" t="n">
        <v>7</v>
      </c>
      <c r="C45" s="18" t="n">
        <v>7</v>
      </c>
      <c r="D45" s="18" t="n">
        <v>7</v>
      </c>
      <c r="E45" s="18" t="n">
        <v>7</v>
      </c>
      <c r="F45" s="18" t="n">
        <v>7</v>
      </c>
      <c r="G45" s="18" t="n">
        <v>5</v>
      </c>
      <c r="H45" s="18" t="n">
        <v>5</v>
      </c>
      <c r="I45" s="18" t="n">
        <v>5</v>
      </c>
      <c r="J45" s="18" t="n">
        <v>5</v>
      </c>
    </row>
    <row r="46" customFormat="false" ht="15" hidden="false" customHeight="false" outlineLevel="0" collapsed="false">
      <c r="A46" s="28" t="n">
        <v>4100.48240969526</v>
      </c>
      <c r="B46" s="29" t="n">
        <v>7</v>
      </c>
      <c r="C46" s="18" t="n">
        <v>7</v>
      </c>
      <c r="D46" s="18" t="n">
        <v>7</v>
      </c>
      <c r="E46" s="18" t="n">
        <v>7</v>
      </c>
      <c r="F46" s="18" t="n">
        <v>7</v>
      </c>
      <c r="G46" s="18" t="n">
        <v>5</v>
      </c>
      <c r="H46" s="18" t="n">
        <v>5</v>
      </c>
      <c r="I46" s="18" t="n">
        <v>5</v>
      </c>
      <c r="J46" s="18" t="n">
        <v>5</v>
      </c>
    </row>
    <row r="47" customFormat="false" ht="15" hidden="false" customHeight="false" outlineLevel="0" collapsed="false">
      <c r="A47" s="28" t="n">
        <v>4200.49417578539</v>
      </c>
      <c r="B47" s="29" t="n">
        <v>7</v>
      </c>
      <c r="C47" s="18" t="n">
        <v>7</v>
      </c>
      <c r="D47" s="18" t="n">
        <v>7</v>
      </c>
      <c r="E47" s="18" t="n">
        <v>7</v>
      </c>
      <c r="F47" s="18" t="n">
        <v>7</v>
      </c>
      <c r="G47" s="18" t="n">
        <v>5</v>
      </c>
      <c r="H47" s="18" t="n">
        <v>5</v>
      </c>
      <c r="I47" s="18" t="n">
        <v>5</v>
      </c>
      <c r="J47" s="18" t="n">
        <v>5</v>
      </c>
    </row>
    <row r="48" customFormat="false" ht="15" hidden="false" customHeight="false" outlineLevel="0" collapsed="false">
      <c r="A48" s="28" t="n">
        <v>4300.50594187552</v>
      </c>
      <c r="B48" s="29" t="n">
        <v>7</v>
      </c>
      <c r="C48" s="18" t="n">
        <v>7</v>
      </c>
      <c r="D48" s="18" t="n">
        <v>7</v>
      </c>
      <c r="E48" s="18" t="n">
        <v>7</v>
      </c>
      <c r="F48" s="18" t="n">
        <v>7</v>
      </c>
      <c r="G48" s="18" t="n">
        <v>5</v>
      </c>
      <c r="H48" s="18" t="n">
        <v>5</v>
      </c>
      <c r="I48" s="18" t="n">
        <v>5</v>
      </c>
      <c r="J48" s="18" t="n">
        <v>5</v>
      </c>
    </row>
    <row r="49" customFormat="false" ht="15" hidden="false" customHeight="false" outlineLevel="0" collapsed="false">
      <c r="A49" s="28" t="n">
        <v>4400.51770796564</v>
      </c>
      <c r="B49" s="29" t="n">
        <v>7</v>
      </c>
      <c r="C49" s="18" t="n">
        <v>7</v>
      </c>
      <c r="D49" s="18" t="n">
        <v>7</v>
      </c>
      <c r="E49" s="18" t="n">
        <v>7</v>
      </c>
      <c r="F49" s="18" t="n">
        <v>7</v>
      </c>
      <c r="G49" s="18" t="n">
        <v>5</v>
      </c>
      <c r="H49" s="18" t="n">
        <v>5</v>
      </c>
      <c r="I49" s="18" t="n">
        <v>5</v>
      </c>
      <c r="J49" s="18" t="n">
        <v>5</v>
      </c>
    </row>
    <row r="50" customFormat="false" ht="15" hidden="false" customHeight="false" outlineLevel="0" collapsed="false">
      <c r="A50" s="28" t="n">
        <v>4500.52947405577</v>
      </c>
      <c r="B50" s="29" t="n">
        <v>7</v>
      </c>
      <c r="C50" s="18" t="n">
        <v>7</v>
      </c>
      <c r="D50" s="18" t="n">
        <v>7</v>
      </c>
      <c r="E50" s="18" t="n">
        <v>7</v>
      </c>
      <c r="F50" s="18" t="n">
        <v>7</v>
      </c>
      <c r="G50" s="18" t="n">
        <v>5</v>
      </c>
      <c r="H50" s="18" t="n">
        <v>5</v>
      </c>
      <c r="I50" s="18" t="n">
        <v>5</v>
      </c>
      <c r="J50" s="18" t="n">
        <v>5</v>
      </c>
    </row>
    <row r="51" customFormat="false" ht="15" hidden="false" customHeight="false" outlineLevel="0" collapsed="false">
      <c r="A51" s="28" t="n">
        <v>4600.5412401459</v>
      </c>
      <c r="B51" s="29" t="n">
        <v>7</v>
      </c>
      <c r="C51" s="18" t="n">
        <v>7</v>
      </c>
      <c r="D51" s="18" t="n">
        <v>7</v>
      </c>
      <c r="E51" s="18" t="n">
        <v>7</v>
      </c>
      <c r="F51" s="18" t="n">
        <v>7</v>
      </c>
      <c r="G51" s="18" t="n">
        <v>5</v>
      </c>
      <c r="H51" s="18" t="n">
        <v>5</v>
      </c>
      <c r="I51" s="18" t="n">
        <v>5</v>
      </c>
      <c r="J51" s="18" t="n">
        <v>5</v>
      </c>
    </row>
    <row r="52" customFormat="false" ht="15" hidden="false" customHeight="false" outlineLevel="0" collapsed="false">
      <c r="A52" s="28" t="n">
        <v>4700.55300623603</v>
      </c>
      <c r="B52" s="29" t="n">
        <v>7</v>
      </c>
      <c r="C52" s="18" t="n">
        <v>7</v>
      </c>
      <c r="D52" s="18" t="n">
        <v>7</v>
      </c>
      <c r="E52" s="18" t="n">
        <v>7</v>
      </c>
      <c r="F52" s="18" t="n">
        <v>7</v>
      </c>
      <c r="G52" s="18" t="n">
        <v>5</v>
      </c>
      <c r="H52" s="18" t="n">
        <v>5</v>
      </c>
      <c r="I52" s="18" t="n">
        <v>5</v>
      </c>
      <c r="J52" s="18" t="n">
        <v>5</v>
      </c>
    </row>
    <row r="53" customFormat="false" ht="15" hidden="false" customHeight="false" outlineLevel="0" collapsed="false">
      <c r="A53" s="28" t="n">
        <v>4800.56477232616</v>
      </c>
      <c r="B53" s="29" t="n">
        <v>7</v>
      </c>
      <c r="C53" s="18" t="n">
        <v>7</v>
      </c>
      <c r="D53" s="18" t="n">
        <v>7</v>
      </c>
      <c r="E53" s="18" t="n">
        <v>7</v>
      </c>
      <c r="F53" s="18" t="n">
        <v>7</v>
      </c>
      <c r="G53" s="18" t="n">
        <v>5</v>
      </c>
      <c r="H53" s="18" t="n">
        <v>5</v>
      </c>
      <c r="I53" s="18" t="n">
        <v>5</v>
      </c>
      <c r="J53" s="18" t="n">
        <v>5</v>
      </c>
    </row>
    <row r="54" customFormat="false" ht="15" hidden="false" customHeight="false" outlineLevel="0" collapsed="false">
      <c r="A54" s="28" t="n">
        <v>4900.57653841628</v>
      </c>
      <c r="B54" s="29" t="n">
        <v>7</v>
      </c>
      <c r="C54" s="18" t="n">
        <v>7</v>
      </c>
      <c r="D54" s="18" t="n">
        <v>7</v>
      </c>
      <c r="E54" s="18" t="n">
        <v>7</v>
      </c>
      <c r="F54" s="18" t="n">
        <v>7</v>
      </c>
      <c r="G54" s="18" t="n">
        <v>5</v>
      </c>
      <c r="H54" s="18" t="n">
        <v>5</v>
      </c>
      <c r="I54" s="18" t="n">
        <v>5</v>
      </c>
      <c r="J54" s="18" t="n">
        <v>5</v>
      </c>
    </row>
    <row r="55" customFormat="false" ht="15" hidden="false" customHeight="false" outlineLevel="0" collapsed="false">
      <c r="A55" s="28" t="n">
        <v>5000.58830450641</v>
      </c>
      <c r="B55" s="29" t="n">
        <v>7</v>
      </c>
      <c r="C55" s="18" t="n">
        <v>7</v>
      </c>
      <c r="D55" s="18" t="n">
        <v>7</v>
      </c>
      <c r="E55" s="18" t="n">
        <v>7</v>
      </c>
      <c r="F55" s="18" t="n">
        <v>7</v>
      </c>
      <c r="G55" s="18" t="n">
        <v>5</v>
      </c>
      <c r="H55" s="18" t="n">
        <v>5</v>
      </c>
      <c r="I55" s="18" t="n">
        <v>5</v>
      </c>
      <c r="J55" s="18" t="n">
        <v>5</v>
      </c>
    </row>
    <row r="56" customFormat="false" ht="15" hidden="false" customHeight="false" outlineLevel="0" collapsed="false">
      <c r="A56" s="28" t="n">
        <v>5100.60007059654</v>
      </c>
      <c r="B56" s="29" t="n">
        <v>7</v>
      </c>
      <c r="C56" s="18" t="n">
        <v>7</v>
      </c>
      <c r="D56" s="18" t="n">
        <v>7</v>
      </c>
      <c r="E56" s="18" t="n">
        <v>7</v>
      </c>
      <c r="F56" s="18" t="n">
        <v>7</v>
      </c>
      <c r="G56" s="18" t="n">
        <v>5</v>
      </c>
      <c r="H56" s="18" t="n">
        <v>5</v>
      </c>
      <c r="I56" s="18" t="n">
        <v>5</v>
      </c>
      <c r="J56" s="18" t="n">
        <v>5</v>
      </c>
    </row>
    <row r="57" customFormat="false" ht="15" hidden="false" customHeight="false" outlineLevel="0" collapsed="false">
      <c r="A57" s="28" t="n">
        <v>5200.61183668667</v>
      </c>
      <c r="B57" s="29" t="n">
        <v>7</v>
      </c>
      <c r="C57" s="18" t="n">
        <v>7</v>
      </c>
      <c r="D57" s="18" t="n">
        <v>7</v>
      </c>
      <c r="E57" s="18" t="n">
        <v>7</v>
      </c>
      <c r="F57" s="18" t="n">
        <v>7</v>
      </c>
      <c r="G57" s="18" t="n">
        <v>5</v>
      </c>
      <c r="H57" s="18" t="n">
        <v>5</v>
      </c>
      <c r="I57" s="18" t="n">
        <v>5</v>
      </c>
      <c r="J57" s="18" t="n">
        <v>5</v>
      </c>
    </row>
    <row r="58" customFormat="false" ht="15" hidden="false" customHeight="false" outlineLevel="0" collapsed="false">
      <c r="A58" s="28" t="n">
        <v>5300.6236027768</v>
      </c>
      <c r="B58" s="29" t="n">
        <v>7</v>
      </c>
      <c r="C58" s="18" t="n">
        <v>7</v>
      </c>
      <c r="D58" s="18" t="n">
        <v>7</v>
      </c>
      <c r="E58" s="18" t="n">
        <v>7</v>
      </c>
      <c r="F58" s="18" t="n">
        <v>7</v>
      </c>
      <c r="G58" s="18" t="n">
        <v>5</v>
      </c>
      <c r="H58" s="18" t="n">
        <v>5</v>
      </c>
      <c r="I58" s="18" t="n">
        <v>5</v>
      </c>
      <c r="J58" s="18" t="n">
        <v>5</v>
      </c>
    </row>
    <row r="59" customFormat="false" ht="15" hidden="false" customHeight="false" outlineLevel="0" collapsed="false">
      <c r="A59" s="28" t="n">
        <v>5400.63536886693</v>
      </c>
      <c r="B59" s="29" t="n">
        <v>7</v>
      </c>
      <c r="C59" s="18" t="n">
        <v>7</v>
      </c>
      <c r="D59" s="18" t="n">
        <v>7</v>
      </c>
      <c r="E59" s="18" t="n">
        <v>7</v>
      </c>
      <c r="F59" s="18" t="n">
        <v>7</v>
      </c>
      <c r="G59" s="18" t="n">
        <v>5</v>
      </c>
      <c r="H59" s="18" t="n">
        <v>5</v>
      </c>
      <c r="I59" s="18" t="n">
        <v>5</v>
      </c>
      <c r="J59" s="18" t="n">
        <v>5</v>
      </c>
    </row>
    <row r="60" customFormat="false" ht="15" hidden="false" customHeight="false" outlineLevel="0" collapsed="false">
      <c r="A60" s="28" t="n">
        <v>5500.64713495705</v>
      </c>
      <c r="B60" s="29" t="n">
        <v>7</v>
      </c>
      <c r="C60" s="18" t="n">
        <v>7</v>
      </c>
      <c r="D60" s="18" t="n">
        <v>7</v>
      </c>
      <c r="E60" s="18" t="n">
        <v>7</v>
      </c>
      <c r="F60" s="18" t="n">
        <v>7</v>
      </c>
      <c r="G60" s="18" t="n">
        <v>5</v>
      </c>
      <c r="H60" s="18" t="n">
        <v>5</v>
      </c>
      <c r="I60" s="18" t="n">
        <v>5</v>
      </c>
      <c r="J60" s="18" t="n">
        <v>5</v>
      </c>
    </row>
    <row r="61" customFormat="false" ht="15" hidden="false" customHeight="false" outlineLevel="0" collapsed="false">
      <c r="A61" s="28" t="n">
        <v>5600.65890104718</v>
      </c>
      <c r="B61" s="29" t="n">
        <v>7</v>
      </c>
      <c r="C61" s="18" t="n">
        <v>7</v>
      </c>
      <c r="D61" s="18" t="n">
        <v>7</v>
      </c>
      <c r="E61" s="18" t="n">
        <v>7</v>
      </c>
      <c r="F61" s="18" t="n">
        <v>7</v>
      </c>
      <c r="G61" s="18" t="n">
        <v>5</v>
      </c>
      <c r="H61" s="18" t="n">
        <v>5</v>
      </c>
      <c r="I61" s="18" t="n">
        <v>5</v>
      </c>
      <c r="J61" s="18" t="n">
        <v>5</v>
      </c>
    </row>
    <row r="62" customFormat="false" ht="15" hidden="false" customHeight="false" outlineLevel="0" collapsed="false">
      <c r="A62" s="28" t="n">
        <v>5700.67066713731</v>
      </c>
      <c r="B62" s="29" t="n">
        <v>7</v>
      </c>
      <c r="C62" s="18" t="n">
        <v>7</v>
      </c>
      <c r="D62" s="18" t="n">
        <v>7</v>
      </c>
      <c r="E62" s="18" t="n">
        <v>7</v>
      </c>
      <c r="F62" s="18" t="n">
        <v>7</v>
      </c>
      <c r="G62" s="18" t="n">
        <v>5</v>
      </c>
      <c r="H62" s="18" t="n">
        <v>5</v>
      </c>
      <c r="I62" s="18" t="n">
        <v>5</v>
      </c>
      <c r="J62" s="18" t="n">
        <v>5</v>
      </c>
    </row>
    <row r="63" customFormat="false" ht="15" hidden="false" customHeight="false" outlineLevel="0" collapsed="false">
      <c r="A63" s="28" t="n">
        <v>5800.68243322744</v>
      </c>
      <c r="B63" s="29" t="n">
        <v>7</v>
      </c>
      <c r="C63" s="18" t="n">
        <v>7</v>
      </c>
      <c r="D63" s="18" t="n">
        <v>7</v>
      </c>
      <c r="E63" s="18" t="n">
        <v>7</v>
      </c>
      <c r="F63" s="18" t="n">
        <v>7</v>
      </c>
      <c r="G63" s="18" t="n">
        <v>5</v>
      </c>
      <c r="H63" s="18" t="n">
        <v>5</v>
      </c>
      <c r="I63" s="18" t="n">
        <v>5</v>
      </c>
      <c r="J63" s="18" t="n">
        <v>5</v>
      </c>
    </row>
    <row r="64" customFormat="false" ht="15" hidden="false" customHeight="false" outlineLevel="0" collapsed="false">
      <c r="A64" s="28" t="n">
        <v>5900.69419931757</v>
      </c>
      <c r="B64" s="29" t="n">
        <v>7</v>
      </c>
      <c r="C64" s="18" t="n">
        <v>7</v>
      </c>
      <c r="D64" s="18" t="n">
        <v>7</v>
      </c>
      <c r="E64" s="18" t="n">
        <v>7</v>
      </c>
      <c r="F64" s="18" t="n">
        <v>7</v>
      </c>
      <c r="G64" s="18" t="n">
        <v>5</v>
      </c>
      <c r="H64" s="18" t="n">
        <v>5</v>
      </c>
      <c r="I64" s="18" t="n">
        <v>5</v>
      </c>
      <c r="J64" s="18" t="n">
        <v>5</v>
      </c>
    </row>
    <row r="65" customFormat="false" ht="15" hidden="false" customHeight="false" outlineLevel="0" collapsed="false">
      <c r="A65" s="28" t="n">
        <v>6000.7059654077</v>
      </c>
      <c r="B65" s="29" t="n">
        <v>7</v>
      </c>
      <c r="C65" s="18" t="n">
        <v>7</v>
      </c>
      <c r="D65" s="18" t="n">
        <v>7</v>
      </c>
      <c r="E65" s="18" t="n">
        <v>7</v>
      </c>
      <c r="F65" s="18" t="n">
        <v>7</v>
      </c>
      <c r="G65" s="18" t="n">
        <v>5</v>
      </c>
      <c r="H65" s="18" t="n">
        <v>5</v>
      </c>
      <c r="I65" s="18" t="n">
        <v>5</v>
      </c>
      <c r="J65" s="18" t="n">
        <v>5</v>
      </c>
    </row>
    <row r="66" customFormat="false" ht="15" hidden="false" customHeight="false" outlineLevel="0" collapsed="false">
      <c r="A66" s="28" t="n">
        <v>6100.71773149782</v>
      </c>
      <c r="B66" s="29" t="n">
        <v>7</v>
      </c>
      <c r="C66" s="18" t="n">
        <v>7</v>
      </c>
      <c r="D66" s="18" t="n">
        <v>7</v>
      </c>
      <c r="E66" s="18" t="n">
        <v>7</v>
      </c>
      <c r="F66" s="18" t="n">
        <v>7</v>
      </c>
      <c r="G66" s="18" t="n">
        <v>5</v>
      </c>
      <c r="H66" s="18" t="n">
        <v>5</v>
      </c>
      <c r="I66" s="18" t="n">
        <v>5</v>
      </c>
      <c r="J66" s="18" t="n">
        <v>5</v>
      </c>
    </row>
    <row r="67" customFormat="false" ht="15" hidden="false" customHeight="false" outlineLevel="0" collapsed="false">
      <c r="A67" s="28" t="n">
        <v>6200.72949758795</v>
      </c>
      <c r="B67" s="29" t="n">
        <v>7</v>
      </c>
      <c r="C67" s="18" t="n">
        <v>7</v>
      </c>
      <c r="D67" s="18" t="n">
        <v>7</v>
      </c>
      <c r="E67" s="18" t="n">
        <v>7</v>
      </c>
      <c r="F67" s="18" t="n">
        <v>7</v>
      </c>
      <c r="G67" s="18" t="n">
        <v>5</v>
      </c>
      <c r="H67" s="18" t="n">
        <v>5</v>
      </c>
      <c r="I67" s="18" t="n">
        <v>5</v>
      </c>
      <c r="J67" s="18" t="n">
        <v>5</v>
      </c>
    </row>
    <row r="68" customFormat="false" ht="15" hidden="false" customHeight="false" outlineLevel="0" collapsed="false">
      <c r="A68" s="28" t="n">
        <v>6300.74126367808</v>
      </c>
      <c r="B68" s="29" t="n">
        <v>7</v>
      </c>
      <c r="C68" s="18" t="n">
        <v>7</v>
      </c>
      <c r="D68" s="18" t="n">
        <v>7</v>
      </c>
      <c r="E68" s="18" t="n">
        <v>7</v>
      </c>
      <c r="F68" s="18" t="n">
        <v>7</v>
      </c>
      <c r="G68" s="18" t="n">
        <v>5</v>
      </c>
      <c r="H68" s="18" t="n">
        <v>5</v>
      </c>
      <c r="I68" s="18" t="n">
        <v>5</v>
      </c>
      <c r="J68" s="18" t="n">
        <v>5</v>
      </c>
    </row>
    <row r="69" customFormat="false" ht="15" hidden="false" customHeight="false" outlineLevel="0" collapsed="false">
      <c r="A69" s="28" t="n">
        <v>6400.75302976821</v>
      </c>
      <c r="B69" s="29" t="n">
        <v>7</v>
      </c>
      <c r="C69" s="18" t="n">
        <v>7</v>
      </c>
      <c r="D69" s="18" t="n">
        <v>7</v>
      </c>
      <c r="E69" s="18" t="n">
        <v>7</v>
      </c>
      <c r="F69" s="18" t="n">
        <v>7</v>
      </c>
      <c r="G69" s="18" t="n">
        <v>5</v>
      </c>
      <c r="H69" s="18" t="n">
        <v>5</v>
      </c>
      <c r="I69" s="18" t="n">
        <v>5</v>
      </c>
      <c r="J69" s="18" t="n">
        <v>5</v>
      </c>
    </row>
    <row r="70" customFormat="false" ht="15" hidden="false" customHeight="false" outlineLevel="0" collapsed="false">
      <c r="A70" s="28" t="n">
        <v>6500.76479585834</v>
      </c>
      <c r="B70" s="29" t="n">
        <v>7</v>
      </c>
      <c r="C70" s="18" t="n">
        <v>7</v>
      </c>
      <c r="D70" s="18" t="n">
        <v>7</v>
      </c>
      <c r="E70" s="18" t="n">
        <v>7</v>
      </c>
      <c r="F70" s="18" t="n">
        <v>7</v>
      </c>
      <c r="G70" s="18" t="n">
        <v>5</v>
      </c>
      <c r="H70" s="18" t="n">
        <v>5</v>
      </c>
      <c r="I70" s="18" t="n">
        <v>5</v>
      </c>
      <c r="J70" s="18" t="n">
        <v>5</v>
      </c>
    </row>
    <row r="71" customFormat="false" ht="15" hidden="false" customHeight="false" outlineLevel="0" collapsed="false">
      <c r="A71" s="28" t="n">
        <v>6600.77656194846</v>
      </c>
      <c r="B71" s="29" t="n">
        <v>7</v>
      </c>
      <c r="C71" s="18" t="n">
        <v>7</v>
      </c>
      <c r="D71" s="18" t="n">
        <v>7</v>
      </c>
      <c r="E71" s="18" t="n">
        <v>7</v>
      </c>
      <c r="F71" s="18" t="n">
        <v>7</v>
      </c>
      <c r="G71" s="18" t="n">
        <v>5</v>
      </c>
      <c r="H71" s="18" t="n">
        <v>5</v>
      </c>
      <c r="I71" s="18" t="n">
        <v>5</v>
      </c>
      <c r="J71" s="18" t="n">
        <v>5</v>
      </c>
    </row>
    <row r="72" customFormat="false" ht="15" hidden="false" customHeight="false" outlineLevel="0" collapsed="false">
      <c r="A72" s="28" t="n">
        <v>6700.78832803859</v>
      </c>
      <c r="B72" s="29" t="n">
        <v>7</v>
      </c>
      <c r="C72" s="18" t="n">
        <v>7</v>
      </c>
      <c r="D72" s="18" t="n">
        <v>7</v>
      </c>
      <c r="E72" s="18" t="n">
        <v>7</v>
      </c>
      <c r="F72" s="18" t="n">
        <v>7</v>
      </c>
      <c r="G72" s="18" t="n">
        <v>5</v>
      </c>
      <c r="H72" s="18" t="n">
        <v>5</v>
      </c>
      <c r="I72" s="18" t="n">
        <v>5</v>
      </c>
      <c r="J72" s="18" t="n">
        <v>5</v>
      </c>
    </row>
    <row r="73" customFormat="false" ht="15" hidden="false" customHeight="false" outlineLevel="0" collapsed="false">
      <c r="A73" s="28" t="n">
        <v>6800.80009412872</v>
      </c>
      <c r="B73" s="29" t="n">
        <v>7</v>
      </c>
      <c r="C73" s="18" t="n">
        <v>7</v>
      </c>
      <c r="D73" s="18" t="n">
        <v>7</v>
      </c>
      <c r="E73" s="18" t="n">
        <v>7</v>
      </c>
      <c r="F73" s="18" t="n">
        <v>7</v>
      </c>
      <c r="G73" s="18" t="n">
        <v>5</v>
      </c>
      <c r="H73" s="18" t="n">
        <v>5</v>
      </c>
      <c r="I73" s="18" t="n">
        <v>5</v>
      </c>
      <c r="J73" s="18" t="n">
        <v>5</v>
      </c>
    </row>
    <row r="74" customFormat="false" ht="15" hidden="false" customHeight="false" outlineLevel="0" collapsed="false">
      <c r="A74" s="28" t="n">
        <v>6900.81186021885</v>
      </c>
      <c r="B74" s="29" t="n">
        <v>7</v>
      </c>
      <c r="C74" s="18" t="n">
        <v>7</v>
      </c>
      <c r="D74" s="18" t="n">
        <v>7</v>
      </c>
      <c r="E74" s="18" t="n">
        <v>7</v>
      </c>
      <c r="F74" s="18" t="n">
        <v>7</v>
      </c>
      <c r="G74" s="18" t="n">
        <v>5</v>
      </c>
      <c r="H74" s="18" t="n">
        <v>5</v>
      </c>
      <c r="I74" s="18" t="n">
        <v>5</v>
      </c>
      <c r="J74" s="18" t="n">
        <v>5</v>
      </c>
    </row>
    <row r="75" customFormat="false" ht="15" hidden="false" customHeight="false" outlineLevel="0" collapsed="false">
      <c r="A75" s="28" t="n">
        <v>7000.82362630898</v>
      </c>
      <c r="B75" s="29" t="n">
        <v>7</v>
      </c>
      <c r="C75" s="18" t="n">
        <v>7</v>
      </c>
      <c r="D75" s="18" t="n">
        <v>7</v>
      </c>
      <c r="E75" s="18" t="n">
        <v>7</v>
      </c>
      <c r="F75" s="18" t="n">
        <v>7</v>
      </c>
      <c r="G75" s="18" t="n">
        <v>5</v>
      </c>
      <c r="H75" s="18" t="n">
        <v>5</v>
      </c>
      <c r="I75" s="18" t="n">
        <v>5</v>
      </c>
      <c r="J75" s="18" t="n">
        <v>5</v>
      </c>
    </row>
    <row r="76" customFormat="false" ht="15" hidden="false" customHeight="false" outlineLevel="0" collapsed="false">
      <c r="A76" s="28" t="n">
        <v>7100.83539239911</v>
      </c>
      <c r="B76" s="29" t="n">
        <v>7</v>
      </c>
      <c r="C76" s="18" t="n">
        <v>7</v>
      </c>
      <c r="D76" s="18" t="n">
        <v>7</v>
      </c>
      <c r="E76" s="18" t="n">
        <v>7</v>
      </c>
      <c r="F76" s="18" t="n">
        <v>7</v>
      </c>
      <c r="G76" s="18" t="n">
        <v>5</v>
      </c>
      <c r="H76" s="18" t="n">
        <v>5</v>
      </c>
      <c r="I76" s="18" t="n">
        <v>5</v>
      </c>
      <c r="J76" s="18" t="n">
        <v>5</v>
      </c>
    </row>
    <row r="77" customFormat="false" ht="15" hidden="false" customHeight="false" outlineLevel="0" collapsed="false">
      <c r="A77" s="28" t="n">
        <v>7200.84715848923</v>
      </c>
      <c r="B77" s="29" t="n">
        <v>7</v>
      </c>
      <c r="C77" s="18" t="n">
        <v>7</v>
      </c>
      <c r="D77" s="18" t="n">
        <v>7</v>
      </c>
      <c r="E77" s="18" t="n">
        <v>7</v>
      </c>
      <c r="F77" s="18" t="n">
        <v>7</v>
      </c>
      <c r="G77" s="18" t="n">
        <v>5</v>
      </c>
      <c r="H77" s="18" t="n">
        <v>5</v>
      </c>
      <c r="I77" s="18" t="n">
        <v>5</v>
      </c>
      <c r="J77" s="18" t="n">
        <v>5</v>
      </c>
    </row>
    <row r="78" customFormat="false" ht="15" hidden="false" customHeight="false" outlineLevel="0" collapsed="false">
      <c r="A78" s="28" t="n">
        <v>7300.85892457936</v>
      </c>
      <c r="B78" s="29" t="n">
        <v>7</v>
      </c>
      <c r="C78" s="18" t="n">
        <v>7</v>
      </c>
      <c r="D78" s="18" t="n">
        <v>7</v>
      </c>
      <c r="E78" s="18" t="n">
        <v>7</v>
      </c>
      <c r="F78" s="18" t="n">
        <v>7</v>
      </c>
      <c r="G78" s="18" t="n">
        <v>5</v>
      </c>
      <c r="H78" s="18" t="n">
        <v>5</v>
      </c>
      <c r="I78" s="18" t="n">
        <v>5</v>
      </c>
      <c r="J78" s="18" t="n">
        <v>5</v>
      </c>
    </row>
    <row r="79" customFormat="false" ht="15" hidden="false" customHeight="false" outlineLevel="0" collapsed="false">
      <c r="A79" s="28" t="n">
        <v>7400.87069066949</v>
      </c>
      <c r="B79" s="29" t="n">
        <v>7</v>
      </c>
      <c r="C79" s="18" t="n">
        <v>7</v>
      </c>
      <c r="D79" s="18" t="n">
        <v>7</v>
      </c>
      <c r="E79" s="18" t="n">
        <v>7</v>
      </c>
      <c r="F79" s="18" t="n">
        <v>7</v>
      </c>
      <c r="G79" s="18" t="n">
        <v>5</v>
      </c>
      <c r="H79" s="18" t="n">
        <v>5</v>
      </c>
      <c r="I79" s="18" t="n">
        <v>5</v>
      </c>
      <c r="J79" s="18" t="n">
        <v>5</v>
      </c>
    </row>
    <row r="80" customFormat="false" ht="15" hidden="false" customHeight="false" outlineLevel="0" collapsed="false">
      <c r="A80" s="28" t="n">
        <v>7500.88245675962</v>
      </c>
      <c r="B80" s="29" t="n">
        <v>7</v>
      </c>
      <c r="C80" s="18" t="n">
        <v>7</v>
      </c>
      <c r="D80" s="18" t="n">
        <v>7</v>
      </c>
      <c r="E80" s="18" t="n">
        <v>7</v>
      </c>
      <c r="F80" s="18" t="n">
        <v>7</v>
      </c>
      <c r="G80" s="18" t="n">
        <v>5</v>
      </c>
      <c r="H80" s="18" t="n">
        <v>5</v>
      </c>
      <c r="I80" s="18" t="n">
        <v>5</v>
      </c>
      <c r="J80" s="18" t="n">
        <v>5</v>
      </c>
    </row>
    <row r="81" customFormat="false" ht="15" hidden="false" customHeight="false" outlineLevel="0" collapsed="false">
      <c r="A81" s="28" t="n">
        <v>7600.89422284975</v>
      </c>
      <c r="B81" s="29" t="n">
        <v>7</v>
      </c>
      <c r="C81" s="18" t="n">
        <v>7</v>
      </c>
      <c r="D81" s="18" t="n">
        <v>7</v>
      </c>
      <c r="E81" s="18" t="n">
        <v>7</v>
      </c>
      <c r="F81" s="18" t="n">
        <v>7</v>
      </c>
      <c r="G81" s="18" t="n">
        <v>5</v>
      </c>
      <c r="H81" s="18" t="n">
        <v>5</v>
      </c>
      <c r="I81" s="18" t="n">
        <v>5</v>
      </c>
      <c r="J81" s="18" t="n">
        <v>5</v>
      </c>
    </row>
    <row r="82" customFormat="false" ht="15" hidden="false" customHeight="false" outlineLevel="0" collapsed="false">
      <c r="A82" s="28" t="n">
        <v>7700.90598893988</v>
      </c>
      <c r="B82" s="29" t="n">
        <v>7</v>
      </c>
      <c r="C82" s="18" t="n">
        <v>7</v>
      </c>
      <c r="D82" s="18" t="n">
        <v>7</v>
      </c>
      <c r="E82" s="18" t="n">
        <v>7</v>
      </c>
      <c r="F82" s="18" t="n">
        <v>7</v>
      </c>
      <c r="G82" s="18" t="n">
        <v>5</v>
      </c>
      <c r="H82" s="18" t="n">
        <v>5</v>
      </c>
      <c r="I82" s="18" t="n">
        <v>5</v>
      </c>
      <c r="J82" s="18" t="n">
        <v>5</v>
      </c>
    </row>
    <row r="83" customFormat="false" ht="15" hidden="false" customHeight="false" outlineLevel="0" collapsed="false">
      <c r="A83" s="28" t="n">
        <v>7800.91775503</v>
      </c>
      <c r="B83" s="29" t="n">
        <v>7</v>
      </c>
      <c r="C83" s="18" t="n">
        <v>7</v>
      </c>
      <c r="D83" s="18" t="n">
        <v>7</v>
      </c>
      <c r="E83" s="18" t="n">
        <v>7</v>
      </c>
      <c r="F83" s="18" t="n">
        <v>7</v>
      </c>
      <c r="G83" s="18" t="n">
        <v>5</v>
      </c>
      <c r="H83" s="18" t="n">
        <v>5</v>
      </c>
      <c r="I83" s="18" t="n">
        <v>5</v>
      </c>
      <c r="J83" s="18" t="n">
        <v>5</v>
      </c>
    </row>
    <row r="84" customFormat="false" ht="15" hidden="false" customHeight="false" outlineLevel="0" collapsed="false">
      <c r="A84" s="28" t="n">
        <v>7900.92952112013</v>
      </c>
      <c r="B84" s="29" t="n">
        <v>7</v>
      </c>
      <c r="C84" s="18" t="n">
        <v>7</v>
      </c>
      <c r="D84" s="18" t="n">
        <v>7</v>
      </c>
      <c r="E84" s="18" t="n">
        <v>7</v>
      </c>
      <c r="F84" s="18" t="n">
        <v>7</v>
      </c>
      <c r="G84" s="18" t="n">
        <v>5</v>
      </c>
      <c r="H84" s="18" t="n">
        <v>5</v>
      </c>
      <c r="I84" s="18" t="n">
        <v>5</v>
      </c>
      <c r="J84" s="18" t="n">
        <v>5</v>
      </c>
    </row>
    <row r="85" customFormat="false" ht="15" hidden="false" customHeight="false" outlineLevel="0" collapsed="false">
      <c r="A85" s="28" t="n">
        <v>8000.94128721026</v>
      </c>
      <c r="B85" s="29" t="n">
        <v>7</v>
      </c>
      <c r="C85" s="18" t="n">
        <v>7</v>
      </c>
      <c r="D85" s="18" t="n">
        <v>7</v>
      </c>
      <c r="E85" s="18" t="n">
        <v>7</v>
      </c>
      <c r="F85" s="18" t="n">
        <v>7</v>
      </c>
      <c r="G85" s="18" t="n">
        <v>5</v>
      </c>
      <c r="H85" s="18" t="n">
        <v>5</v>
      </c>
      <c r="I85" s="18" t="n">
        <v>5</v>
      </c>
      <c r="J85" s="18" t="n">
        <v>5</v>
      </c>
    </row>
    <row r="86" customFormat="false" ht="15" hidden="false" customHeight="false" outlineLevel="0" collapsed="false">
      <c r="A86" s="28" t="n">
        <v>8100.95305330039</v>
      </c>
      <c r="B86" s="29" t="n">
        <v>7</v>
      </c>
      <c r="C86" s="18" t="n">
        <v>7</v>
      </c>
      <c r="D86" s="18" t="n">
        <v>7</v>
      </c>
      <c r="E86" s="18" t="n">
        <v>7</v>
      </c>
      <c r="F86" s="18" t="n">
        <v>7</v>
      </c>
      <c r="G86" s="18" t="n">
        <v>5</v>
      </c>
      <c r="H86" s="18" t="n">
        <v>5</v>
      </c>
      <c r="I86" s="18" t="n">
        <v>5</v>
      </c>
      <c r="J86" s="18" t="n">
        <v>5</v>
      </c>
    </row>
    <row r="87" customFormat="false" ht="15" hidden="false" customHeight="false" outlineLevel="0" collapsed="false">
      <c r="A87" s="28" t="n">
        <v>8200.96481939052</v>
      </c>
      <c r="B87" s="29" t="n">
        <v>7</v>
      </c>
      <c r="C87" s="18" t="n">
        <v>7</v>
      </c>
      <c r="D87" s="18" t="n">
        <v>7</v>
      </c>
      <c r="E87" s="18" t="n">
        <v>7</v>
      </c>
      <c r="F87" s="18" t="n">
        <v>7</v>
      </c>
      <c r="G87" s="18" t="n">
        <v>5</v>
      </c>
      <c r="H87" s="18" t="n">
        <v>5</v>
      </c>
      <c r="I87" s="18" t="n">
        <v>5</v>
      </c>
      <c r="J87" s="18" t="n">
        <v>5</v>
      </c>
    </row>
    <row r="88" customFormat="false" ht="15" hidden="false" customHeight="false" outlineLevel="0" collapsed="false">
      <c r="A88" s="28" t="n">
        <v>8300.97658548065</v>
      </c>
      <c r="B88" s="29" t="n">
        <v>7</v>
      </c>
      <c r="C88" s="18" t="n">
        <v>7</v>
      </c>
      <c r="D88" s="18" t="n">
        <v>7</v>
      </c>
      <c r="E88" s="18" t="n">
        <v>7</v>
      </c>
      <c r="F88" s="18" t="n">
        <v>7</v>
      </c>
      <c r="G88" s="18" t="n">
        <v>5</v>
      </c>
      <c r="H88" s="18" t="n">
        <v>5</v>
      </c>
      <c r="I88" s="18" t="n">
        <v>5</v>
      </c>
      <c r="J88" s="18" t="n">
        <v>5</v>
      </c>
    </row>
    <row r="89" customFormat="false" ht="15" hidden="false" customHeight="false" outlineLevel="0" collapsed="false">
      <c r="A89" s="28" t="n">
        <v>8400.98835157077</v>
      </c>
      <c r="B89" s="29" t="n">
        <v>7</v>
      </c>
      <c r="C89" s="18" t="n">
        <v>7</v>
      </c>
      <c r="D89" s="18" t="n">
        <v>7</v>
      </c>
      <c r="E89" s="18" t="n">
        <v>7</v>
      </c>
      <c r="F89" s="18" t="n">
        <v>7</v>
      </c>
      <c r="G89" s="18" t="n">
        <v>5</v>
      </c>
      <c r="H89" s="18" t="n">
        <v>5</v>
      </c>
      <c r="I89" s="18" t="n">
        <v>5</v>
      </c>
      <c r="J89" s="18" t="n">
        <v>5</v>
      </c>
    </row>
    <row r="90" customFormat="false" ht="15" hidden="false" customHeight="false" outlineLevel="0" collapsed="false">
      <c r="A90" s="28" t="n">
        <v>8501.0001176609</v>
      </c>
      <c r="B90" s="29" t="n">
        <v>7</v>
      </c>
      <c r="C90" s="18" t="n">
        <v>7</v>
      </c>
      <c r="D90" s="18" t="n">
        <v>7</v>
      </c>
      <c r="E90" s="18" t="n">
        <v>7</v>
      </c>
      <c r="F90" s="18" t="n">
        <v>7</v>
      </c>
      <c r="G90" s="18" t="n">
        <v>5</v>
      </c>
      <c r="H90" s="18" t="n">
        <v>5</v>
      </c>
      <c r="I90" s="18" t="n">
        <v>5</v>
      </c>
      <c r="J90" s="18" t="n">
        <v>5</v>
      </c>
    </row>
    <row r="91" customFormat="false" ht="15" hidden="false" customHeight="false" outlineLevel="0" collapsed="false">
      <c r="A91" s="28" t="n">
        <v>8601.01188375103</v>
      </c>
      <c r="B91" s="29" t="n">
        <v>7</v>
      </c>
      <c r="C91" s="18" t="n">
        <v>7</v>
      </c>
      <c r="D91" s="18" t="n">
        <v>7</v>
      </c>
      <c r="E91" s="18" t="n">
        <v>7</v>
      </c>
      <c r="F91" s="18" t="n">
        <v>7</v>
      </c>
      <c r="G91" s="18" t="n">
        <v>5</v>
      </c>
      <c r="H91" s="18" t="n">
        <v>5</v>
      </c>
      <c r="I91" s="18" t="n">
        <v>5</v>
      </c>
      <c r="J91" s="18" t="n">
        <v>5</v>
      </c>
    </row>
    <row r="92" customFormat="false" ht="15" hidden="false" customHeight="false" outlineLevel="0" collapsed="false">
      <c r="A92" s="28" t="n">
        <v>8701.02364984116</v>
      </c>
      <c r="B92" s="29" t="n">
        <v>7</v>
      </c>
      <c r="C92" s="18" t="n">
        <v>7</v>
      </c>
      <c r="D92" s="18" t="n">
        <v>7</v>
      </c>
      <c r="E92" s="18" t="n">
        <v>7</v>
      </c>
      <c r="F92" s="18" t="n">
        <v>7</v>
      </c>
      <c r="G92" s="18" t="n">
        <v>5</v>
      </c>
      <c r="H92" s="18" t="n">
        <v>5</v>
      </c>
      <c r="I92" s="18" t="n">
        <v>5</v>
      </c>
      <c r="J92" s="18" t="n">
        <v>5</v>
      </c>
    </row>
    <row r="93" customFormat="false" ht="15" hidden="false" customHeight="false" outlineLevel="0" collapsed="false">
      <c r="A93" s="28" t="n">
        <v>8801.03541593129</v>
      </c>
      <c r="B93" s="29" t="n">
        <v>7</v>
      </c>
      <c r="C93" s="18" t="n">
        <v>7</v>
      </c>
      <c r="D93" s="18" t="n">
        <v>7</v>
      </c>
      <c r="E93" s="18" t="n">
        <v>7</v>
      </c>
      <c r="F93" s="18" t="n">
        <v>7</v>
      </c>
      <c r="G93" s="18" t="n">
        <v>5</v>
      </c>
      <c r="H93" s="18" t="n">
        <v>5</v>
      </c>
      <c r="I93" s="18" t="n">
        <v>5</v>
      </c>
      <c r="J93" s="18" t="n">
        <v>5</v>
      </c>
    </row>
    <row r="94" customFormat="false" ht="15" hidden="false" customHeight="false" outlineLevel="0" collapsed="false">
      <c r="A94" s="28" t="n">
        <v>8901.04718202142</v>
      </c>
      <c r="B94" s="29" t="n">
        <v>7</v>
      </c>
      <c r="C94" s="18" t="n">
        <v>7</v>
      </c>
      <c r="D94" s="18" t="n">
        <v>7</v>
      </c>
      <c r="E94" s="18" t="n">
        <v>7</v>
      </c>
      <c r="F94" s="18" t="n">
        <v>7</v>
      </c>
      <c r="G94" s="18" t="n">
        <v>5</v>
      </c>
      <c r="H94" s="18" t="n">
        <v>5</v>
      </c>
      <c r="I94" s="18" t="n">
        <v>5</v>
      </c>
      <c r="J94" s="18" t="n">
        <v>5</v>
      </c>
    </row>
    <row r="95" customFormat="false" ht="15" hidden="false" customHeight="false" outlineLevel="0" collapsed="false">
      <c r="A95" s="28" t="n">
        <v>9001.05894811154</v>
      </c>
      <c r="B95" s="29" t="n">
        <v>7</v>
      </c>
      <c r="C95" s="18" t="n">
        <v>7</v>
      </c>
      <c r="D95" s="18" t="n">
        <v>7</v>
      </c>
      <c r="E95" s="18" t="n">
        <v>7</v>
      </c>
      <c r="F95" s="18" t="n">
        <v>7</v>
      </c>
      <c r="G95" s="18" t="n">
        <v>5</v>
      </c>
      <c r="H95" s="18" t="n">
        <v>5</v>
      </c>
      <c r="I95" s="18" t="n">
        <v>5</v>
      </c>
      <c r="J95" s="18" t="n">
        <v>5</v>
      </c>
    </row>
    <row r="96" customFormat="false" ht="15" hidden="false" customHeight="false" outlineLevel="0" collapsed="false">
      <c r="A96" s="28" t="n">
        <v>9101.07071420167</v>
      </c>
      <c r="B96" s="29" t="n">
        <v>7</v>
      </c>
      <c r="C96" s="18" t="n">
        <v>7</v>
      </c>
      <c r="D96" s="18" t="n">
        <v>7</v>
      </c>
      <c r="E96" s="18" t="n">
        <v>7</v>
      </c>
      <c r="F96" s="18" t="n">
        <v>7</v>
      </c>
      <c r="G96" s="18" t="n">
        <v>5</v>
      </c>
      <c r="H96" s="18" t="n">
        <v>5</v>
      </c>
      <c r="I96" s="18" t="n">
        <v>5</v>
      </c>
      <c r="J96" s="18" t="n">
        <v>5</v>
      </c>
    </row>
    <row r="97" customFormat="false" ht="15" hidden="false" customHeight="false" outlineLevel="0" collapsed="false">
      <c r="A97" s="28" t="n">
        <v>9201.0824802918</v>
      </c>
      <c r="B97" s="29" t="n">
        <v>7</v>
      </c>
      <c r="C97" s="18" t="n">
        <v>7</v>
      </c>
      <c r="D97" s="18" t="n">
        <v>7</v>
      </c>
      <c r="E97" s="18" t="n">
        <v>7</v>
      </c>
      <c r="F97" s="18" t="n">
        <v>7</v>
      </c>
      <c r="G97" s="18" t="n">
        <v>5</v>
      </c>
      <c r="H97" s="18" t="n">
        <v>5</v>
      </c>
      <c r="I97" s="18" t="n">
        <v>5</v>
      </c>
      <c r="J97" s="18" t="n">
        <v>5</v>
      </c>
    </row>
    <row r="98" customFormat="false" ht="15" hidden="false" customHeight="false" outlineLevel="0" collapsed="false">
      <c r="A98" s="28" t="n">
        <v>9301.09424638193</v>
      </c>
      <c r="B98" s="29" t="n">
        <v>7</v>
      </c>
      <c r="C98" s="18" t="n">
        <v>7</v>
      </c>
      <c r="D98" s="18" t="n">
        <v>7</v>
      </c>
      <c r="E98" s="18" t="n">
        <v>7</v>
      </c>
      <c r="F98" s="18" t="n">
        <v>7</v>
      </c>
      <c r="G98" s="18" t="n">
        <v>5</v>
      </c>
      <c r="H98" s="18" t="n">
        <v>5</v>
      </c>
      <c r="I98" s="18" t="n">
        <v>5</v>
      </c>
      <c r="J98" s="18" t="n">
        <v>5</v>
      </c>
    </row>
    <row r="99" customFormat="false" ht="15" hidden="false" customHeight="false" outlineLevel="0" collapsed="false">
      <c r="A99" s="28" t="n">
        <v>9401.10601247206</v>
      </c>
      <c r="B99" s="29" t="n">
        <v>7</v>
      </c>
      <c r="C99" s="18" t="n">
        <v>7</v>
      </c>
      <c r="D99" s="18" t="n">
        <v>7</v>
      </c>
      <c r="E99" s="18" t="n">
        <v>7</v>
      </c>
      <c r="F99" s="18" t="n">
        <v>7</v>
      </c>
      <c r="G99" s="18" t="n">
        <v>5</v>
      </c>
      <c r="H99" s="18" t="n">
        <v>5</v>
      </c>
      <c r="I99" s="18" t="n">
        <v>5</v>
      </c>
      <c r="J99" s="18" t="n">
        <v>5</v>
      </c>
    </row>
    <row r="100" customFormat="false" ht="15" hidden="false" customHeight="false" outlineLevel="0" collapsed="false">
      <c r="A100" s="28" t="n">
        <v>9501.11777856218</v>
      </c>
      <c r="B100" s="29" t="n">
        <v>7</v>
      </c>
      <c r="C100" s="18" t="n">
        <v>7</v>
      </c>
      <c r="D100" s="18" t="n">
        <v>7</v>
      </c>
      <c r="E100" s="18" t="n">
        <v>7</v>
      </c>
      <c r="F100" s="18" t="n">
        <v>7</v>
      </c>
      <c r="G100" s="18" t="n">
        <v>5</v>
      </c>
      <c r="H100" s="18" t="n">
        <v>5</v>
      </c>
      <c r="I100" s="18" t="n">
        <v>5</v>
      </c>
      <c r="J100" s="18" t="n">
        <v>5</v>
      </c>
    </row>
    <row r="101" customFormat="false" ht="15" hidden="false" customHeight="false" outlineLevel="0" collapsed="false">
      <c r="A101" s="28" t="n">
        <v>9601.12954465231</v>
      </c>
      <c r="B101" s="29" t="n">
        <v>7</v>
      </c>
      <c r="C101" s="18" t="n">
        <v>7</v>
      </c>
      <c r="D101" s="18" t="n">
        <v>7</v>
      </c>
      <c r="E101" s="18" t="n">
        <v>7</v>
      </c>
      <c r="F101" s="18" t="n">
        <v>7</v>
      </c>
      <c r="G101" s="18" t="n">
        <v>5</v>
      </c>
      <c r="H101" s="18" t="n">
        <v>5</v>
      </c>
      <c r="I101" s="18" t="n">
        <v>5</v>
      </c>
      <c r="J101" s="18" t="n">
        <v>5</v>
      </c>
    </row>
    <row r="102" customFormat="false" ht="15" hidden="false" customHeight="false" outlineLevel="0" collapsed="false">
      <c r="A102" s="28" t="n">
        <v>9701.14131074244</v>
      </c>
      <c r="B102" s="29" t="n">
        <v>7</v>
      </c>
      <c r="C102" s="18" t="n">
        <v>7</v>
      </c>
      <c r="D102" s="18" t="n">
        <v>7</v>
      </c>
      <c r="E102" s="18" t="n">
        <v>7</v>
      </c>
      <c r="F102" s="18" t="n">
        <v>7</v>
      </c>
      <c r="G102" s="18" t="n">
        <v>5</v>
      </c>
      <c r="H102" s="18" t="n">
        <v>5</v>
      </c>
      <c r="I102" s="18" t="n">
        <v>5</v>
      </c>
      <c r="J102" s="18" t="n">
        <v>5</v>
      </c>
    </row>
    <row r="103" customFormat="false" ht="15" hidden="false" customHeight="false" outlineLevel="0" collapsed="false">
      <c r="A103" s="28" t="n">
        <v>9801.15307683257</v>
      </c>
      <c r="B103" s="29" t="n">
        <v>7</v>
      </c>
      <c r="C103" s="18" t="n">
        <v>7</v>
      </c>
      <c r="D103" s="18" t="n">
        <v>7</v>
      </c>
      <c r="E103" s="18" t="n">
        <v>7</v>
      </c>
      <c r="F103" s="18" t="n">
        <v>7</v>
      </c>
      <c r="G103" s="18" t="n">
        <v>5</v>
      </c>
      <c r="H103" s="18" t="n">
        <v>5</v>
      </c>
      <c r="I103" s="18" t="n">
        <v>5</v>
      </c>
      <c r="J103" s="18" t="n">
        <v>5</v>
      </c>
    </row>
    <row r="104" customFormat="false" ht="15" hidden="false" customHeight="false" outlineLevel="0" collapsed="false">
      <c r="A104" s="28" t="n">
        <v>9901.1648429227</v>
      </c>
      <c r="B104" s="29" t="n">
        <v>7</v>
      </c>
      <c r="C104" s="18" t="n">
        <v>7</v>
      </c>
      <c r="D104" s="18" t="n">
        <v>7</v>
      </c>
      <c r="E104" s="18" t="n">
        <v>7</v>
      </c>
      <c r="F104" s="18" t="n">
        <v>7</v>
      </c>
      <c r="G104" s="18" t="n">
        <v>5</v>
      </c>
      <c r="H104" s="18" t="n">
        <v>5</v>
      </c>
      <c r="I104" s="18" t="n">
        <v>5</v>
      </c>
      <c r="J104" s="18" t="n">
        <v>5</v>
      </c>
    </row>
    <row r="105" customFormat="false" ht="15" hidden="false" customHeight="false" outlineLevel="0" collapsed="false">
      <c r="A105" s="28" t="n">
        <v>10001.1766090128</v>
      </c>
      <c r="B105" s="29" t="n">
        <v>7</v>
      </c>
      <c r="C105" s="18" t="n">
        <v>7</v>
      </c>
      <c r="D105" s="18" t="n">
        <v>7</v>
      </c>
      <c r="E105" s="18" t="n">
        <v>7</v>
      </c>
      <c r="F105" s="18" t="n">
        <v>7</v>
      </c>
      <c r="G105" s="18" t="n">
        <v>5</v>
      </c>
      <c r="H105" s="18" t="n">
        <v>5</v>
      </c>
      <c r="I105" s="18" t="n">
        <v>5</v>
      </c>
      <c r="J105" s="18" t="n">
        <v>5</v>
      </c>
    </row>
    <row r="106" customFormat="false" ht="15" hidden="false" customHeight="false" outlineLevel="0" collapsed="false">
      <c r="A106" s="28" t="n">
        <v>10101.188375103</v>
      </c>
      <c r="B106" s="29" t="n">
        <v>7</v>
      </c>
      <c r="C106" s="18" t="n">
        <v>7</v>
      </c>
      <c r="D106" s="18" t="n">
        <v>7</v>
      </c>
      <c r="E106" s="18" t="n">
        <v>7</v>
      </c>
      <c r="F106" s="18" t="n">
        <v>7</v>
      </c>
      <c r="G106" s="18" t="n">
        <v>5</v>
      </c>
      <c r="H106" s="18" t="n">
        <v>5</v>
      </c>
      <c r="I106" s="18" t="n">
        <v>5</v>
      </c>
      <c r="J106" s="18" t="n">
        <v>5</v>
      </c>
    </row>
    <row r="107" customFormat="false" ht="15" hidden="false" customHeight="false" outlineLevel="0" collapsed="false">
      <c r="A107" s="28" t="n">
        <v>10201.2001411931</v>
      </c>
      <c r="B107" s="29" t="n">
        <v>7</v>
      </c>
      <c r="C107" s="18" t="n">
        <v>7</v>
      </c>
      <c r="D107" s="18" t="n">
        <v>7</v>
      </c>
      <c r="E107" s="18" t="n">
        <v>7</v>
      </c>
      <c r="F107" s="18" t="n">
        <v>7</v>
      </c>
      <c r="G107" s="18" t="n">
        <v>5</v>
      </c>
      <c r="H107" s="18" t="n">
        <v>5</v>
      </c>
      <c r="I107" s="18" t="n">
        <v>5</v>
      </c>
      <c r="J107" s="18" t="n">
        <v>5</v>
      </c>
    </row>
    <row r="108" customFormat="false" ht="15" hidden="false" customHeight="false" outlineLevel="0" collapsed="false">
      <c r="A108" s="28" t="n">
        <v>10301.2119072832</v>
      </c>
      <c r="B108" s="29" t="n">
        <v>7</v>
      </c>
      <c r="C108" s="18" t="n">
        <v>7</v>
      </c>
      <c r="D108" s="18" t="n">
        <v>7</v>
      </c>
      <c r="E108" s="18" t="n">
        <v>7</v>
      </c>
      <c r="F108" s="18" t="n">
        <v>7</v>
      </c>
      <c r="G108" s="18" t="n">
        <v>5</v>
      </c>
      <c r="H108" s="18" t="n">
        <v>5</v>
      </c>
      <c r="I108" s="18" t="n">
        <v>5</v>
      </c>
      <c r="J108" s="18" t="n">
        <v>5</v>
      </c>
    </row>
    <row r="109" customFormat="false" ht="15" hidden="false" customHeight="false" outlineLevel="0" collapsed="false">
      <c r="A109" s="28" t="n">
        <v>10401.2236733733</v>
      </c>
      <c r="B109" s="29" t="n">
        <v>7</v>
      </c>
      <c r="C109" s="18" t="n">
        <v>7</v>
      </c>
      <c r="D109" s="18" t="n">
        <v>7</v>
      </c>
      <c r="E109" s="18" t="n">
        <v>7</v>
      </c>
      <c r="F109" s="18" t="n">
        <v>7</v>
      </c>
      <c r="G109" s="18" t="n">
        <v>5</v>
      </c>
      <c r="H109" s="18" t="n">
        <v>5</v>
      </c>
      <c r="I109" s="18" t="n">
        <v>5</v>
      </c>
      <c r="J109" s="18" t="n">
        <v>5</v>
      </c>
    </row>
    <row r="110" customFormat="false" ht="15" hidden="false" customHeight="false" outlineLevel="0" collapsed="false">
      <c r="A110" s="28" t="n">
        <v>10501.2354394635</v>
      </c>
      <c r="B110" s="29" t="n">
        <v>7</v>
      </c>
      <c r="C110" s="18" t="n">
        <v>7</v>
      </c>
      <c r="D110" s="18" t="n">
        <v>7</v>
      </c>
      <c r="E110" s="18" t="n">
        <v>7</v>
      </c>
      <c r="F110" s="18" t="n">
        <v>7</v>
      </c>
      <c r="G110" s="18" t="n">
        <v>5</v>
      </c>
      <c r="H110" s="18" t="n">
        <v>5</v>
      </c>
      <c r="I110" s="18" t="n">
        <v>5</v>
      </c>
      <c r="J110" s="18" t="n">
        <v>5</v>
      </c>
    </row>
    <row r="111" customFormat="false" ht="15" hidden="false" customHeight="false" outlineLevel="0" collapsed="false">
      <c r="A111" s="28" t="n">
        <v>10601.2472055536</v>
      </c>
      <c r="B111" s="29" t="n">
        <v>7</v>
      </c>
      <c r="C111" s="18" t="n">
        <v>7</v>
      </c>
      <c r="D111" s="18" t="n">
        <v>7</v>
      </c>
      <c r="E111" s="18" t="n">
        <v>7</v>
      </c>
      <c r="F111" s="18" t="n">
        <v>7</v>
      </c>
      <c r="G111" s="18" t="n">
        <v>5</v>
      </c>
      <c r="H111" s="18" t="n">
        <v>5</v>
      </c>
      <c r="I111" s="18" t="n">
        <v>5</v>
      </c>
      <c r="J111" s="18" t="n">
        <v>5</v>
      </c>
    </row>
    <row r="112" customFormat="false" ht="15" hidden="false" customHeight="false" outlineLevel="0" collapsed="false">
      <c r="A112" s="28" t="n">
        <v>10701.2589716437</v>
      </c>
      <c r="B112" s="29" t="n">
        <v>7</v>
      </c>
      <c r="C112" s="18" t="n">
        <v>7</v>
      </c>
      <c r="D112" s="18" t="n">
        <v>7</v>
      </c>
      <c r="E112" s="18" t="n">
        <v>7</v>
      </c>
      <c r="F112" s="18" t="n">
        <v>7</v>
      </c>
      <c r="G112" s="18" t="n">
        <v>5</v>
      </c>
      <c r="H112" s="18" t="n">
        <v>5</v>
      </c>
      <c r="I112" s="18" t="n">
        <v>5</v>
      </c>
      <c r="J112" s="18" t="n">
        <v>5</v>
      </c>
    </row>
    <row r="113" customFormat="false" ht="15" hidden="false" customHeight="false" outlineLevel="0" collapsed="false">
      <c r="A113" s="28" t="n">
        <v>10801.2707377339</v>
      </c>
      <c r="B113" s="29" t="n">
        <v>7</v>
      </c>
      <c r="C113" s="18" t="n">
        <v>7</v>
      </c>
      <c r="D113" s="18" t="n">
        <v>7</v>
      </c>
      <c r="E113" s="18" t="n">
        <v>7</v>
      </c>
      <c r="F113" s="18" t="n">
        <v>7</v>
      </c>
      <c r="G113" s="18" t="n">
        <v>5</v>
      </c>
      <c r="H113" s="18" t="n">
        <v>5</v>
      </c>
      <c r="I113" s="18" t="n">
        <v>5</v>
      </c>
      <c r="J113" s="18" t="n">
        <v>5</v>
      </c>
    </row>
    <row r="114" customFormat="false" ht="15" hidden="false" customHeight="false" outlineLevel="0" collapsed="false">
      <c r="A114" s="28" t="n">
        <v>10901.282503824</v>
      </c>
      <c r="B114" s="29" t="n">
        <v>7</v>
      </c>
      <c r="C114" s="18" t="n">
        <v>7</v>
      </c>
      <c r="D114" s="18" t="n">
        <v>7</v>
      </c>
      <c r="E114" s="18" t="n">
        <v>7</v>
      </c>
      <c r="F114" s="18" t="n">
        <v>7</v>
      </c>
      <c r="G114" s="18" t="n">
        <v>5</v>
      </c>
      <c r="H114" s="18" t="n">
        <v>5</v>
      </c>
      <c r="I114" s="18" t="n">
        <v>5</v>
      </c>
      <c r="J114" s="18" t="n">
        <v>5</v>
      </c>
    </row>
    <row r="115" customFormat="false" ht="15" hidden="false" customHeight="false" outlineLevel="0" collapsed="false">
      <c r="A115" s="28" t="n">
        <v>11001.2942699141</v>
      </c>
      <c r="B115" s="29" t="n">
        <v>7</v>
      </c>
      <c r="C115" s="18" t="n">
        <v>7</v>
      </c>
      <c r="D115" s="18" t="n">
        <v>7</v>
      </c>
      <c r="E115" s="18" t="n">
        <v>7</v>
      </c>
      <c r="F115" s="18" t="n">
        <v>7</v>
      </c>
      <c r="G115" s="18" t="n">
        <v>5</v>
      </c>
      <c r="H115" s="18" t="n">
        <v>5</v>
      </c>
      <c r="I115" s="18" t="n">
        <v>5</v>
      </c>
      <c r="J115" s="18" t="n">
        <v>5</v>
      </c>
    </row>
    <row r="116" customFormat="false" ht="15" hidden="false" customHeight="false" outlineLevel="0" collapsed="false">
      <c r="A116" s="28" t="n">
        <v>11101.3060360042</v>
      </c>
      <c r="B116" s="29" t="n">
        <v>7</v>
      </c>
      <c r="C116" s="18" t="n">
        <v>7</v>
      </c>
      <c r="D116" s="18" t="n">
        <v>7</v>
      </c>
      <c r="E116" s="18" t="n">
        <v>7</v>
      </c>
      <c r="F116" s="18" t="n">
        <v>7</v>
      </c>
      <c r="G116" s="18" t="n">
        <v>5</v>
      </c>
      <c r="H116" s="18" t="n">
        <v>5</v>
      </c>
      <c r="I116" s="18" t="n">
        <v>5</v>
      </c>
      <c r="J116" s="18" t="n">
        <v>5</v>
      </c>
    </row>
    <row r="117" customFormat="false" ht="15" hidden="false" customHeight="false" outlineLevel="0" collapsed="false">
      <c r="A117" s="28" t="n">
        <v>11201.3178020944</v>
      </c>
      <c r="B117" s="29" t="n">
        <v>7</v>
      </c>
      <c r="C117" s="18" t="n">
        <v>7</v>
      </c>
      <c r="D117" s="18" t="n">
        <v>7</v>
      </c>
      <c r="E117" s="18" t="n">
        <v>7</v>
      </c>
      <c r="F117" s="18" t="n">
        <v>7</v>
      </c>
      <c r="G117" s="18" t="n">
        <v>5</v>
      </c>
      <c r="H117" s="18" t="n">
        <v>5</v>
      </c>
      <c r="I117" s="18" t="n">
        <v>5</v>
      </c>
      <c r="J117" s="18" t="n">
        <v>5</v>
      </c>
    </row>
    <row r="118" customFormat="false" ht="15" hidden="false" customHeight="false" outlineLevel="0" collapsed="false">
      <c r="A118" s="28" t="n">
        <v>11301.3295681845</v>
      </c>
      <c r="B118" s="29" t="n">
        <v>7</v>
      </c>
      <c r="C118" s="18" t="n">
        <v>7</v>
      </c>
      <c r="D118" s="18" t="n">
        <v>7</v>
      </c>
      <c r="E118" s="18" t="n">
        <v>7</v>
      </c>
      <c r="F118" s="18" t="n">
        <v>7</v>
      </c>
      <c r="G118" s="18" t="n">
        <v>5</v>
      </c>
      <c r="H118" s="18" t="n">
        <v>5</v>
      </c>
      <c r="I118" s="18" t="n">
        <v>5</v>
      </c>
      <c r="J118" s="18" t="n">
        <v>5</v>
      </c>
    </row>
    <row r="119" customFormat="false" ht="15" hidden="false" customHeight="false" outlineLevel="0" collapsed="false">
      <c r="A119" s="28" t="n">
        <v>11401.3413342746</v>
      </c>
      <c r="B119" s="29" t="n">
        <v>7</v>
      </c>
      <c r="C119" s="18" t="n">
        <v>7</v>
      </c>
      <c r="D119" s="18" t="n">
        <v>7</v>
      </c>
      <c r="E119" s="18" t="n">
        <v>7</v>
      </c>
      <c r="F119" s="18" t="n">
        <v>7</v>
      </c>
      <c r="G119" s="18" t="n">
        <v>5</v>
      </c>
      <c r="H119" s="18" t="n">
        <v>5</v>
      </c>
      <c r="I119" s="18" t="n">
        <v>5</v>
      </c>
      <c r="J119" s="18" t="n">
        <v>5</v>
      </c>
    </row>
    <row r="120" customFormat="false" ht="15" hidden="false" customHeight="false" outlineLevel="0" collapsed="false">
      <c r="A120" s="28" t="n">
        <v>11501.3531003648</v>
      </c>
      <c r="B120" s="29" t="n">
        <v>7</v>
      </c>
      <c r="C120" s="18" t="n">
        <v>7</v>
      </c>
      <c r="D120" s="18" t="n">
        <v>7</v>
      </c>
      <c r="E120" s="18" t="n">
        <v>7</v>
      </c>
      <c r="F120" s="18" t="n">
        <v>7</v>
      </c>
      <c r="G120" s="18" t="n">
        <v>5</v>
      </c>
      <c r="H120" s="18" t="n">
        <v>5</v>
      </c>
      <c r="I120" s="18" t="n">
        <v>5</v>
      </c>
      <c r="J120" s="18" t="n">
        <v>5</v>
      </c>
    </row>
    <row r="121" customFormat="false" ht="15" hidden="false" customHeight="false" outlineLevel="0" collapsed="false">
      <c r="A121" s="28" t="n">
        <v>11601.3648664549</v>
      </c>
      <c r="B121" s="29" t="n">
        <v>7</v>
      </c>
      <c r="C121" s="18" t="n">
        <v>7</v>
      </c>
      <c r="D121" s="18" t="n">
        <v>7</v>
      </c>
      <c r="E121" s="18" t="n">
        <v>7</v>
      </c>
      <c r="F121" s="18" t="n">
        <v>7</v>
      </c>
      <c r="G121" s="18" t="n">
        <v>5</v>
      </c>
      <c r="H121" s="18" t="n">
        <v>5</v>
      </c>
      <c r="I121" s="18" t="n">
        <v>5</v>
      </c>
      <c r="J121" s="18" t="n">
        <v>5</v>
      </c>
    </row>
    <row r="122" customFormat="false" ht="15" hidden="false" customHeight="false" outlineLevel="0" collapsed="false">
      <c r="A122" s="28" t="n">
        <v>11701.376632545</v>
      </c>
      <c r="B122" s="29" t="n">
        <v>7</v>
      </c>
      <c r="C122" s="18" t="n">
        <v>7</v>
      </c>
      <c r="D122" s="18" t="n">
        <v>7</v>
      </c>
      <c r="E122" s="18" t="n">
        <v>7</v>
      </c>
      <c r="F122" s="18" t="n">
        <v>7</v>
      </c>
      <c r="G122" s="18" t="n">
        <v>5</v>
      </c>
      <c r="H122" s="18" t="n">
        <v>5</v>
      </c>
      <c r="I122" s="18" t="n">
        <v>5</v>
      </c>
      <c r="J122" s="18" t="n">
        <v>5</v>
      </c>
    </row>
    <row r="123" customFormat="false" ht="15" hidden="false" customHeight="false" outlineLevel="0" collapsed="false">
      <c r="A123" s="28" t="n">
        <v>11801.3883986351</v>
      </c>
      <c r="B123" s="29" t="n">
        <v>7</v>
      </c>
      <c r="C123" s="18" t="n">
        <v>7</v>
      </c>
      <c r="D123" s="18" t="n">
        <v>7</v>
      </c>
      <c r="E123" s="18" t="n">
        <v>7</v>
      </c>
      <c r="F123" s="18" t="n">
        <v>7</v>
      </c>
      <c r="G123" s="18" t="n">
        <v>5</v>
      </c>
      <c r="H123" s="18" t="n">
        <v>5</v>
      </c>
      <c r="I123" s="18" t="n">
        <v>5</v>
      </c>
      <c r="J123" s="18" t="n">
        <v>5</v>
      </c>
    </row>
    <row r="124" customFormat="false" ht="15" hidden="false" customHeight="false" outlineLevel="0" collapsed="false">
      <c r="A124" s="28" t="n">
        <v>11901.4001647253</v>
      </c>
      <c r="B124" s="29" t="n">
        <v>7</v>
      </c>
      <c r="C124" s="18" t="n">
        <v>7</v>
      </c>
      <c r="D124" s="18" t="n">
        <v>7</v>
      </c>
      <c r="E124" s="18" t="n">
        <v>7</v>
      </c>
      <c r="F124" s="18" t="n">
        <v>7</v>
      </c>
      <c r="G124" s="18" t="n">
        <v>5</v>
      </c>
      <c r="H124" s="18" t="n">
        <v>5</v>
      </c>
      <c r="I124" s="18" t="n">
        <v>5</v>
      </c>
      <c r="J124" s="18" t="n">
        <v>5</v>
      </c>
    </row>
    <row r="125" customFormat="false" ht="15" hidden="false" customHeight="false" outlineLevel="0" collapsed="false">
      <c r="A125" s="28" t="n">
        <v>12001.4119308154</v>
      </c>
      <c r="B125" s="29" t="n">
        <v>7</v>
      </c>
      <c r="C125" s="18" t="n">
        <v>7</v>
      </c>
      <c r="D125" s="18" t="n">
        <v>7</v>
      </c>
      <c r="E125" s="18" t="n">
        <v>7</v>
      </c>
      <c r="F125" s="18" t="n">
        <v>7</v>
      </c>
      <c r="G125" s="18" t="n">
        <v>5</v>
      </c>
      <c r="H125" s="18" t="n">
        <v>5</v>
      </c>
      <c r="I125" s="18" t="n">
        <v>5</v>
      </c>
      <c r="J125" s="18" t="n">
        <v>5</v>
      </c>
    </row>
    <row r="126" customFormat="false" ht="15" hidden="false" customHeight="false" outlineLevel="0" collapsed="false">
      <c r="A126" s="28" t="n">
        <v>12101.4236969055</v>
      </c>
      <c r="B126" s="29" t="n">
        <v>7</v>
      </c>
      <c r="C126" s="18" t="n">
        <v>7</v>
      </c>
      <c r="D126" s="18" t="n">
        <v>7</v>
      </c>
      <c r="E126" s="18" t="n">
        <v>7</v>
      </c>
      <c r="F126" s="18" t="n">
        <v>7</v>
      </c>
      <c r="G126" s="18" t="n">
        <v>5</v>
      </c>
      <c r="H126" s="18" t="n">
        <v>5</v>
      </c>
      <c r="I126" s="18" t="n">
        <v>5</v>
      </c>
      <c r="J126" s="18" t="n">
        <v>5</v>
      </c>
    </row>
    <row r="127" customFormat="false" ht="15" hidden="false" customHeight="false" outlineLevel="0" collapsed="false">
      <c r="A127" s="28" t="n">
        <v>12201.4354629957</v>
      </c>
      <c r="B127" s="29" t="n">
        <v>7</v>
      </c>
      <c r="C127" s="18" t="n">
        <v>7</v>
      </c>
      <c r="D127" s="18" t="n">
        <v>7</v>
      </c>
      <c r="E127" s="18" t="n">
        <v>7</v>
      </c>
      <c r="F127" s="18" t="n">
        <v>7</v>
      </c>
      <c r="G127" s="18" t="n">
        <v>5</v>
      </c>
      <c r="H127" s="18" t="n">
        <v>5</v>
      </c>
      <c r="I127" s="18" t="n">
        <v>5</v>
      </c>
      <c r="J127" s="18" t="n">
        <v>5</v>
      </c>
    </row>
    <row r="128" customFormat="false" ht="15" hidden="false" customHeight="false" outlineLevel="0" collapsed="false">
      <c r="A128" s="28" t="n">
        <v>12301.4472290858</v>
      </c>
      <c r="B128" s="29" t="n">
        <v>7</v>
      </c>
      <c r="C128" s="18" t="n">
        <v>7</v>
      </c>
      <c r="D128" s="18" t="n">
        <v>7</v>
      </c>
      <c r="E128" s="18" t="n">
        <v>7</v>
      </c>
      <c r="F128" s="18" t="n">
        <v>7</v>
      </c>
      <c r="G128" s="18" t="n">
        <v>5</v>
      </c>
      <c r="H128" s="18" t="n">
        <v>5</v>
      </c>
      <c r="I128" s="18" t="n">
        <v>5</v>
      </c>
      <c r="J128" s="18" t="n">
        <v>5</v>
      </c>
    </row>
    <row r="129" customFormat="false" ht="15" hidden="false" customHeight="false" outlineLevel="0" collapsed="false">
      <c r="A129" s="28" t="n">
        <v>12401.4589951759</v>
      </c>
      <c r="B129" s="29" t="n">
        <v>7</v>
      </c>
      <c r="C129" s="18" t="n">
        <v>7</v>
      </c>
      <c r="D129" s="18" t="n">
        <v>7</v>
      </c>
      <c r="E129" s="18" t="n">
        <v>7</v>
      </c>
      <c r="F129" s="18" t="n">
        <v>7</v>
      </c>
      <c r="G129" s="18" t="n">
        <v>5</v>
      </c>
      <c r="H129" s="18" t="n">
        <v>5</v>
      </c>
      <c r="I129" s="18" t="n">
        <v>5</v>
      </c>
      <c r="J129" s="18" t="n">
        <v>5</v>
      </c>
    </row>
    <row r="130" customFormat="false" ht="15" hidden="false" customHeight="false" outlineLevel="0" collapsed="false">
      <c r="A130" s="28" t="n">
        <v>12501.470761266</v>
      </c>
      <c r="B130" s="29" t="n">
        <v>7</v>
      </c>
      <c r="C130" s="18" t="n">
        <v>7</v>
      </c>
      <c r="D130" s="18" t="n">
        <v>7</v>
      </c>
      <c r="E130" s="18" t="n">
        <v>7</v>
      </c>
      <c r="F130" s="18" t="n">
        <v>7</v>
      </c>
      <c r="G130" s="18" t="n">
        <v>5</v>
      </c>
      <c r="H130" s="18" t="n">
        <v>5</v>
      </c>
      <c r="I130" s="18" t="n">
        <v>5</v>
      </c>
      <c r="J130" s="18" t="n">
        <v>5</v>
      </c>
    </row>
    <row r="131" customFormat="false" ht="15" hidden="false" customHeight="false" outlineLevel="0" collapsed="false">
      <c r="A131" s="28" t="n">
        <v>12601.4825273562</v>
      </c>
      <c r="B131" s="29" t="n">
        <v>7</v>
      </c>
      <c r="C131" s="18" t="n">
        <v>7</v>
      </c>
      <c r="D131" s="18" t="n">
        <v>7</v>
      </c>
      <c r="E131" s="18" t="n">
        <v>7</v>
      </c>
      <c r="F131" s="18" t="n">
        <v>7</v>
      </c>
      <c r="G131" s="18" t="n">
        <v>5</v>
      </c>
      <c r="H131" s="18" t="n">
        <v>5</v>
      </c>
      <c r="I131" s="18" t="n">
        <v>5</v>
      </c>
      <c r="J131" s="18" t="n">
        <v>5</v>
      </c>
    </row>
    <row r="132" customFormat="false" ht="15" hidden="false" customHeight="false" outlineLevel="0" collapsed="false">
      <c r="A132" s="28" t="n">
        <v>12701.4942934463</v>
      </c>
      <c r="B132" s="29" t="n">
        <v>7</v>
      </c>
      <c r="C132" s="18" t="n">
        <v>7</v>
      </c>
      <c r="D132" s="18" t="n">
        <v>7</v>
      </c>
      <c r="E132" s="18" t="n">
        <v>7</v>
      </c>
      <c r="F132" s="18" t="n">
        <v>7</v>
      </c>
      <c r="G132" s="18" t="n">
        <v>5</v>
      </c>
      <c r="H132" s="18" t="n">
        <v>5</v>
      </c>
      <c r="I132" s="18" t="n">
        <v>5</v>
      </c>
      <c r="J132" s="18" t="n">
        <v>5</v>
      </c>
    </row>
    <row r="133" customFormat="false" ht="15" hidden="false" customHeight="false" outlineLevel="0" collapsed="false">
      <c r="A133" s="28" t="n">
        <v>12801.5060595364</v>
      </c>
      <c r="B133" s="29" t="n">
        <v>7</v>
      </c>
      <c r="C133" s="18" t="n">
        <v>7</v>
      </c>
      <c r="D133" s="18" t="n">
        <v>7</v>
      </c>
      <c r="E133" s="18" t="n">
        <v>7</v>
      </c>
      <c r="F133" s="18" t="n">
        <v>7</v>
      </c>
      <c r="G133" s="18" t="n">
        <v>5</v>
      </c>
      <c r="H133" s="18" t="n">
        <v>5</v>
      </c>
      <c r="I133" s="18" t="n">
        <v>5</v>
      </c>
      <c r="J133" s="18" t="n">
        <v>5</v>
      </c>
    </row>
    <row r="134" customFormat="false" ht="15" hidden="false" customHeight="false" outlineLevel="0" collapsed="false">
      <c r="A134" s="28" t="n">
        <v>12901.5178256265</v>
      </c>
      <c r="B134" s="29" t="n">
        <v>7</v>
      </c>
      <c r="C134" s="18" t="n">
        <v>7</v>
      </c>
      <c r="D134" s="18" t="n">
        <v>7</v>
      </c>
      <c r="E134" s="18" t="n">
        <v>7</v>
      </c>
      <c r="F134" s="18" t="n">
        <v>7</v>
      </c>
      <c r="G134" s="18" t="n">
        <v>5</v>
      </c>
      <c r="H134" s="18" t="n">
        <v>5</v>
      </c>
      <c r="I134" s="18" t="n">
        <v>5</v>
      </c>
      <c r="J134" s="18" t="n">
        <v>5</v>
      </c>
    </row>
    <row r="135" customFormat="false" ht="15" hidden="false" customHeight="false" outlineLevel="0" collapsed="false">
      <c r="A135" s="28" t="n">
        <v>13001.5295917167</v>
      </c>
      <c r="B135" s="29" t="n">
        <v>7</v>
      </c>
      <c r="C135" s="18" t="n">
        <v>7</v>
      </c>
      <c r="D135" s="18" t="n">
        <v>7</v>
      </c>
      <c r="E135" s="18" t="n">
        <v>7</v>
      </c>
      <c r="F135" s="18" t="n">
        <v>7</v>
      </c>
      <c r="G135" s="18" t="n">
        <v>5</v>
      </c>
      <c r="H135" s="18" t="n">
        <v>5</v>
      </c>
      <c r="I135" s="18" t="n">
        <v>5</v>
      </c>
      <c r="J135" s="18" t="n">
        <v>5</v>
      </c>
    </row>
    <row r="136" customFormat="false" ht="15" hidden="false" customHeight="false" outlineLevel="0" collapsed="false">
      <c r="A136" s="28" t="n">
        <v>13101.5413578068</v>
      </c>
      <c r="B136" s="29" t="n">
        <v>7</v>
      </c>
      <c r="C136" s="18" t="n">
        <v>7</v>
      </c>
      <c r="D136" s="18" t="n">
        <v>7</v>
      </c>
      <c r="E136" s="18" t="n">
        <v>7</v>
      </c>
      <c r="F136" s="18" t="n">
        <v>7</v>
      </c>
      <c r="G136" s="18" t="n">
        <v>5</v>
      </c>
      <c r="H136" s="18" t="n">
        <v>5</v>
      </c>
      <c r="I136" s="18" t="n">
        <v>5</v>
      </c>
      <c r="J136" s="18" t="n">
        <v>5</v>
      </c>
    </row>
    <row r="137" customFormat="false" ht="15" hidden="false" customHeight="false" outlineLevel="0" collapsed="false">
      <c r="A137" s="28" t="n">
        <v>13201.5531238969</v>
      </c>
      <c r="B137" s="29" t="n">
        <v>7</v>
      </c>
      <c r="C137" s="18" t="n">
        <v>7</v>
      </c>
      <c r="D137" s="18" t="n">
        <v>7</v>
      </c>
      <c r="E137" s="18" t="n">
        <v>7</v>
      </c>
      <c r="F137" s="18" t="n">
        <v>7</v>
      </c>
      <c r="G137" s="18" t="n">
        <v>5</v>
      </c>
      <c r="H137" s="18" t="n">
        <v>5</v>
      </c>
      <c r="I137" s="18" t="n">
        <v>5</v>
      </c>
      <c r="J137" s="18" t="n">
        <v>5</v>
      </c>
    </row>
    <row r="138" customFormat="false" ht="15" hidden="false" customHeight="false" outlineLevel="0" collapsed="false">
      <c r="A138" s="28" t="n">
        <v>13301.5648899871</v>
      </c>
      <c r="B138" s="29" t="n">
        <v>7</v>
      </c>
      <c r="C138" s="18" t="n">
        <v>7</v>
      </c>
      <c r="D138" s="18" t="n">
        <v>7</v>
      </c>
      <c r="E138" s="18" t="n">
        <v>7</v>
      </c>
      <c r="F138" s="18" t="n">
        <v>7</v>
      </c>
      <c r="G138" s="18" t="n">
        <v>5</v>
      </c>
      <c r="H138" s="18" t="n">
        <v>5</v>
      </c>
      <c r="I138" s="18" t="n">
        <v>5</v>
      </c>
      <c r="J138" s="18" t="n">
        <v>5</v>
      </c>
    </row>
    <row r="139" customFormat="false" ht="15" hidden="false" customHeight="false" outlineLevel="0" collapsed="false">
      <c r="A139" s="28" t="n">
        <v>13401.5766560772</v>
      </c>
      <c r="B139" s="29" t="n">
        <v>7</v>
      </c>
      <c r="C139" s="18" t="n">
        <v>7</v>
      </c>
      <c r="D139" s="18" t="n">
        <v>7</v>
      </c>
      <c r="E139" s="18" t="n">
        <v>7</v>
      </c>
      <c r="F139" s="18" t="n">
        <v>7</v>
      </c>
      <c r="G139" s="18" t="n">
        <v>5</v>
      </c>
      <c r="H139" s="18" t="n">
        <v>5</v>
      </c>
      <c r="I139" s="18" t="n">
        <v>5</v>
      </c>
      <c r="J139" s="18" t="n">
        <v>5</v>
      </c>
    </row>
    <row r="140" customFormat="false" ht="15" hidden="false" customHeight="false" outlineLevel="0" collapsed="false">
      <c r="A140" s="28" t="n">
        <v>13501.5884221673</v>
      </c>
      <c r="B140" s="29" t="n">
        <v>7</v>
      </c>
      <c r="C140" s="18" t="n">
        <v>7</v>
      </c>
      <c r="D140" s="18" t="n">
        <v>7</v>
      </c>
      <c r="E140" s="18" t="n">
        <v>7</v>
      </c>
      <c r="F140" s="18" t="n">
        <v>7</v>
      </c>
      <c r="G140" s="18" t="n">
        <v>5</v>
      </c>
      <c r="H140" s="18" t="n">
        <v>5</v>
      </c>
      <c r="I140" s="18" t="n">
        <v>5</v>
      </c>
      <c r="J140" s="18" t="n">
        <v>5</v>
      </c>
    </row>
    <row r="141" customFormat="false" ht="15" hidden="false" customHeight="false" outlineLevel="0" collapsed="false">
      <c r="A141" s="28" t="n">
        <v>13601.6001882574</v>
      </c>
      <c r="B141" s="29" t="n">
        <v>7</v>
      </c>
      <c r="C141" s="18" t="n">
        <v>7</v>
      </c>
      <c r="D141" s="18" t="n">
        <v>7</v>
      </c>
      <c r="E141" s="18" t="n">
        <v>7</v>
      </c>
      <c r="F141" s="18" t="n">
        <v>7</v>
      </c>
      <c r="G141" s="18" t="n">
        <v>5</v>
      </c>
      <c r="H141" s="18" t="n">
        <v>5</v>
      </c>
      <c r="I141" s="18" t="n">
        <v>5</v>
      </c>
      <c r="J141" s="18" t="n">
        <v>5</v>
      </c>
    </row>
    <row r="142" customFormat="false" ht="15" hidden="false" customHeight="false" outlineLevel="0" collapsed="false">
      <c r="A142" s="28" t="n">
        <v>13701.6119543476</v>
      </c>
      <c r="B142" s="29" t="n">
        <v>7</v>
      </c>
      <c r="C142" s="18" t="n">
        <v>7</v>
      </c>
      <c r="D142" s="18" t="n">
        <v>7</v>
      </c>
      <c r="E142" s="18" t="n">
        <v>7</v>
      </c>
      <c r="F142" s="18" t="n">
        <v>7</v>
      </c>
      <c r="G142" s="18" t="n">
        <v>5</v>
      </c>
      <c r="H142" s="18" t="n">
        <v>5</v>
      </c>
      <c r="I142" s="18" t="n">
        <v>5</v>
      </c>
      <c r="J142" s="18" t="n">
        <v>5</v>
      </c>
    </row>
    <row r="143" customFormat="false" ht="15" hidden="false" customHeight="false" outlineLevel="0" collapsed="false">
      <c r="A143" s="28" t="n">
        <v>13801.6237204377</v>
      </c>
      <c r="B143" s="29" t="n">
        <v>7</v>
      </c>
      <c r="C143" s="18" t="n">
        <v>7</v>
      </c>
      <c r="D143" s="18" t="n">
        <v>7</v>
      </c>
      <c r="E143" s="18" t="n">
        <v>7</v>
      </c>
      <c r="F143" s="18" t="n">
        <v>7</v>
      </c>
      <c r="G143" s="18" t="n">
        <v>5</v>
      </c>
      <c r="H143" s="18" t="n">
        <v>5</v>
      </c>
      <c r="I143" s="18" t="n">
        <v>5</v>
      </c>
      <c r="J143" s="18" t="n">
        <v>5</v>
      </c>
    </row>
    <row r="144" customFormat="false" ht="15" hidden="false" customHeight="false" outlineLevel="0" collapsed="false">
      <c r="A144" s="28" t="n">
        <v>13901.6354865278</v>
      </c>
      <c r="B144" s="29" t="n">
        <v>7</v>
      </c>
      <c r="C144" s="18" t="n">
        <v>7</v>
      </c>
      <c r="D144" s="18" t="n">
        <v>7</v>
      </c>
      <c r="E144" s="18" t="n">
        <v>7</v>
      </c>
      <c r="F144" s="18" t="n">
        <v>7</v>
      </c>
      <c r="G144" s="18" t="n">
        <v>5</v>
      </c>
      <c r="H144" s="18" t="n">
        <v>5</v>
      </c>
      <c r="I144" s="18" t="n">
        <v>5</v>
      </c>
      <c r="J144" s="18" t="n">
        <v>5</v>
      </c>
    </row>
    <row r="145" customFormat="false" ht="15" hidden="false" customHeight="false" outlineLevel="0" collapsed="false">
      <c r="A145" s="28" t="n">
        <v>14001.647252618</v>
      </c>
      <c r="B145" s="29" t="n">
        <v>7</v>
      </c>
      <c r="C145" s="18" t="n">
        <v>7</v>
      </c>
      <c r="D145" s="18" t="n">
        <v>7</v>
      </c>
      <c r="E145" s="18" t="n">
        <v>7</v>
      </c>
      <c r="F145" s="18" t="n">
        <v>7</v>
      </c>
      <c r="G145" s="18" t="n">
        <v>5</v>
      </c>
      <c r="H145" s="18" t="n">
        <v>5</v>
      </c>
      <c r="I145" s="18" t="n">
        <v>5</v>
      </c>
      <c r="J145" s="18" t="n">
        <v>5</v>
      </c>
    </row>
    <row r="146" customFormat="false" ht="15" hidden="false" customHeight="false" outlineLevel="0" collapsed="false">
      <c r="A146" s="28" t="n">
        <v>14101.6590187081</v>
      </c>
      <c r="B146" s="29" t="n">
        <v>7</v>
      </c>
      <c r="C146" s="18" t="n">
        <v>7</v>
      </c>
      <c r="D146" s="18" t="n">
        <v>7</v>
      </c>
      <c r="E146" s="18" t="n">
        <v>7</v>
      </c>
      <c r="F146" s="18" t="n">
        <v>7</v>
      </c>
      <c r="G146" s="18" t="n">
        <v>5</v>
      </c>
      <c r="H146" s="18" t="n">
        <v>5</v>
      </c>
      <c r="I146" s="18" t="n">
        <v>5</v>
      </c>
      <c r="J146" s="18" t="n">
        <v>5</v>
      </c>
    </row>
    <row r="147" customFormat="false" ht="15" hidden="false" customHeight="false" outlineLevel="0" collapsed="false">
      <c r="A147" s="28" t="n">
        <v>14201.6707847982</v>
      </c>
      <c r="B147" s="29" t="n">
        <v>7</v>
      </c>
      <c r="C147" s="18" t="n">
        <v>7</v>
      </c>
      <c r="D147" s="18" t="n">
        <v>7</v>
      </c>
      <c r="E147" s="18" t="n">
        <v>7</v>
      </c>
      <c r="F147" s="18" t="n">
        <v>7</v>
      </c>
      <c r="G147" s="18" t="n">
        <v>5</v>
      </c>
      <c r="H147" s="18" t="n">
        <v>5</v>
      </c>
      <c r="I147" s="18" t="n">
        <v>5</v>
      </c>
      <c r="J147" s="18" t="n">
        <v>5</v>
      </c>
    </row>
    <row r="148" customFormat="false" ht="15" hidden="false" customHeight="false" outlineLevel="0" collapsed="false">
      <c r="A148" s="28" t="n">
        <v>14301.6825508883</v>
      </c>
      <c r="B148" s="29" t="n">
        <v>7</v>
      </c>
      <c r="C148" s="18" t="n">
        <v>7</v>
      </c>
      <c r="D148" s="18" t="n">
        <v>7</v>
      </c>
      <c r="E148" s="18" t="n">
        <v>7</v>
      </c>
      <c r="F148" s="18" t="n">
        <v>7</v>
      </c>
      <c r="G148" s="18" t="n">
        <v>5</v>
      </c>
      <c r="H148" s="18" t="n">
        <v>5</v>
      </c>
      <c r="I148" s="18" t="n">
        <v>5</v>
      </c>
      <c r="J148" s="18" t="n">
        <v>5</v>
      </c>
    </row>
    <row r="149" customFormat="false" ht="15" hidden="false" customHeight="false" outlineLevel="0" collapsed="false">
      <c r="A149" s="28" t="n">
        <v>14401.6943169785</v>
      </c>
      <c r="B149" s="29" t="n">
        <v>7</v>
      </c>
      <c r="C149" s="18" t="n">
        <v>7</v>
      </c>
      <c r="D149" s="18" t="n">
        <v>7</v>
      </c>
      <c r="E149" s="18" t="n">
        <v>7</v>
      </c>
      <c r="F149" s="18" t="n">
        <v>7</v>
      </c>
      <c r="G149" s="18" t="n">
        <v>5</v>
      </c>
      <c r="H149" s="18" t="n">
        <v>5</v>
      </c>
      <c r="I149" s="18" t="n">
        <v>5</v>
      </c>
      <c r="J149" s="18" t="n">
        <v>5</v>
      </c>
    </row>
    <row r="150" customFormat="false" ht="15" hidden="false" customHeight="false" outlineLevel="0" collapsed="false">
      <c r="A150" s="28" t="n">
        <v>14501.7060830686</v>
      </c>
      <c r="B150" s="29" t="n">
        <v>7</v>
      </c>
      <c r="C150" s="18" t="n">
        <v>7</v>
      </c>
      <c r="D150" s="18" t="n">
        <v>7</v>
      </c>
      <c r="E150" s="18" t="n">
        <v>7</v>
      </c>
      <c r="F150" s="18" t="n">
        <v>7</v>
      </c>
      <c r="G150" s="18" t="n">
        <v>5</v>
      </c>
      <c r="H150" s="18" t="n">
        <v>5</v>
      </c>
      <c r="I150" s="18" t="n">
        <v>5</v>
      </c>
      <c r="J150" s="18" t="n">
        <v>5</v>
      </c>
    </row>
    <row r="151" customFormat="false" ht="15" hidden="false" customHeight="false" outlineLevel="0" collapsed="false">
      <c r="A151" s="28" t="n">
        <v>14601.7178491587</v>
      </c>
      <c r="B151" s="29" t="n">
        <v>7</v>
      </c>
      <c r="C151" s="18" t="n">
        <v>7</v>
      </c>
      <c r="D151" s="18" t="n">
        <v>7</v>
      </c>
      <c r="E151" s="18" t="n">
        <v>7</v>
      </c>
      <c r="F151" s="18" t="n">
        <v>7</v>
      </c>
      <c r="G151" s="18" t="n">
        <v>5</v>
      </c>
      <c r="H151" s="18" t="n">
        <v>5</v>
      </c>
      <c r="I151" s="18" t="n">
        <v>5</v>
      </c>
      <c r="J151" s="18" t="n">
        <v>5</v>
      </c>
    </row>
    <row r="152" customFormat="false" ht="15" hidden="false" customHeight="false" outlineLevel="0" collapsed="false">
      <c r="A152" s="28" t="n">
        <v>14701.7296152489</v>
      </c>
      <c r="B152" s="29" t="n">
        <v>7</v>
      </c>
      <c r="C152" s="18" t="n">
        <v>7</v>
      </c>
      <c r="D152" s="18" t="n">
        <v>7</v>
      </c>
      <c r="E152" s="18" t="n">
        <v>7</v>
      </c>
      <c r="F152" s="18" t="n">
        <v>7</v>
      </c>
      <c r="G152" s="18" t="n">
        <v>5</v>
      </c>
      <c r="H152" s="18" t="n">
        <v>5</v>
      </c>
      <c r="I152" s="18" t="n">
        <v>5</v>
      </c>
      <c r="J152" s="18" t="n">
        <v>5</v>
      </c>
    </row>
    <row r="153" customFormat="false" ht="15" hidden="false" customHeight="false" outlineLevel="0" collapsed="false">
      <c r="A153" s="28" t="n">
        <v>14801.741381339</v>
      </c>
      <c r="B153" s="29" t="n">
        <v>7</v>
      </c>
      <c r="C153" s="18" t="n">
        <v>7</v>
      </c>
      <c r="D153" s="18" t="n">
        <v>7</v>
      </c>
      <c r="E153" s="18" t="n">
        <v>7</v>
      </c>
      <c r="F153" s="18" t="n">
        <v>7</v>
      </c>
      <c r="G153" s="18" t="n">
        <v>5</v>
      </c>
      <c r="H153" s="18" t="n">
        <v>5</v>
      </c>
      <c r="I153" s="18" t="n">
        <v>5</v>
      </c>
      <c r="J153" s="18" t="n">
        <v>5</v>
      </c>
    </row>
    <row r="154" customFormat="false" ht="15" hidden="false" customHeight="false" outlineLevel="0" collapsed="false">
      <c r="A154" s="28" t="n">
        <v>14901.7531474291</v>
      </c>
      <c r="B154" s="29" t="n">
        <v>7</v>
      </c>
      <c r="C154" s="18" t="n">
        <v>7</v>
      </c>
      <c r="D154" s="18" t="n">
        <v>7</v>
      </c>
      <c r="E154" s="18" t="n">
        <v>7</v>
      </c>
      <c r="F154" s="18" t="n">
        <v>7</v>
      </c>
      <c r="G154" s="18" t="n">
        <v>5</v>
      </c>
      <c r="H154" s="18" t="n">
        <v>5</v>
      </c>
      <c r="I154" s="18" t="n">
        <v>5</v>
      </c>
      <c r="J154" s="18" t="n">
        <v>5</v>
      </c>
    </row>
    <row r="155" customFormat="false" ht="15" hidden="false" customHeight="false" outlineLevel="0" collapsed="false">
      <c r="A155" s="28" t="n">
        <v>15001.7649135192</v>
      </c>
      <c r="B155" s="29" t="n">
        <v>7</v>
      </c>
      <c r="C155" s="18" t="n">
        <v>7</v>
      </c>
      <c r="D155" s="18" t="n">
        <v>7</v>
      </c>
      <c r="E155" s="18" t="n">
        <v>7</v>
      </c>
      <c r="F155" s="18" t="n">
        <v>7</v>
      </c>
      <c r="G155" s="18" t="n">
        <v>5</v>
      </c>
      <c r="H155" s="18" t="n">
        <v>5</v>
      </c>
      <c r="I155" s="18" t="n">
        <v>5</v>
      </c>
      <c r="J155" s="18" t="n">
        <v>5</v>
      </c>
    </row>
    <row r="156" customFormat="false" ht="15" hidden="false" customHeight="false" outlineLevel="0" collapsed="false">
      <c r="A156" s="28" t="n">
        <v>15101.7766796094</v>
      </c>
      <c r="B156" s="29" t="n">
        <v>7</v>
      </c>
      <c r="C156" s="18" t="n">
        <v>7</v>
      </c>
      <c r="D156" s="18" t="n">
        <v>7</v>
      </c>
      <c r="E156" s="18" t="n">
        <v>7</v>
      </c>
      <c r="F156" s="18" t="n">
        <v>7</v>
      </c>
      <c r="G156" s="18" t="n">
        <v>5</v>
      </c>
      <c r="H156" s="18" t="n">
        <v>5</v>
      </c>
      <c r="I156" s="18" t="n">
        <v>5</v>
      </c>
      <c r="J156" s="18" t="n">
        <v>5</v>
      </c>
    </row>
    <row r="157" customFormat="false" ht="15" hidden="false" customHeight="false" outlineLevel="0" collapsed="false">
      <c r="A157" s="28" t="n">
        <v>15201.7884456995</v>
      </c>
      <c r="B157" s="29" t="n">
        <v>7</v>
      </c>
      <c r="C157" s="18" t="n">
        <v>7</v>
      </c>
      <c r="D157" s="18" t="n">
        <v>7</v>
      </c>
      <c r="E157" s="18" t="n">
        <v>7</v>
      </c>
      <c r="F157" s="18" t="n">
        <v>7</v>
      </c>
      <c r="G157" s="18" t="n">
        <v>5</v>
      </c>
      <c r="H157" s="18" t="n">
        <v>5</v>
      </c>
      <c r="I157" s="18" t="n">
        <v>5</v>
      </c>
      <c r="J157" s="18" t="n">
        <v>5</v>
      </c>
    </row>
    <row r="158" customFormat="false" ht="15" hidden="false" customHeight="false" outlineLevel="0" collapsed="false">
      <c r="A158" s="28" t="n">
        <v>15301.8002117896</v>
      </c>
      <c r="B158" s="29" t="n">
        <v>7</v>
      </c>
      <c r="C158" s="18" t="n">
        <v>7</v>
      </c>
      <c r="D158" s="18" t="n">
        <v>7</v>
      </c>
      <c r="E158" s="18" t="n">
        <v>7</v>
      </c>
      <c r="F158" s="18" t="n">
        <v>7</v>
      </c>
      <c r="G158" s="18" t="n">
        <v>5</v>
      </c>
      <c r="H158" s="18" t="n">
        <v>5</v>
      </c>
      <c r="I158" s="18" t="n">
        <v>5</v>
      </c>
      <c r="J158" s="18" t="n">
        <v>5</v>
      </c>
    </row>
    <row r="159" customFormat="false" ht="15" hidden="false" customHeight="false" outlineLevel="0" collapsed="false">
      <c r="A159" s="28" t="n">
        <v>15401.8119778798</v>
      </c>
      <c r="B159" s="29" t="n">
        <v>7</v>
      </c>
      <c r="C159" s="18" t="n">
        <v>7</v>
      </c>
      <c r="D159" s="18" t="n">
        <v>7</v>
      </c>
      <c r="E159" s="18" t="n">
        <v>7</v>
      </c>
      <c r="F159" s="18" t="n">
        <v>7</v>
      </c>
      <c r="G159" s="18" t="n">
        <v>5</v>
      </c>
      <c r="H159" s="18" t="n">
        <v>5</v>
      </c>
      <c r="I159" s="18" t="n">
        <v>5</v>
      </c>
      <c r="J159" s="18" t="n">
        <v>5</v>
      </c>
    </row>
    <row r="160" customFormat="false" ht="15" hidden="false" customHeight="false" outlineLevel="0" collapsed="false">
      <c r="A160" s="28" t="n">
        <v>15501.8237439699</v>
      </c>
      <c r="B160" s="29" t="n">
        <v>7</v>
      </c>
      <c r="C160" s="18" t="n">
        <v>7</v>
      </c>
      <c r="D160" s="18" t="n">
        <v>7</v>
      </c>
      <c r="E160" s="18" t="n">
        <v>7</v>
      </c>
      <c r="F160" s="18" t="n">
        <v>7</v>
      </c>
      <c r="G160" s="18" t="n">
        <v>5</v>
      </c>
      <c r="H160" s="18" t="n">
        <v>5</v>
      </c>
      <c r="I160" s="18" t="n">
        <v>5</v>
      </c>
      <c r="J160" s="18" t="n">
        <v>5</v>
      </c>
    </row>
    <row r="161" customFormat="false" ht="15" hidden="false" customHeight="false" outlineLevel="0" collapsed="false">
      <c r="A161" s="28" t="n">
        <v>15601.83551006</v>
      </c>
      <c r="B161" s="29" t="n">
        <v>7</v>
      </c>
      <c r="C161" s="18" t="n">
        <v>7</v>
      </c>
      <c r="D161" s="18" t="n">
        <v>7</v>
      </c>
      <c r="E161" s="18" t="n">
        <v>7</v>
      </c>
      <c r="F161" s="18" t="n">
        <v>7</v>
      </c>
      <c r="G161" s="18" t="n">
        <v>5</v>
      </c>
      <c r="H161" s="18" t="n">
        <v>5</v>
      </c>
      <c r="I161" s="18" t="n">
        <v>5</v>
      </c>
      <c r="J161" s="18" t="n">
        <v>5</v>
      </c>
    </row>
    <row r="162" customFormat="false" ht="15" hidden="false" customHeight="false" outlineLevel="0" collapsed="false">
      <c r="A162" s="28" t="n">
        <v>15701.8472761501</v>
      </c>
      <c r="B162" s="29" t="n">
        <v>7</v>
      </c>
      <c r="C162" s="18" t="n">
        <v>7</v>
      </c>
      <c r="D162" s="18" t="n">
        <v>7</v>
      </c>
      <c r="E162" s="18" t="n">
        <v>7</v>
      </c>
      <c r="F162" s="18" t="n">
        <v>7</v>
      </c>
      <c r="G162" s="18" t="n">
        <v>5</v>
      </c>
      <c r="H162" s="18" t="n">
        <v>5</v>
      </c>
      <c r="I162" s="18" t="n">
        <v>5</v>
      </c>
      <c r="J162" s="18" t="n">
        <v>5</v>
      </c>
    </row>
    <row r="163" customFormat="false" ht="15" hidden="false" customHeight="false" outlineLevel="0" collapsed="false">
      <c r="A163" s="28" t="n">
        <v>15801.8590422403</v>
      </c>
      <c r="B163" s="29" t="n">
        <v>7</v>
      </c>
      <c r="C163" s="18" t="n">
        <v>7</v>
      </c>
      <c r="D163" s="18" t="n">
        <v>7</v>
      </c>
      <c r="E163" s="18" t="n">
        <v>7</v>
      </c>
      <c r="F163" s="18" t="n">
        <v>7</v>
      </c>
      <c r="G163" s="18" t="n">
        <v>5</v>
      </c>
      <c r="H163" s="18" t="n">
        <v>5</v>
      </c>
      <c r="I163" s="18" t="n">
        <v>5</v>
      </c>
      <c r="J163" s="18" t="n">
        <v>5</v>
      </c>
    </row>
    <row r="164" customFormat="false" ht="15" hidden="false" customHeight="false" outlineLevel="0" collapsed="false">
      <c r="A164" s="28" t="n">
        <v>15901.8708083304</v>
      </c>
      <c r="B164" s="29" t="n">
        <v>7</v>
      </c>
      <c r="C164" s="18" t="n">
        <v>7</v>
      </c>
      <c r="D164" s="18" t="n">
        <v>7</v>
      </c>
      <c r="E164" s="18" t="n">
        <v>7</v>
      </c>
      <c r="F164" s="18" t="n">
        <v>7</v>
      </c>
      <c r="G164" s="18" t="n">
        <v>5</v>
      </c>
      <c r="H164" s="18" t="n">
        <v>5</v>
      </c>
      <c r="I164" s="18" t="n">
        <v>5</v>
      </c>
      <c r="J164" s="18" t="n">
        <v>5</v>
      </c>
    </row>
    <row r="165" customFormat="false" ht="15" hidden="false" customHeight="false" outlineLevel="0" collapsed="false">
      <c r="A165" s="28" t="n">
        <v>16001.8825744205</v>
      </c>
      <c r="B165" s="29" t="n">
        <v>7</v>
      </c>
      <c r="C165" s="18" t="n">
        <v>7</v>
      </c>
      <c r="D165" s="18" t="n">
        <v>7</v>
      </c>
      <c r="E165" s="18" t="n">
        <v>7</v>
      </c>
      <c r="F165" s="18" t="n">
        <v>7</v>
      </c>
      <c r="G165" s="18" t="n">
        <v>5</v>
      </c>
      <c r="H165" s="18" t="n">
        <v>5</v>
      </c>
      <c r="I165" s="18" t="n">
        <v>5</v>
      </c>
      <c r="J165" s="18" t="n">
        <v>5</v>
      </c>
    </row>
    <row r="166" customFormat="false" ht="15" hidden="false" customHeight="false" outlineLevel="0" collapsed="false">
      <c r="A166" s="28" t="n">
        <v>16101.8943405107</v>
      </c>
      <c r="B166" s="29" t="n">
        <v>7</v>
      </c>
      <c r="C166" s="18" t="n">
        <v>7</v>
      </c>
      <c r="D166" s="18" t="n">
        <v>7</v>
      </c>
      <c r="E166" s="18" t="n">
        <v>7</v>
      </c>
      <c r="F166" s="18" t="n">
        <v>7</v>
      </c>
      <c r="G166" s="18" t="n">
        <v>5</v>
      </c>
      <c r="H166" s="18" t="n">
        <v>5</v>
      </c>
      <c r="I166" s="18" t="n">
        <v>5</v>
      </c>
      <c r="J166" s="18" t="n">
        <v>5</v>
      </c>
    </row>
    <row r="167" customFormat="false" ht="15" hidden="false" customHeight="false" outlineLevel="0" collapsed="false">
      <c r="A167" s="28" t="n">
        <v>16201.9061066008</v>
      </c>
      <c r="B167" s="29" t="n">
        <v>7</v>
      </c>
      <c r="C167" s="18" t="n">
        <v>7</v>
      </c>
      <c r="D167" s="18" t="n">
        <v>7</v>
      </c>
      <c r="E167" s="18" t="n">
        <v>7</v>
      </c>
      <c r="F167" s="18" t="n">
        <v>7</v>
      </c>
      <c r="G167" s="18" t="n">
        <v>5</v>
      </c>
      <c r="H167" s="18" t="n">
        <v>5</v>
      </c>
      <c r="I167" s="18" t="n">
        <v>5</v>
      </c>
      <c r="J167" s="18" t="n">
        <v>5</v>
      </c>
    </row>
    <row r="168" customFormat="false" ht="15" hidden="false" customHeight="false" outlineLevel="0" collapsed="false">
      <c r="A168" s="28" t="n">
        <v>16301.9178726909</v>
      </c>
      <c r="B168" s="29" t="n">
        <v>7</v>
      </c>
      <c r="C168" s="18" t="n">
        <v>7</v>
      </c>
      <c r="D168" s="18" t="n">
        <v>7</v>
      </c>
      <c r="E168" s="18" t="n">
        <v>7</v>
      </c>
      <c r="F168" s="18" t="n">
        <v>7</v>
      </c>
      <c r="G168" s="18" t="n">
        <v>5</v>
      </c>
      <c r="H168" s="18" t="n">
        <v>5</v>
      </c>
      <c r="I168" s="18" t="n">
        <v>5</v>
      </c>
      <c r="J168" s="18" t="n">
        <v>5</v>
      </c>
    </row>
    <row r="169" customFormat="false" ht="15" hidden="false" customHeight="false" outlineLevel="0" collapsed="false">
      <c r="A169" s="28" t="n">
        <v>16401.929638781</v>
      </c>
      <c r="B169" s="29" t="n">
        <v>7</v>
      </c>
      <c r="C169" s="18" t="n">
        <v>7</v>
      </c>
      <c r="D169" s="18" t="n">
        <v>7</v>
      </c>
      <c r="E169" s="18" t="n">
        <v>7</v>
      </c>
      <c r="F169" s="18" t="n">
        <v>7</v>
      </c>
      <c r="G169" s="18" t="n">
        <v>5</v>
      </c>
      <c r="H169" s="18" t="n">
        <v>5</v>
      </c>
      <c r="I169" s="18" t="n">
        <v>5</v>
      </c>
      <c r="J169" s="18" t="n">
        <v>5</v>
      </c>
    </row>
    <row r="170" customFormat="false" ht="15" hidden="false" customHeight="false" outlineLevel="0" collapsed="false">
      <c r="A170" s="28" t="n">
        <v>16501.9414048712</v>
      </c>
      <c r="B170" s="29" t="n">
        <v>7</v>
      </c>
      <c r="C170" s="18" t="n">
        <v>7</v>
      </c>
      <c r="D170" s="18" t="n">
        <v>7</v>
      </c>
      <c r="E170" s="18" t="n">
        <v>7</v>
      </c>
      <c r="F170" s="18" t="n">
        <v>7</v>
      </c>
      <c r="G170" s="18" t="n">
        <v>5</v>
      </c>
      <c r="H170" s="18" t="n">
        <v>5</v>
      </c>
      <c r="I170" s="18" t="n">
        <v>5</v>
      </c>
      <c r="J170" s="18" t="n">
        <v>5</v>
      </c>
    </row>
    <row r="171" customFormat="false" ht="15" hidden="false" customHeight="false" outlineLevel="0" collapsed="false">
      <c r="A171" s="28" t="n">
        <v>16601.9531709613</v>
      </c>
      <c r="B171" s="29" t="n">
        <v>7</v>
      </c>
      <c r="C171" s="18" t="n">
        <v>7</v>
      </c>
      <c r="D171" s="18" t="n">
        <v>7</v>
      </c>
      <c r="E171" s="18" t="n">
        <v>7</v>
      </c>
      <c r="F171" s="18" t="n">
        <v>7</v>
      </c>
      <c r="G171" s="18" t="n">
        <v>5</v>
      </c>
      <c r="H171" s="18" t="n">
        <v>5</v>
      </c>
      <c r="I171" s="18" t="n">
        <v>5</v>
      </c>
      <c r="J171" s="18" t="n">
        <v>5</v>
      </c>
    </row>
    <row r="172" customFormat="false" ht="15" hidden="false" customHeight="false" outlineLevel="0" collapsed="false">
      <c r="A172" s="28" t="n">
        <v>16701.9649370514</v>
      </c>
      <c r="B172" s="29" t="n">
        <v>7</v>
      </c>
      <c r="C172" s="18" t="n">
        <v>7</v>
      </c>
      <c r="D172" s="18" t="n">
        <v>7</v>
      </c>
      <c r="E172" s="18" t="n">
        <v>7</v>
      </c>
      <c r="F172" s="18" t="n">
        <v>7</v>
      </c>
      <c r="G172" s="18" t="n">
        <v>5</v>
      </c>
      <c r="H172" s="18" t="n">
        <v>5</v>
      </c>
      <c r="I172" s="18" t="n">
        <v>5</v>
      </c>
      <c r="J172" s="18" t="n">
        <v>5</v>
      </c>
    </row>
    <row r="173" customFormat="false" ht="15" hidden="false" customHeight="false" outlineLevel="0" collapsed="false">
      <c r="A173" s="28" t="n">
        <v>16801.9767031416</v>
      </c>
      <c r="B173" s="29" t="n">
        <v>7</v>
      </c>
      <c r="C173" s="18" t="n">
        <v>7</v>
      </c>
      <c r="D173" s="18" t="n">
        <v>7</v>
      </c>
      <c r="E173" s="18" t="n">
        <v>7</v>
      </c>
      <c r="F173" s="18" t="n">
        <v>7</v>
      </c>
      <c r="G173" s="18" t="n">
        <v>5</v>
      </c>
      <c r="H173" s="18" t="n">
        <v>5</v>
      </c>
      <c r="I173" s="18" t="n">
        <v>5</v>
      </c>
      <c r="J173" s="18" t="n">
        <v>5</v>
      </c>
    </row>
    <row r="174" customFormat="false" ht="15" hidden="false" customHeight="false" outlineLevel="0" collapsed="false">
      <c r="A174" s="28" t="n">
        <v>16901.9884692317</v>
      </c>
      <c r="B174" s="29" t="n">
        <v>7</v>
      </c>
      <c r="C174" s="18" t="n">
        <v>7</v>
      </c>
      <c r="D174" s="18" t="n">
        <v>7</v>
      </c>
      <c r="E174" s="18" t="n">
        <v>7</v>
      </c>
      <c r="F174" s="18" t="n">
        <v>7</v>
      </c>
      <c r="G174" s="18" t="n">
        <v>5</v>
      </c>
      <c r="H174" s="18" t="n">
        <v>5</v>
      </c>
      <c r="I174" s="18" t="n">
        <v>5</v>
      </c>
      <c r="J174" s="18" t="n">
        <v>5</v>
      </c>
    </row>
    <row r="175" customFormat="false" ht="15" hidden="false" customHeight="false" outlineLevel="0" collapsed="false">
      <c r="A175" s="28" t="n">
        <v>17002.0002353218</v>
      </c>
      <c r="B175" s="29" t="n">
        <v>7</v>
      </c>
      <c r="C175" s="18" t="n">
        <v>7</v>
      </c>
      <c r="D175" s="18" t="n">
        <v>7</v>
      </c>
      <c r="E175" s="18" t="n">
        <v>7</v>
      </c>
      <c r="F175" s="18" t="n">
        <v>7</v>
      </c>
      <c r="G175" s="18" t="n">
        <v>5</v>
      </c>
      <c r="H175" s="18" t="n">
        <v>5</v>
      </c>
      <c r="I175" s="18" t="n">
        <v>5</v>
      </c>
      <c r="J175" s="18" t="n">
        <v>5</v>
      </c>
    </row>
    <row r="176" customFormat="false" ht="15" hidden="false" customHeight="false" outlineLevel="0" collapsed="false">
      <c r="A176" s="28" t="n">
        <v>17102.0120014119</v>
      </c>
      <c r="B176" s="29" t="n">
        <v>7</v>
      </c>
      <c r="C176" s="18" t="n">
        <v>7</v>
      </c>
      <c r="D176" s="18" t="n">
        <v>7</v>
      </c>
      <c r="E176" s="18" t="n">
        <v>7</v>
      </c>
      <c r="F176" s="18" t="n">
        <v>7</v>
      </c>
      <c r="G176" s="18" t="n">
        <v>5</v>
      </c>
      <c r="H176" s="18" t="n">
        <v>5</v>
      </c>
      <c r="I176" s="18" t="n">
        <v>5</v>
      </c>
      <c r="J176" s="18" t="n">
        <v>5</v>
      </c>
    </row>
    <row r="177" customFormat="false" ht="15" hidden="false" customHeight="false" outlineLevel="0" collapsed="false">
      <c r="A177" s="28" t="n">
        <v>17202.0237675021</v>
      </c>
      <c r="B177" s="29" t="n">
        <v>7</v>
      </c>
      <c r="C177" s="18" t="n">
        <v>7</v>
      </c>
      <c r="D177" s="18" t="n">
        <v>7</v>
      </c>
      <c r="E177" s="18" t="n">
        <v>7</v>
      </c>
      <c r="F177" s="18" t="n">
        <v>7</v>
      </c>
      <c r="G177" s="18" t="n">
        <v>5</v>
      </c>
      <c r="H177" s="18" t="n">
        <v>5</v>
      </c>
      <c r="I177" s="18" t="n">
        <v>5</v>
      </c>
      <c r="J177" s="18" t="n">
        <v>5</v>
      </c>
    </row>
    <row r="178" customFormat="false" ht="15" hidden="false" customHeight="false" outlineLevel="0" collapsed="false">
      <c r="A178" s="28" t="n">
        <v>17302.0355335922</v>
      </c>
      <c r="B178" s="29" t="n">
        <v>7</v>
      </c>
      <c r="C178" s="18" t="n">
        <v>7</v>
      </c>
      <c r="D178" s="18" t="n">
        <v>7</v>
      </c>
      <c r="E178" s="18" t="n">
        <v>7</v>
      </c>
      <c r="F178" s="18" t="n">
        <v>7</v>
      </c>
      <c r="G178" s="18" t="n">
        <v>5</v>
      </c>
      <c r="H178" s="18" t="n">
        <v>5</v>
      </c>
      <c r="I178" s="18" t="n">
        <v>5</v>
      </c>
      <c r="J178" s="18" t="n">
        <v>5</v>
      </c>
    </row>
    <row r="179" customFormat="false" ht="15" hidden="false" customHeight="false" outlineLevel="0" collapsed="false">
      <c r="A179" s="28" t="n">
        <v>17402.0472996823</v>
      </c>
      <c r="B179" s="29" t="n">
        <v>7</v>
      </c>
      <c r="C179" s="18" t="n">
        <v>7</v>
      </c>
      <c r="D179" s="18" t="n">
        <v>7</v>
      </c>
      <c r="E179" s="18" t="n">
        <v>7</v>
      </c>
      <c r="F179" s="18" t="n">
        <v>7</v>
      </c>
      <c r="G179" s="18" t="n">
        <v>5</v>
      </c>
      <c r="H179" s="18" t="n">
        <v>5</v>
      </c>
      <c r="I179" s="18" t="n">
        <v>5</v>
      </c>
      <c r="J179" s="18" t="n">
        <v>5</v>
      </c>
    </row>
    <row r="180" customFormat="false" ht="15" hidden="false" customHeight="false" outlineLevel="0" collapsed="false">
      <c r="A180" s="28" t="n">
        <v>17502.0590657724</v>
      </c>
      <c r="B180" s="29" t="n">
        <v>7</v>
      </c>
      <c r="C180" s="18" t="n">
        <v>7</v>
      </c>
      <c r="D180" s="18" t="n">
        <v>7</v>
      </c>
      <c r="E180" s="18" t="n">
        <v>7</v>
      </c>
      <c r="F180" s="18" t="n">
        <v>7</v>
      </c>
      <c r="G180" s="18" t="n">
        <v>5</v>
      </c>
      <c r="H180" s="18" t="n">
        <v>5</v>
      </c>
      <c r="I180" s="18" t="n">
        <v>5</v>
      </c>
      <c r="J180" s="18" t="n">
        <v>5</v>
      </c>
    </row>
    <row r="181" customFormat="false" ht="15" hidden="false" customHeight="false" outlineLevel="0" collapsed="false">
      <c r="A181" s="28" t="n">
        <v>17602.0708318626</v>
      </c>
      <c r="B181" s="29" t="n">
        <v>7</v>
      </c>
      <c r="C181" s="18" t="n">
        <v>7</v>
      </c>
      <c r="D181" s="18" t="n">
        <v>7</v>
      </c>
      <c r="E181" s="18" t="n">
        <v>7</v>
      </c>
      <c r="F181" s="18" t="n">
        <v>7</v>
      </c>
      <c r="G181" s="18" t="n">
        <v>5</v>
      </c>
      <c r="H181" s="18" t="n">
        <v>5</v>
      </c>
      <c r="I181" s="18" t="n">
        <v>5</v>
      </c>
      <c r="J181" s="18" t="n">
        <v>5</v>
      </c>
    </row>
    <row r="182" customFormat="false" ht="15" hidden="false" customHeight="false" outlineLevel="0" collapsed="false">
      <c r="A182" s="28" t="n">
        <v>17702.0825979527</v>
      </c>
      <c r="B182" s="29" t="n">
        <v>7</v>
      </c>
      <c r="C182" s="18" t="n">
        <v>7</v>
      </c>
      <c r="D182" s="18" t="n">
        <v>7</v>
      </c>
      <c r="E182" s="18" t="n">
        <v>7</v>
      </c>
      <c r="F182" s="18" t="n">
        <v>7</v>
      </c>
      <c r="G182" s="18" t="n">
        <v>5</v>
      </c>
      <c r="H182" s="18" t="n">
        <v>5</v>
      </c>
      <c r="I182" s="18" t="n">
        <v>5</v>
      </c>
      <c r="J182" s="18" t="n">
        <v>5</v>
      </c>
    </row>
    <row r="183" customFormat="false" ht="15" hidden="false" customHeight="false" outlineLevel="0" collapsed="false">
      <c r="A183" s="28" t="n">
        <v>17802.0943640428</v>
      </c>
      <c r="B183" s="29" t="n">
        <v>7</v>
      </c>
      <c r="C183" s="18" t="n">
        <v>7</v>
      </c>
      <c r="D183" s="18" t="n">
        <v>7</v>
      </c>
      <c r="E183" s="18" t="n">
        <v>7</v>
      </c>
      <c r="F183" s="18" t="n">
        <v>7</v>
      </c>
      <c r="G183" s="18" t="n">
        <v>5</v>
      </c>
      <c r="H183" s="18" t="n">
        <v>5</v>
      </c>
      <c r="I183" s="18" t="n">
        <v>5</v>
      </c>
      <c r="J183" s="18" t="n">
        <v>5</v>
      </c>
    </row>
    <row r="184" customFormat="false" ht="15" hidden="false" customHeight="false" outlineLevel="0" collapsed="false">
      <c r="A184" s="28" t="n">
        <v>17902.106130133</v>
      </c>
      <c r="B184" s="29" t="n">
        <v>7</v>
      </c>
      <c r="C184" s="18" t="n">
        <v>7</v>
      </c>
      <c r="D184" s="18" t="n">
        <v>7</v>
      </c>
      <c r="E184" s="18" t="n">
        <v>7</v>
      </c>
      <c r="F184" s="18" t="n">
        <v>7</v>
      </c>
      <c r="G184" s="18" t="n">
        <v>5</v>
      </c>
      <c r="H184" s="18" t="n">
        <v>5</v>
      </c>
      <c r="I184" s="18" t="n">
        <v>5</v>
      </c>
      <c r="J184" s="18" t="n">
        <v>5</v>
      </c>
    </row>
    <row r="185" customFormat="false" ht="15" hidden="false" customHeight="false" outlineLevel="0" collapsed="false">
      <c r="A185" s="28" t="n">
        <v>18002.1178962231</v>
      </c>
      <c r="B185" s="29" t="n">
        <v>7</v>
      </c>
      <c r="C185" s="18" t="n">
        <v>7</v>
      </c>
      <c r="D185" s="18" t="n">
        <v>7</v>
      </c>
      <c r="E185" s="18" t="n">
        <v>7</v>
      </c>
      <c r="F185" s="18" t="n">
        <v>7</v>
      </c>
      <c r="G185" s="18" t="n">
        <v>5</v>
      </c>
      <c r="H185" s="18" t="n">
        <v>5</v>
      </c>
      <c r="I185" s="18" t="n">
        <v>5</v>
      </c>
      <c r="J185" s="18" t="n">
        <v>5</v>
      </c>
    </row>
    <row r="186" customFormat="false" ht="15" hidden="false" customHeight="false" outlineLevel="0" collapsed="false">
      <c r="A186" s="28" t="n">
        <v>18102.1296623132</v>
      </c>
      <c r="B186" s="29" t="n">
        <v>7</v>
      </c>
      <c r="C186" s="18" t="n">
        <v>7</v>
      </c>
      <c r="D186" s="18" t="n">
        <v>7</v>
      </c>
      <c r="E186" s="18" t="n">
        <v>7</v>
      </c>
      <c r="F186" s="18" t="n">
        <v>7</v>
      </c>
      <c r="G186" s="18" t="n">
        <v>5</v>
      </c>
      <c r="H186" s="18" t="n">
        <v>5</v>
      </c>
      <c r="I186" s="18" t="n">
        <v>5</v>
      </c>
      <c r="J186" s="18" t="n">
        <v>5</v>
      </c>
    </row>
    <row r="187" customFormat="false" ht="15" hidden="false" customHeight="false" outlineLevel="0" collapsed="false">
      <c r="A187" s="28" t="n">
        <v>18202.1414284033</v>
      </c>
      <c r="B187" s="29" t="n">
        <v>7</v>
      </c>
      <c r="C187" s="18" t="n">
        <v>7</v>
      </c>
      <c r="D187" s="18" t="n">
        <v>7</v>
      </c>
      <c r="E187" s="18" t="n">
        <v>7</v>
      </c>
      <c r="F187" s="18" t="n">
        <v>7</v>
      </c>
      <c r="G187" s="18" t="n">
        <v>5</v>
      </c>
      <c r="H187" s="18" t="n">
        <v>5</v>
      </c>
      <c r="I187" s="18" t="n">
        <v>5</v>
      </c>
      <c r="J187" s="18" t="n">
        <v>5</v>
      </c>
    </row>
    <row r="188" customFormat="false" ht="15" hidden="false" customHeight="false" outlineLevel="0" collapsed="false">
      <c r="A188" s="28" t="n">
        <v>18302.1531944935</v>
      </c>
      <c r="B188" s="29" t="n">
        <v>7</v>
      </c>
      <c r="C188" s="18" t="n">
        <v>7</v>
      </c>
      <c r="D188" s="18" t="n">
        <v>7</v>
      </c>
      <c r="E188" s="18" t="n">
        <v>7</v>
      </c>
      <c r="F188" s="18" t="n">
        <v>7</v>
      </c>
      <c r="G188" s="18" t="n">
        <v>5</v>
      </c>
      <c r="H188" s="18" t="n">
        <v>5</v>
      </c>
      <c r="I188" s="18" t="n">
        <v>5</v>
      </c>
      <c r="J188" s="18" t="n">
        <v>5</v>
      </c>
    </row>
    <row r="189" customFormat="false" ht="15" hidden="false" customHeight="false" outlineLevel="0" collapsed="false">
      <c r="A189" s="28" t="n">
        <v>18402.1649605836</v>
      </c>
      <c r="B189" s="29" t="n">
        <v>7</v>
      </c>
      <c r="C189" s="18" t="n">
        <v>7</v>
      </c>
      <c r="D189" s="18" t="n">
        <v>7</v>
      </c>
      <c r="E189" s="18" t="n">
        <v>7</v>
      </c>
      <c r="F189" s="18" t="n">
        <v>7</v>
      </c>
      <c r="G189" s="18" t="n">
        <v>5</v>
      </c>
      <c r="H189" s="18" t="n">
        <v>5</v>
      </c>
      <c r="I189" s="18" t="n">
        <v>5</v>
      </c>
      <c r="J189" s="18" t="n">
        <v>5</v>
      </c>
    </row>
    <row r="190" customFormat="false" ht="15" hidden="false" customHeight="false" outlineLevel="0" collapsed="false">
      <c r="A190" s="28" t="n">
        <v>18502.1767266737</v>
      </c>
      <c r="B190" s="29" t="n">
        <v>7</v>
      </c>
      <c r="C190" s="18" t="n">
        <v>7</v>
      </c>
      <c r="D190" s="18" t="n">
        <v>7</v>
      </c>
      <c r="E190" s="18" t="n">
        <v>7</v>
      </c>
      <c r="F190" s="18" t="n">
        <v>7</v>
      </c>
      <c r="G190" s="18" t="n">
        <v>5</v>
      </c>
      <c r="H190" s="18" t="n">
        <v>5</v>
      </c>
      <c r="I190" s="18" t="n">
        <v>5</v>
      </c>
      <c r="J190" s="18" t="n">
        <v>5</v>
      </c>
    </row>
    <row r="191" customFormat="false" ht="15" hidden="false" customHeight="false" outlineLevel="0" collapsed="false">
      <c r="A191" s="28" t="n">
        <v>18602.1884927639</v>
      </c>
      <c r="B191" s="29" t="n">
        <v>7</v>
      </c>
      <c r="C191" s="18" t="n">
        <v>7</v>
      </c>
      <c r="D191" s="18" t="n">
        <v>7</v>
      </c>
      <c r="E191" s="18" t="n">
        <v>7</v>
      </c>
      <c r="F191" s="18" t="n">
        <v>7</v>
      </c>
      <c r="G191" s="18" t="n">
        <v>5</v>
      </c>
      <c r="H191" s="18" t="n">
        <v>5</v>
      </c>
      <c r="I191" s="18" t="n">
        <v>5</v>
      </c>
      <c r="J191" s="18" t="n">
        <v>5</v>
      </c>
    </row>
    <row r="192" customFormat="false" ht="15" hidden="false" customHeight="false" outlineLevel="0" collapsed="false">
      <c r="A192" s="28" t="n">
        <v>18702.200258854</v>
      </c>
      <c r="B192" s="29" t="n">
        <v>7</v>
      </c>
      <c r="C192" s="18" t="n">
        <v>7</v>
      </c>
      <c r="D192" s="18" t="n">
        <v>7</v>
      </c>
      <c r="E192" s="18" t="n">
        <v>7</v>
      </c>
      <c r="F192" s="18" t="n">
        <v>7</v>
      </c>
      <c r="G192" s="18" t="n">
        <v>5</v>
      </c>
      <c r="H192" s="18" t="n">
        <v>5</v>
      </c>
      <c r="I192" s="18" t="n">
        <v>5</v>
      </c>
      <c r="J192" s="18" t="n">
        <v>5</v>
      </c>
    </row>
    <row r="193" customFormat="false" ht="15" hidden="false" customHeight="false" outlineLevel="0" collapsed="false">
      <c r="A193" s="28" t="n">
        <v>18802.2120249441</v>
      </c>
      <c r="B193" s="29" t="n">
        <v>7</v>
      </c>
      <c r="C193" s="18" t="n">
        <v>7</v>
      </c>
      <c r="D193" s="18" t="n">
        <v>7</v>
      </c>
      <c r="E193" s="18" t="n">
        <v>7</v>
      </c>
      <c r="F193" s="18" t="n">
        <v>7</v>
      </c>
      <c r="G193" s="18" t="n">
        <v>5</v>
      </c>
      <c r="H193" s="18" t="n">
        <v>5</v>
      </c>
      <c r="I193" s="18" t="n">
        <v>5</v>
      </c>
      <c r="J193" s="18" t="n">
        <v>5</v>
      </c>
    </row>
    <row r="194" customFormat="false" ht="15" hidden="false" customHeight="false" outlineLevel="0" collapsed="false">
      <c r="A194" s="28" t="n">
        <v>18902.2237910342</v>
      </c>
      <c r="B194" s="29" t="n">
        <v>7</v>
      </c>
      <c r="C194" s="18" t="n">
        <v>7</v>
      </c>
      <c r="D194" s="18" t="n">
        <v>7</v>
      </c>
      <c r="E194" s="18" t="n">
        <v>7</v>
      </c>
      <c r="F194" s="18" t="n">
        <v>7</v>
      </c>
      <c r="G194" s="18" t="n">
        <v>5</v>
      </c>
      <c r="H194" s="18" t="n">
        <v>5</v>
      </c>
      <c r="I194" s="18" t="n">
        <v>5</v>
      </c>
      <c r="J194" s="18" t="n">
        <v>5</v>
      </c>
    </row>
    <row r="195" customFormat="false" ht="15" hidden="false" customHeight="false" outlineLevel="0" collapsed="false">
      <c r="A195" s="28" t="n">
        <v>19002.2355571244</v>
      </c>
      <c r="B195" s="29" t="n">
        <v>7</v>
      </c>
      <c r="C195" s="18" t="n">
        <v>7</v>
      </c>
      <c r="D195" s="18" t="n">
        <v>7</v>
      </c>
      <c r="E195" s="18" t="n">
        <v>7</v>
      </c>
      <c r="F195" s="18" t="n">
        <v>7</v>
      </c>
      <c r="G195" s="18" t="n">
        <v>5</v>
      </c>
      <c r="H195" s="18" t="n">
        <v>5</v>
      </c>
      <c r="I195" s="18" t="n">
        <v>5</v>
      </c>
      <c r="J195" s="18" t="n">
        <v>5</v>
      </c>
    </row>
    <row r="196" customFormat="false" ht="15" hidden="false" customHeight="false" outlineLevel="0" collapsed="false">
      <c r="A196" s="28" t="n">
        <v>19102.2473232145</v>
      </c>
      <c r="B196" s="29" t="n">
        <v>7</v>
      </c>
      <c r="C196" s="18" t="n">
        <v>7</v>
      </c>
      <c r="D196" s="18" t="n">
        <v>7</v>
      </c>
      <c r="E196" s="18" t="n">
        <v>7</v>
      </c>
      <c r="F196" s="18" t="n">
        <v>7</v>
      </c>
      <c r="G196" s="18" t="n">
        <v>5</v>
      </c>
      <c r="H196" s="18" t="n">
        <v>5</v>
      </c>
      <c r="I196" s="18" t="n">
        <v>5</v>
      </c>
      <c r="J196" s="18" t="n">
        <v>5</v>
      </c>
    </row>
    <row r="197" customFormat="false" ht="15" hidden="false" customHeight="false" outlineLevel="0" collapsed="false">
      <c r="A197" s="28" t="n">
        <v>19202.2590893046</v>
      </c>
      <c r="B197" s="29" t="n">
        <v>7</v>
      </c>
      <c r="C197" s="18" t="n">
        <v>7</v>
      </c>
      <c r="D197" s="18" t="n">
        <v>7</v>
      </c>
      <c r="E197" s="18" t="n">
        <v>7</v>
      </c>
      <c r="F197" s="18" t="n">
        <v>7</v>
      </c>
      <c r="G197" s="18" t="n">
        <v>5</v>
      </c>
      <c r="H197" s="18" t="n">
        <v>5</v>
      </c>
      <c r="I197" s="18" t="n">
        <v>5</v>
      </c>
      <c r="J197" s="18" t="n">
        <v>5</v>
      </c>
    </row>
    <row r="198" customFormat="false" ht="15" hidden="false" customHeight="false" outlineLevel="0" collapsed="false">
      <c r="A198" s="28" t="n">
        <v>19302.2708553948</v>
      </c>
      <c r="B198" s="29" t="n">
        <v>7</v>
      </c>
      <c r="C198" s="18" t="n">
        <v>7</v>
      </c>
      <c r="D198" s="18" t="n">
        <v>7</v>
      </c>
      <c r="E198" s="18" t="n">
        <v>7</v>
      </c>
      <c r="F198" s="18" t="n">
        <v>7</v>
      </c>
      <c r="G198" s="18" t="n">
        <v>5</v>
      </c>
      <c r="H198" s="18" t="n">
        <v>5</v>
      </c>
      <c r="I198" s="18" t="n">
        <v>5</v>
      </c>
      <c r="J198" s="18" t="n">
        <v>5</v>
      </c>
    </row>
    <row r="199" customFormat="false" ht="15" hidden="false" customHeight="false" outlineLevel="0" collapsed="false">
      <c r="A199" s="28" t="n">
        <v>19402.2826214849</v>
      </c>
      <c r="B199" s="29" t="n">
        <v>7</v>
      </c>
      <c r="C199" s="18" t="n">
        <v>7</v>
      </c>
      <c r="D199" s="18" t="n">
        <v>7</v>
      </c>
      <c r="E199" s="18" t="n">
        <v>7</v>
      </c>
      <c r="F199" s="18" t="n">
        <v>7</v>
      </c>
      <c r="G199" s="18" t="n">
        <v>5</v>
      </c>
      <c r="H199" s="18" t="n">
        <v>5</v>
      </c>
      <c r="I199" s="18" t="n">
        <v>5</v>
      </c>
      <c r="J199" s="18" t="n">
        <v>5</v>
      </c>
    </row>
    <row r="200" customFormat="false" ht="15" hidden="false" customHeight="false" outlineLevel="0" collapsed="false">
      <c r="A200" s="28" t="n">
        <v>19502.294387575</v>
      </c>
      <c r="B200" s="29" t="n">
        <v>7</v>
      </c>
      <c r="C200" s="18" t="n">
        <v>7</v>
      </c>
      <c r="D200" s="18" t="n">
        <v>7</v>
      </c>
      <c r="E200" s="18" t="n">
        <v>7</v>
      </c>
      <c r="F200" s="18" t="n">
        <v>7</v>
      </c>
      <c r="G200" s="18" t="n">
        <v>5</v>
      </c>
      <c r="H200" s="18" t="n">
        <v>5</v>
      </c>
      <c r="I200" s="18" t="n">
        <v>5</v>
      </c>
      <c r="J200" s="18" t="n">
        <v>5</v>
      </c>
    </row>
    <row r="201" customFormat="false" ht="15" hidden="false" customHeight="false" outlineLevel="0" collapsed="false">
      <c r="A201" s="28" t="n">
        <v>19602.3061536651</v>
      </c>
      <c r="B201" s="29" t="n">
        <v>7</v>
      </c>
      <c r="C201" s="18" t="n">
        <v>7</v>
      </c>
      <c r="D201" s="18" t="n">
        <v>7</v>
      </c>
      <c r="E201" s="18" t="n">
        <v>7</v>
      </c>
      <c r="F201" s="18" t="n">
        <v>7</v>
      </c>
      <c r="G201" s="18" t="n">
        <v>5</v>
      </c>
      <c r="H201" s="18" t="n">
        <v>5</v>
      </c>
      <c r="I201" s="18" t="n">
        <v>5</v>
      </c>
      <c r="J201" s="18" t="n">
        <v>5</v>
      </c>
    </row>
    <row r="202" customFormat="false" ht="15" hidden="false" customHeight="false" outlineLevel="0" collapsed="false">
      <c r="A202" s="28" t="n">
        <v>19702.3179197553</v>
      </c>
      <c r="B202" s="29" t="n">
        <v>7</v>
      </c>
      <c r="C202" s="18" t="n">
        <v>7</v>
      </c>
      <c r="D202" s="18" t="n">
        <v>7</v>
      </c>
      <c r="E202" s="18" t="n">
        <v>7</v>
      </c>
      <c r="F202" s="18" t="n">
        <v>7</v>
      </c>
      <c r="G202" s="18" t="n">
        <v>5</v>
      </c>
      <c r="H202" s="18" t="n">
        <v>5</v>
      </c>
      <c r="I202" s="18" t="n">
        <v>5</v>
      </c>
      <c r="J202" s="18" t="n">
        <v>5</v>
      </c>
    </row>
    <row r="203" customFormat="false" ht="15" hidden="false" customHeight="false" outlineLevel="0" collapsed="false">
      <c r="A203" s="28" t="n">
        <v>19802.3296858454</v>
      </c>
      <c r="B203" s="29" t="n">
        <v>7</v>
      </c>
      <c r="C203" s="18" t="n">
        <v>7</v>
      </c>
      <c r="D203" s="18" t="n">
        <v>7</v>
      </c>
      <c r="E203" s="18" t="n">
        <v>7</v>
      </c>
      <c r="F203" s="18" t="n">
        <v>7</v>
      </c>
      <c r="G203" s="18" t="n">
        <v>5</v>
      </c>
      <c r="H203" s="18" t="n">
        <v>5</v>
      </c>
      <c r="I203" s="18" t="n">
        <v>5</v>
      </c>
      <c r="J203" s="18" t="n">
        <v>5</v>
      </c>
    </row>
    <row r="204" customFormat="false" ht="15" hidden="false" customHeight="false" outlineLevel="0" collapsed="false">
      <c r="A204" s="28" t="n">
        <v>19902.3414519355</v>
      </c>
      <c r="B204" s="29" t="n">
        <v>7</v>
      </c>
      <c r="C204" s="18" t="n">
        <v>7</v>
      </c>
      <c r="D204" s="18" t="n">
        <v>7</v>
      </c>
      <c r="E204" s="18" t="n">
        <v>7</v>
      </c>
      <c r="F204" s="18" t="n">
        <v>7</v>
      </c>
      <c r="G204" s="18" t="n">
        <v>5</v>
      </c>
      <c r="H204" s="18" t="n">
        <v>5</v>
      </c>
      <c r="I204" s="18" t="n">
        <v>5</v>
      </c>
      <c r="J204" s="18" t="n">
        <v>5</v>
      </c>
    </row>
    <row r="205" customFormat="false" ht="15" hidden="false" customHeight="false" outlineLevel="0" collapsed="false">
      <c r="A205" s="28" t="n">
        <v>20002.3532180257</v>
      </c>
      <c r="B205" s="29" t="n">
        <v>7</v>
      </c>
      <c r="C205" s="18" t="n">
        <v>5.30513804347507</v>
      </c>
      <c r="D205" s="18" t="n">
        <v>5.30513804347507</v>
      </c>
      <c r="E205" s="18" t="n">
        <v>5.30513804347507</v>
      </c>
      <c r="F205" s="18" t="n">
        <v>5.30513804347507</v>
      </c>
      <c r="G205" s="18" t="n">
        <v>5</v>
      </c>
      <c r="H205" s="18" t="n">
        <v>5</v>
      </c>
      <c r="I205" s="18" t="n">
        <v>5</v>
      </c>
      <c r="J205" s="18" t="n">
        <v>5</v>
      </c>
    </row>
    <row r="206" customFormat="false" ht="15" hidden="false" customHeight="false" outlineLevel="0" collapsed="false">
      <c r="A206" s="28" t="n">
        <v>20102.3649841158</v>
      </c>
      <c r="B206" s="29" t="n">
        <v>7</v>
      </c>
      <c r="C206" s="18" t="n">
        <v>4.54862234405381</v>
      </c>
      <c r="D206" s="18" t="n">
        <v>4.54862234405381</v>
      </c>
      <c r="E206" s="18" t="n">
        <v>4.54862234405381</v>
      </c>
      <c r="F206" s="18" t="n">
        <v>4.54862234405381</v>
      </c>
      <c r="G206" s="18" t="n">
        <v>5.33401770372767</v>
      </c>
      <c r="H206" s="18" t="n">
        <v>5.12975809279009</v>
      </c>
      <c r="I206" s="18" t="n">
        <v>4.92949977635707</v>
      </c>
      <c r="J206" s="18" t="n">
        <v>5.0863969413816</v>
      </c>
    </row>
    <row r="207" customFormat="false" ht="15" hidden="false" customHeight="false" outlineLevel="0" collapsed="false">
      <c r="A207" s="28" t="n">
        <v>20202.3767502059</v>
      </c>
      <c r="B207" s="29" t="n">
        <v>7</v>
      </c>
      <c r="C207" s="18" t="n">
        <v>4.63780005422104</v>
      </c>
      <c r="D207" s="18" t="n">
        <v>4.41143228526327</v>
      </c>
      <c r="E207" s="18" t="n">
        <v>4.28464555354018</v>
      </c>
      <c r="F207" s="18" t="n">
        <v>4.3690458080591</v>
      </c>
      <c r="G207" s="18" t="n">
        <v>5.41242168593341</v>
      </c>
      <c r="H207" s="18" t="n">
        <v>5.15521909030388</v>
      </c>
      <c r="I207" s="18" t="n">
        <v>4.94465000442282</v>
      </c>
      <c r="J207" s="18" t="n">
        <v>5.16028110136065</v>
      </c>
    </row>
    <row r="208" customFormat="false" ht="15" hidden="false" customHeight="false" outlineLevel="0" collapsed="false">
      <c r="A208" s="28" t="n">
        <v>20302.388516296</v>
      </c>
      <c r="B208" s="29" t="n">
        <v>7</v>
      </c>
      <c r="C208" s="18" t="n">
        <v>5.11131592461161</v>
      </c>
      <c r="D208" s="18" t="n">
        <v>4.34780550243334</v>
      </c>
      <c r="E208" s="18" t="n">
        <v>4.11378836706796</v>
      </c>
      <c r="F208" s="18" t="n">
        <v>4.30183635073281</v>
      </c>
      <c r="G208" s="18" t="n">
        <v>5.44148599815815</v>
      </c>
      <c r="H208" s="18" t="n">
        <v>5.17540508161054</v>
      </c>
      <c r="I208" s="18" t="n">
        <v>4.96082744107048</v>
      </c>
      <c r="J208" s="18" t="n">
        <v>5.22832885019897</v>
      </c>
    </row>
    <row r="209" customFormat="false" ht="15" hidden="false" customHeight="false" outlineLevel="0" collapsed="false">
      <c r="A209" s="28" t="n">
        <v>20402.4002823862</v>
      </c>
      <c r="B209" s="29" t="n">
        <v>7</v>
      </c>
      <c r="C209" s="18" t="n">
        <v>9.02537327170946</v>
      </c>
      <c r="D209" s="18" t="n">
        <v>4.31528628231905</v>
      </c>
      <c r="E209" s="18" t="n">
        <v>4.00966203878251</v>
      </c>
      <c r="F209" s="18" t="n">
        <v>4.30441316673428</v>
      </c>
      <c r="G209" s="18" t="n">
        <v>5.00665654808704</v>
      </c>
      <c r="H209" s="18" t="n">
        <v>5.19419370952148</v>
      </c>
      <c r="I209" s="18" t="n">
        <v>4.97923053787755</v>
      </c>
      <c r="J209" s="18" t="n">
        <v>5.29071280633315</v>
      </c>
    </row>
    <row r="210" customFormat="false" ht="15" hidden="false" customHeight="false" outlineLevel="0" collapsed="false">
      <c r="A210" s="28" t="n">
        <v>20502.4120484763</v>
      </c>
      <c r="B210" s="29" t="n">
        <v>7</v>
      </c>
      <c r="C210" s="18" t="n">
        <v>8.93844115384066</v>
      </c>
      <c r="D210" s="18" t="n">
        <v>4.30367018044227</v>
      </c>
      <c r="E210" s="18" t="n">
        <v>3.93936040715896</v>
      </c>
      <c r="F210" s="18" t="n">
        <v>4.36465886218606</v>
      </c>
      <c r="G210" s="18" t="n">
        <v>4.90615232296873</v>
      </c>
      <c r="H210" s="18" t="n">
        <v>5.21204097278394</v>
      </c>
      <c r="I210" s="18" t="n">
        <v>4.99820232552084</v>
      </c>
      <c r="J210" s="18" t="n">
        <v>5.34758236236859</v>
      </c>
    </row>
    <row r="211" customFormat="false" ht="15" hidden="false" customHeight="false" outlineLevel="0" collapsed="false">
      <c r="A211" s="28" t="n">
        <v>20602.4238145664</v>
      </c>
      <c r="B211" s="29" t="n">
        <v>7</v>
      </c>
      <c r="C211" s="18" t="n">
        <v>4.64627569791958</v>
      </c>
      <c r="D211" s="18" t="n">
        <v>4.30854188097345</v>
      </c>
      <c r="E211" s="18" t="n">
        <v>3.89033333608186</v>
      </c>
      <c r="F211" s="18" t="n">
        <v>4.4982932153985</v>
      </c>
      <c r="G211" s="18" t="n">
        <v>5.41168233567619</v>
      </c>
      <c r="H211" s="18" t="n">
        <v>5.22908033450431</v>
      </c>
      <c r="I211" s="18" t="n">
        <v>5.01733323994596</v>
      </c>
      <c r="J211" s="18" t="n">
        <v>5.39670598575171</v>
      </c>
    </row>
    <row r="212" customFormat="false" ht="15" hidden="false" customHeight="false" outlineLevel="0" collapsed="false">
      <c r="A212" s="28" t="n">
        <v>20702.4355806566</v>
      </c>
      <c r="B212" s="29" t="n">
        <v>7</v>
      </c>
      <c r="C212" s="18" t="n">
        <v>4.59707627930904</v>
      </c>
      <c r="D212" s="18" t="n">
        <v>4.32804635977076</v>
      </c>
      <c r="E212" s="18" t="n">
        <v>3.8559867783228</v>
      </c>
      <c r="F212" s="18" t="n">
        <v>4.78421166627259</v>
      </c>
      <c r="G212" s="18" t="n">
        <v>5.51713936482026</v>
      </c>
      <c r="H212" s="18" t="n">
        <v>5.2453233254435</v>
      </c>
      <c r="I212" s="18" t="n">
        <v>5.03644883416274</v>
      </c>
      <c r="J212" s="18" t="n">
        <v>5.43102131688442</v>
      </c>
    </row>
    <row r="213" customFormat="false" ht="15" hidden="false" customHeight="false" outlineLevel="0" collapsed="false">
      <c r="A213" s="28" t="n">
        <v>20802.4473467467</v>
      </c>
      <c r="B213" s="29" t="n">
        <v>7</v>
      </c>
      <c r="C213" s="18" t="n">
        <v>6.51025845277048</v>
      </c>
      <c r="D213" s="18" t="n">
        <v>4.36196300140138</v>
      </c>
      <c r="E213" s="18" t="n">
        <v>3.83251227828793</v>
      </c>
      <c r="F213" s="18" t="n">
        <v>8.10744797685534</v>
      </c>
      <c r="G213" s="18" t="n">
        <v>5.50344211773932</v>
      </c>
      <c r="H213" s="18" t="n">
        <v>5.26070354591305</v>
      </c>
      <c r="I213" s="18" t="n">
        <v>5.05544423150248</v>
      </c>
      <c r="J213" s="18" t="n">
        <v>5.39857343193971</v>
      </c>
    </row>
    <row r="214" customFormat="false" ht="15" hidden="false" customHeight="false" outlineLevel="0" collapsed="false">
      <c r="A214" s="28" t="n">
        <v>20902.4591128368</v>
      </c>
      <c r="B214" s="29" t="n">
        <v>7</v>
      </c>
      <c r="C214" s="18" t="n">
        <v>9.40908788426739</v>
      </c>
      <c r="D214" s="18" t="n">
        <v>4.41153204227621</v>
      </c>
      <c r="E214" s="18" t="n">
        <v>3.81753644086285</v>
      </c>
      <c r="F214" s="18" t="n">
        <v>9.24866642942156</v>
      </c>
      <c r="G214" s="18" t="n">
        <v>4.99382969489907</v>
      </c>
      <c r="H214" s="18" t="n">
        <v>5.27508116472558</v>
      </c>
      <c r="I214" s="18" t="n">
        <v>5.07424426211926</v>
      </c>
      <c r="J214" s="18" t="n">
        <v>5.28537810788982</v>
      </c>
    </row>
    <row r="215" customFormat="false" ht="15" hidden="false" customHeight="false" outlineLevel="0" collapsed="false">
      <c r="A215" s="28" t="n">
        <v>21002.4708789269</v>
      </c>
      <c r="B215" s="29" t="n">
        <v>7</v>
      </c>
      <c r="C215" s="18" t="n">
        <v>8.96953574478437</v>
      </c>
      <c r="D215" s="18" t="n">
        <v>4.47982036180259</v>
      </c>
      <c r="E215" s="18" t="n">
        <v>3.80950279635276</v>
      </c>
      <c r="F215" s="18" t="n">
        <v>9.32124512684447</v>
      </c>
      <c r="G215" s="18" t="n">
        <v>4.93912233052475</v>
      </c>
      <c r="H215" s="18" t="n">
        <v>5.28822067643961</v>
      </c>
      <c r="I215" s="18" t="n">
        <v>5.09278635942651</v>
      </c>
      <c r="J215" s="18" t="n">
        <v>5.2550504736728</v>
      </c>
    </row>
    <row r="216" customFormat="false" ht="15" hidden="false" customHeight="false" outlineLevel="0" collapsed="false">
      <c r="A216" s="28" t="n">
        <v>21102.4826450171</v>
      </c>
      <c r="B216" s="29" t="n">
        <v>7</v>
      </c>
      <c r="C216" s="18" t="n">
        <v>4.6918560110394</v>
      </c>
      <c r="D216" s="18" t="n">
        <v>4.57290964465209</v>
      </c>
      <c r="E216" s="18" t="n">
        <v>3.80735713830841</v>
      </c>
      <c r="F216" s="18" t="n">
        <v>9.31597015954664</v>
      </c>
      <c r="G216" s="18" t="n">
        <v>5.44072030132256</v>
      </c>
      <c r="H216" s="18" t="n">
        <v>5.29972931169147</v>
      </c>
      <c r="I216" s="18" t="n">
        <v>5.11101398701436</v>
      </c>
      <c r="J216" s="18" t="n">
        <v>5.20145244812882</v>
      </c>
    </row>
    <row r="217" customFormat="false" ht="15" hidden="false" customHeight="false" outlineLevel="0" collapsed="false">
      <c r="A217" s="28" t="n">
        <v>21202.4944111072</v>
      </c>
      <c r="B217" s="29" t="n">
        <v>7</v>
      </c>
      <c r="C217" s="18" t="n">
        <v>4.68684222876409</v>
      </c>
      <c r="D217" s="18" t="n">
        <v>4.70315698523777</v>
      </c>
      <c r="E217" s="18" t="n">
        <v>3.81037483758533</v>
      </c>
      <c r="F217" s="18" t="n">
        <v>9.20507835116611</v>
      </c>
      <c r="G217" s="18" t="n">
        <v>5.54209253546255</v>
      </c>
      <c r="H217" s="18" t="n">
        <v>5.30890179250369</v>
      </c>
      <c r="I217" s="18" t="n">
        <v>5.1288734974363</v>
      </c>
      <c r="J217" s="18" t="n">
        <v>5.15654789360957</v>
      </c>
    </row>
    <row r="218" customFormat="false" ht="15" hidden="false" customHeight="false" outlineLevel="0" collapsed="false">
      <c r="A218" s="28" t="n">
        <v>21302.5061771973</v>
      </c>
      <c r="B218" s="29" t="n">
        <v>7</v>
      </c>
      <c r="C218" s="18" t="n">
        <v>8.81897355072069</v>
      </c>
      <c r="D218" s="18" t="n">
        <v>4.89993562057657</v>
      </c>
      <c r="E218" s="18" t="n">
        <v>3.81806080568705</v>
      </c>
      <c r="F218" s="18" t="n">
        <v>8.8556697580767</v>
      </c>
      <c r="G218" s="18" t="n">
        <v>5.21192396287066</v>
      </c>
      <c r="H218" s="18" t="n">
        <v>5.31425607976412</v>
      </c>
      <c r="I218" s="18" t="n">
        <v>5.14631234330175</v>
      </c>
      <c r="J218" s="18" t="n">
        <v>5.13219362432404</v>
      </c>
    </row>
    <row r="219" customFormat="false" ht="15" hidden="false" customHeight="false" outlineLevel="0" collapsed="false">
      <c r="A219" s="28" t="n">
        <v>21402.5179432875</v>
      </c>
      <c r="B219" s="29" t="n">
        <v>7</v>
      </c>
      <c r="C219" s="18" t="n">
        <v>9.42718648067602</v>
      </c>
      <c r="D219" s="18" t="n">
        <v>5.26651420791226</v>
      </c>
      <c r="E219" s="18" t="n">
        <v>3.8300895700461</v>
      </c>
      <c r="F219" s="18" t="n">
        <v>5.39126398944373</v>
      </c>
      <c r="G219" s="18" t="n">
        <v>4.97130365994939</v>
      </c>
      <c r="H219" s="18" t="n">
        <v>5.31146487866711</v>
      </c>
      <c r="I219" s="18" t="n">
        <v>5.16327784897598</v>
      </c>
      <c r="J219" s="18" t="n">
        <v>5.22332344674192</v>
      </c>
    </row>
    <row r="220" customFormat="false" ht="15" hidden="false" customHeight="false" outlineLevel="0" collapsed="false">
      <c r="A220" s="28" t="n">
        <v>21502.5297093776</v>
      </c>
      <c r="B220" s="29" t="n">
        <v>7</v>
      </c>
      <c r="C220" s="18" t="n">
        <v>8.48203102858324</v>
      </c>
      <c r="D220" s="18" t="n">
        <v>8.06739492747268</v>
      </c>
      <c r="E220" s="18" t="n">
        <v>3.84626914236341</v>
      </c>
      <c r="F220" s="18" t="n">
        <v>4.91645208351724</v>
      </c>
      <c r="G220" s="18" t="n">
        <v>4.95952757142641</v>
      </c>
      <c r="H220" s="18" t="n">
        <v>5.23543730608023</v>
      </c>
      <c r="I220" s="18" t="n">
        <v>5.17971620440864</v>
      </c>
      <c r="J220" s="18" t="n">
        <v>5.26083349207593</v>
      </c>
    </row>
    <row r="221" customFormat="false" ht="15" hidden="false" customHeight="false" outlineLevel="0" collapsed="false">
      <c r="A221" s="28" t="n">
        <v>21602.5414754677</v>
      </c>
      <c r="B221" s="29" t="n">
        <v>7</v>
      </c>
      <c r="C221" s="18" t="n">
        <v>4.5926530129857</v>
      </c>
      <c r="D221" s="18" t="n">
        <v>8.64492148554649</v>
      </c>
      <c r="E221" s="18" t="n">
        <v>3.866520143306</v>
      </c>
      <c r="F221" s="18" t="n">
        <v>4.9603081128815</v>
      </c>
      <c r="G221" s="18" t="n">
        <v>5.4793701001144</v>
      </c>
      <c r="H221" s="18" t="n">
        <v>5.1377023923967</v>
      </c>
      <c r="I221" s="18" t="n">
        <v>5.19557151399254</v>
      </c>
      <c r="J221" s="18" t="n">
        <v>5.28807756507586</v>
      </c>
    </row>
    <row r="222" customFormat="false" ht="15" hidden="false" customHeight="false" outlineLevel="0" collapsed="false">
      <c r="A222" s="28" t="n">
        <v>21702.5532415578</v>
      </c>
      <c r="B222" s="29" t="n">
        <v>7</v>
      </c>
      <c r="C222" s="18" t="n">
        <v>4.84174397854388</v>
      </c>
      <c r="D222" s="18" t="n">
        <v>5.27785989622504</v>
      </c>
      <c r="E222" s="18" t="n">
        <v>3.89086571334922</v>
      </c>
      <c r="F222" s="18" t="n">
        <v>5.1286906751094</v>
      </c>
      <c r="G222" s="18" t="n">
        <v>5.55155739423313</v>
      </c>
      <c r="H222" s="18" t="n">
        <v>5.29116009722863</v>
      </c>
      <c r="I222" s="18" t="n">
        <v>5.21078479874729</v>
      </c>
      <c r="J222" s="18" t="n">
        <v>5.3187276223283</v>
      </c>
    </row>
    <row r="223" customFormat="false" ht="15" hidden="false" customHeight="false" outlineLevel="0" collapsed="false">
      <c r="A223" s="28" t="n">
        <v>21802.565007648</v>
      </c>
      <c r="B223" s="29" t="n">
        <v>7</v>
      </c>
      <c r="C223" s="18" t="n">
        <v>9.14980753790524</v>
      </c>
      <c r="D223" s="18" t="n">
        <v>5.03317462983122</v>
      </c>
      <c r="E223" s="18" t="n">
        <v>3.91943010613208</v>
      </c>
      <c r="F223" s="18" t="n">
        <v>5.91035472428549</v>
      </c>
      <c r="G223" s="18" t="n">
        <v>5.09001789300374</v>
      </c>
      <c r="H223" s="18" t="n">
        <v>5.32879149349507</v>
      </c>
      <c r="I223" s="18" t="n">
        <v>5.22529287037173</v>
      </c>
      <c r="J223" s="18" t="n">
        <v>5.31849264720099</v>
      </c>
    </row>
    <row r="224" customFormat="false" ht="15" hidden="false" customHeight="false" outlineLevel="0" collapsed="false">
      <c r="A224" s="28" t="n">
        <v>21902.5767737381</v>
      </c>
      <c r="B224" s="29" t="n">
        <v>7</v>
      </c>
      <c r="C224" s="18" t="n">
        <v>9.37024658035304</v>
      </c>
      <c r="D224" s="18" t="n">
        <v>5.75577395822961</v>
      </c>
      <c r="E224" s="18" t="n">
        <v>3.95244549003818</v>
      </c>
      <c r="F224" s="18" t="n">
        <v>8.7644164488955</v>
      </c>
      <c r="G224" s="18" t="n">
        <v>4.95905558620294</v>
      </c>
      <c r="H224" s="18" t="n">
        <v>5.31644682960057</v>
      </c>
      <c r="I224" s="18" t="n">
        <v>5.23902699218311</v>
      </c>
      <c r="J224" s="18" t="n">
        <v>5.22466245206748</v>
      </c>
    </row>
    <row r="225" customFormat="false" ht="15" hidden="false" customHeight="false" outlineLevel="0" collapsed="false">
      <c r="A225" s="28" t="n">
        <v>22002.5885398282</v>
      </c>
      <c r="B225" s="29" t="n">
        <v>7</v>
      </c>
      <c r="C225" s="18" t="n">
        <v>5.55367738949544</v>
      </c>
      <c r="D225" s="18" t="n">
        <v>8.74071352590033</v>
      </c>
      <c r="E225" s="18" t="n">
        <v>3.99026793103874</v>
      </c>
      <c r="F225" s="18" t="n">
        <v>8.74843089760273</v>
      </c>
      <c r="G225" s="18" t="n">
        <v>5.00336843180763</v>
      </c>
      <c r="H225" s="18" t="n">
        <v>5.15822512443827</v>
      </c>
      <c r="I225" s="18" t="n">
        <v>5.25191122045492</v>
      </c>
      <c r="J225" s="18" t="n">
        <v>5.20664742434569</v>
      </c>
    </row>
    <row r="226" customFormat="false" ht="15" hidden="false" customHeight="false" outlineLevel="0" collapsed="false">
      <c r="A226" s="28" t="n">
        <v>22102.6003059183</v>
      </c>
      <c r="B226" s="29" t="n">
        <v>7</v>
      </c>
      <c r="C226" s="18" t="n">
        <v>4.52500813407461</v>
      </c>
      <c r="D226" s="18" t="n">
        <v>8.17435472972895</v>
      </c>
      <c r="E226" s="18" t="n">
        <v>4.03340525085967</v>
      </c>
      <c r="F226" s="18" t="n">
        <v>8.15083845000798</v>
      </c>
      <c r="G226" s="18" t="n">
        <v>5.50681278573008</v>
      </c>
      <c r="H226" s="18" t="n">
        <v>5.15233458519402</v>
      </c>
      <c r="I226" s="18" t="n">
        <v>5.26386027775661</v>
      </c>
      <c r="J226" s="18" t="n">
        <v>5.20682732155229</v>
      </c>
    </row>
    <row r="227" customFormat="false" ht="15" hidden="false" customHeight="false" outlineLevel="0" collapsed="false">
      <c r="A227" s="28" t="n">
        <v>22202.6120720085</v>
      </c>
      <c r="B227" s="29" t="n">
        <v>7</v>
      </c>
      <c r="C227" s="18" t="n">
        <v>5.0528382694246</v>
      </c>
      <c r="D227" s="18" t="n">
        <v>5.0740343014988</v>
      </c>
      <c r="E227" s="18" t="n">
        <v>4.08256203580447</v>
      </c>
      <c r="F227" s="18" t="n">
        <v>5.52302572908668</v>
      </c>
      <c r="G227" s="18" t="n">
        <v>5.55089881871399</v>
      </c>
      <c r="H227" s="18" t="n">
        <v>5.32207865971301</v>
      </c>
      <c r="I227" s="18" t="n">
        <v>5.2747767377693</v>
      </c>
      <c r="J227" s="18" t="n">
        <v>5.28665198507358</v>
      </c>
    </row>
    <row r="228" customFormat="false" ht="15" hidden="false" customHeight="false" outlineLevel="0" collapsed="false">
      <c r="A228" s="28" t="n">
        <v>22302.6238380986</v>
      </c>
      <c r="B228" s="29" t="n">
        <v>7</v>
      </c>
      <c r="C228" s="18" t="n">
        <v>9.3010791504493</v>
      </c>
      <c r="D228" s="18" t="n">
        <v>5.27248847980302</v>
      </c>
      <c r="E228" s="18" t="n">
        <v>4.13871155825074</v>
      </c>
      <c r="F228" s="18" t="n">
        <v>5.62138232492484</v>
      </c>
      <c r="G228" s="18" t="n">
        <v>5.05042127763052</v>
      </c>
      <c r="H228" s="18" t="n">
        <v>5.33521095317804</v>
      </c>
      <c r="I228" s="18" t="n">
        <v>5.2845471779564</v>
      </c>
      <c r="J228" s="18" t="n">
        <v>5.3028267798373</v>
      </c>
    </row>
    <row r="229" customFormat="false" ht="15" hidden="false" customHeight="false" outlineLevel="0" collapsed="false">
      <c r="A229" s="28" t="n">
        <v>22402.6356041887</v>
      </c>
      <c r="B229" s="29" t="n">
        <v>7</v>
      </c>
      <c r="C229" s="18" t="n">
        <v>9.28166195885878</v>
      </c>
      <c r="D229" s="18" t="n">
        <v>8.51281872463423</v>
      </c>
      <c r="E229" s="18" t="n">
        <v>4.20321297690458</v>
      </c>
      <c r="F229" s="18" t="n">
        <v>8.40904286035294</v>
      </c>
      <c r="G229" s="18" t="n">
        <v>4.95176156649682</v>
      </c>
      <c r="H229" s="18" t="n">
        <v>5.19064704875753</v>
      </c>
      <c r="I229" s="18" t="n">
        <v>5.2930367411447</v>
      </c>
      <c r="J229" s="18" t="n">
        <v>5.22922595835251</v>
      </c>
    </row>
    <row r="230" customFormat="false" ht="15" hidden="false" customHeight="false" outlineLevel="0" collapsed="false">
      <c r="A230" s="28" t="n">
        <v>22502.6473702789</v>
      </c>
      <c r="B230" s="29" t="n">
        <v>7</v>
      </c>
      <c r="C230" s="18" t="n">
        <v>5.06732453092858</v>
      </c>
      <c r="D230" s="18" t="n">
        <v>8.78779252749954</v>
      </c>
      <c r="E230" s="18" t="n">
        <v>4.27801012479606</v>
      </c>
      <c r="F230" s="18" t="n">
        <v>8.63360406216705</v>
      </c>
      <c r="G230" s="18" t="n">
        <v>5.34235552320169</v>
      </c>
      <c r="H230" s="18" t="n">
        <v>5.14688631274679</v>
      </c>
      <c r="I230" s="18" t="n">
        <v>5.30008115601628</v>
      </c>
      <c r="J230" s="18" t="n">
        <v>5.20283618198258</v>
      </c>
    </row>
    <row r="231" customFormat="false" ht="15" hidden="false" customHeight="false" outlineLevel="0" collapsed="false">
      <c r="A231" s="28" t="n">
        <v>22602.659136369</v>
      </c>
      <c r="B231" s="29" t="n">
        <v>7</v>
      </c>
      <c r="C231" s="18" t="n">
        <v>4.56295140025515</v>
      </c>
      <c r="D231" s="18" t="n">
        <v>5.48706301891148</v>
      </c>
      <c r="E231" s="18" t="n">
        <v>4.36598912998934</v>
      </c>
      <c r="F231" s="18" t="n">
        <v>7.21799661065961</v>
      </c>
      <c r="G231" s="18" t="n">
        <v>5.52996937401851</v>
      </c>
      <c r="H231" s="18" t="n">
        <v>5.28634614531656</v>
      </c>
      <c r="I231" s="18" t="n">
        <v>5.30547452598075</v>
      </c>
      <c r="J231" s="18" t="n">
        <v>5.21099076041608</v>
      </c>
    </row>
    <row r="232" customFormat="false" ht="15" hidden="false" customHeight="false" outlineLevel="0" collapsed="false">
      <c r="A232" s="28" t="n">
        <v>22702.6709024591</v>
      </c>
      <c r="B232" s="29" t="n">
        <v>7</v>
      </c>
      <c r="C232" s="18" t="n">
        <v>5.50697605367579</v>
      </c>
      <c r="D232" s="18" t="n">
        <v>5.0582398537684</v>
      </c>
      <c r="E232" s="18" t="n">
        <v>4.4716763165301</v>
      </c>
      <c r="F232" s="18" t="n">
        <v>5.37110695860851</v>
      </c>
      <c r="G232" s="18" t="n">
        <v>5.53963961883838</v>
      </c>
      <c r="H232" s="18" t="n">
        <v>5.34134439889926</v>
      </c>
      <c r="I232" s="18" t="n">
        <v>5.30894974563993</v>
      </c>
      <c r="J232" s="18" t="n">
        <v>5.29255184698008</v>
      </c>
    </row>
    <row r="233" customFormat="false" ht="15" hidden="false" customHeight="false" outlineLevel="0" collapsed="false">
      <c r="A233" s="28" t="n">
        <v>22802.6826685492</v>
      </c>
      <c r="B233" s="29" t="n">
        <v>7</v>
      </c>
      <c r="C233" s="18" t="n">
        <v>9.40377610950259</v>
      </c>
      <c r="D233" s="18" t="n">
        <v>6.28104055205065</v>
      </c>
      <c r="E233" s="18" t="n">
        <v>4.60276415496385</v>
      </c>
      <c r="F233" s="18" t="n">
        <v>5.77993754205353</v>
      </c>
      <c r="G233" s="18" t="n">
        <v>5.01981914173904</v>
      </c>
      <c r="H233" s="18" t="n">
        <v>5.32230168147287</v>
      </c>
      <c r="I233" s="18" t="n">
        <v>5.31014562622676</v>
      </c>
      <c r="J233" s="18" t="n">
        <v>5.30020761856567</v>
      </c>
    </row>
    <row r="234" customFormat="false" ht="15" hidden="false" customHeight="false" outlineLevel="0" collapsed="false">
      <c r="A234" s="28" t="n">
        <v>22902.6944346394</v>
      </c>
      <c r="B234" s="29" t="n">
        <v>7</v>
      </c>
      <c r="C234" s="18" t="n">
        <v>9.1522010553339</v>
      </c>
      <c r="D234" s="18" t="n">
        <v>8.88090212807732</v>
      </c>
      <c r="E234" s="18" t="n">
        <v>4.77405675492656</v>
      </c>
      <c r="F234" s="18" t="n">
        <v>8.51492964105887</v>
      </c>
      <c r="G234" s="18" t="n">
        <v>4.94785064383504</v>
      </c>
      <c r="H234" s="18" t="n">
        <v>5.16004857870855</v>
      </c>
      <c r="I234" s="18" t="n">
        <v>5.30855145157553</v>
      </c>
      <c r="J234" s="18" t="n">
        <v>5.22076160005496</v>
      </c>
    </row>
    <row r="235" customFormat="false" ht="15" hidden="false" customHeight="false" outlineLevel="0" collapsed="false">
      <c r="A235" s="28" t="n">
        <v>23002.7062007295</v>
      </c>
      <c r="B235" s="29" t="n">
        <v>7</v>
      </c>
      <c r="C235" s="18" t="n">
        <v>4.842510630148</v>
      </c>
      <c r="D235" s="18" t="n">
        <v>8.29514907268751</v>
      </c>
      <c r="E235" s="18" t="n">
        <v>5.02090926640078</v>
      </c>
      <c r="F235" s="18" t="n">
        <v>8.54340429104927</v>
      </c>
      <c r="G235" s="18" t="n">
        <v>5.41078427267974</v>
      </c>
      <c r="H235" s="18" t="n">
        <v>5.15923293308179</v>
      </c>
      <c r="I235" s="18" t="n">
        <v>5.30344901628633</v>
      </c>
      <c r="J235" s="18" t="n">
        <v>5.20100861664962</v>
      </c>
    </row>
    <row r="236" customFormat="false" ht="15" hidden="false" customHeight="false" outlineLevel="0" collapsed="false">
      <c r="A236" s="28" t="n">
        <v>23102.7179668196</v>
      </c>
      <c r="B236" s="29" t="n">
        <v>7</v>
      </c>
      <c r="C236" s="18" t="n">
        <v>4.62698621422214</v>
      </c>
      <c r="D236" s="18" t="n">
        <v>5.12941581725137</v>
      </c>
      <c r="E236" s="18" t="n">
        <v>5.4814881841144</v>
      </c>
      <c r="F236" s="18" t="n">
        <v>5.98080283628632</v>
      </c>
      <c r="G236" s="18" t="n">
        <v>5.54089354090756</v>
      </c>
      <c r="H236" s="18" t="n">
        <v>5.32713525245464</v>
      </c>
      <c r="I236" s="18" t="n">
        <v>5.2949050996021</v>
      </c>
      <c r="J236" s="18" t="n">
        <v>5.24418770983886</v>
      </c>
    </row>
    <row r="237" customFormat="false" ht="15" hidden="false" customHeight="false" outlineLevel="0" collapsed="false">
      <c r="A237" s="28" t="n">
        <v>23202.7297329098</v>
      </c>
      <c r="B237" s="29" t="n">
        <v>7</v>
      </c>
      <c r="C237" s="18" t="n">
        <v>8.43461404652219</v>
      </c>
      <c r="D237" s="18" t="n">
        <v>5.3304452859962</v>
      </c>
      <c r="E237" s="18" t="n">
        <v>8.21193823162825</v>
      </c>
      <c r="F237" s="18" t="n">
        <v>5.35213870360737</v>
      </c>
      <c r="G237" s="18" t="n">
        <v>5.4975914066782</v>
      </c>
      <c r="H237" s="18" t="n">
        <v>5.34123049522188</v>
      </c>
      <c r="I237" s="18" t="n">
        <v>5.28172920898778</v>
      </c>
      <c r="J237" s="18" t="n">
        <v>5.29755497123078</v>
      </c>
    </row>
    <row r="238" customFormat="false" ht="15" hidden="false" customHeight="false" outlineLevel="0" collapsed="false">
      <c r="A238" s="28" t="n">
        <v>23302.7414989999</v>
      </c>
      <c r="B238" s="29" t="n">
        <v>7</v>
      </c>
      <c r="C238" s="18" t="n">
        <v>9.47298189742196</v>
      </c>
      <c r="D238" s="18" t="n">
        <v>8.64715184766493</v>
      </c>
      <c r="E238" s="18" t="n">
        <v>8.71212561556692</v>
      </c>
      <c r="F238" s="18" t="n">
        <v>6.23665910186758</v>
      </c>
      <c r="G238" s="18" t="n">
        <v>4.99334748474975</v>
      </c>
      <c r="H238" s="18" t="n">
        <v>5.18524891274563</v>
      </c>
      <c r="I238" s="18" t="n">
        <v>5.28073607317788</v>
      </c>
      <c r="J238" s="18" t="n">
        <v>5.29574699259211</v>
      </c>
    </row>
    <row r="239" customFormat="false" ht="15" hidden="false" customHeight="false" outlineLevel="0" collapsed="false">
      <c r="A239" s="28" t="n">
        <v>23402.75326509</v>
      </c>
      <c r="B239" s="29" t="n">
        <v>7</v>
      </c>
      <c r="C239" s="18" t="n">
        <v>8.94619980555122</v>
      </c>
      <c r="D239" s="18" t="n">
        <v>8.78679919215004</v>
      </c>
      <c r="E239" s="18" t="n">
        <v>8.8926610471134</v>
      </c>
      <c r="F239" s="18" t="n">
        <v>8.62230273022909</v>
      </c>
      <c r="G239" s="18" t="n">
        <v>4.94917239430774</v>
      </c>
      <c r="H239" s="18" t="n">
        <v>5.1516868673721</v>
      </c>
      <c r="I239" s="18" t="n">
        <v>5.26255701667199</v>
      </c>
      <c r="J239" s="18" t="n">
        <v>5.21329895192664</v>
      </c>
    </row>
    <row r="240" customFormat="false" ht="15" hidden="false" customHeight="false" outlineLevel="0" collapsed="false">
      <c r="A240" s="28" t="n">
        <v>23502.7650311801</v>
      </c>
      <c r="B240" s="29" t="n">
        <v>7</v>
      </c>
      <c r="C240" s="18" t="n">
        <v>4.69800480962249</v>
      </c>
      <c r="D240" s="18" t="n">
        <v>5.50434687012797</v>
      </c>
      <c r="E240" s="18" t="n">
        <v>8.95430997249218</v>
      </c>
      <c r="F240" s="18" t="n">
        <v>8.41207117912979</v>
      </c>
      <c r="G240" s="18" t="n">
        <v>5.44963878580917</v>
      </c>
      <c r="H240" s="18" t="n">
        <v>5.2908528965796</v>
      </c>
      <c r="I240" s="18" t="n">
        <v>5.24028429273887</v>
      </c>
      <c r="J240" s="18" t="n">
        <v>5.20068400146251</v>
      </c>
    </row>
    <row r="241" customFormat="false" ht="15" hidden="false" customHeight="false" outlineLevel="0" collapsed="false">
      <c r="A241" s="28" t="n">
        <v>23602.7767972703</v>
      </c>
      <c r="B241" s="29" t="n">
        <v>7</v>
      </c>
      <c r="C241" s="18" t="n">
        <v>4.71748681275972</v>
      </c>
      <c r="D241" s="18" t="n">
        <v>5.08904099579381</v>
      </c>
      <c r="E241" s="18" t="n">
        <v>8.9041965607227</v>
      </c>
      <c r="F241" s="18" t="n">
        <v>5.66661259860235</v>
      </c>
      <c r="G241" s="18" t="n">
        <v>5.54837062461023</v>
      </c>
      <c r="H241" s="18" t="n">
        <v>5.3451069294665</v>
      </c>
      <c r="I241" s="18" t="n">
        <v>5.22309681491469</v>
      </c>
      <c r="J241" s="18" t="n">
        <v>5.2728111747469</v>
      </c>
    </row>
    <row r="242" customFormat="false" ht="15" hidden="false" customHeight="false" outlineLevel="0" collapsed="false">
      <c r="A242" s="28" t="n">
        <v>23702.7885633604</v>
      </c>
      <c r="B242" s="29" t="n">
        <v>7</v>
      </c>
      <c r="C242" s="18" t="n">
        <v>8.93282758269684</v>
      </c>
      <c r="D242" s="18" t="n">
        <v>7.6403162451828</v>
      </c>
      <c r="E242" s="18" t="n">
        <v>8.72089233069444</v>
      </c>
      <c r="F242" s="18" t="n">
        <v>5.41562133703329</v>
      </c>
      <c r="G242" s="18" t="n">
        <v>5.15752799534233</v>
      </c>
      <c r="H242" s="18" t="n">
        <v>5.31710776628244</v>
      </c>
      <c r="I242" s="18" t="n">
        <v>5.21684715904598</v>
      </c>
      <c r="J242" s="18" t="n">
        <v>5.30019100110106</v>
      </c>
    </row>
    <row r="243" customFormat="false" ht="15" hidden="false" customHeight="false" outlineLevel="0" collapsed="false">
      <c r="A243" s="28" t="n">
        <v>23802.8003294505</v>
      </c>
      <c r="B243" s="29" t="n">
        <v>7</v>
      </c>
      <c r="C243" s="18" t="n">
        <v>9.43595696641451</v>
      </c>
      <c r="D243" s="18" t="n">
        <v>8.92838280987017</v>
      </c>
      <c r="E243" s="18" t="n">
        <v>8.24026890948707</v>
      </c>
      <c r="F243" s="18" t="n">
        <v>7.78801194414279</v>
      </c>
      <c r="G243" s="18" t="n">
        <v>4.97019072507718</v>
      </c>
      <c r="H243" s="18" t="n">
        <v>5.1589453918708</v>
      </c>
      <c r="I243" s="18" t="n">
        <v>5.21869602388451</v>
      </c>
      <c r="J243" s="18" t="n">
        <v>5.28131830929606</v>
      </c>
    </row>
    <row r="244" customFormat="false" ht="15" hidden="false" customHeight="false" outlineLevel="0" collapsed="false">
      <c r="A244" s="28" t="n">
        <v>23902.8120955407</v>
      </c>
      <c r="B244" s="29" t="n">
        <v>7</v>
      </c>
      <c r="C244" s="18" t="n">
        <v>8.49432406558034</v>
      </c>
      <c r="D244" s="18" t="n">
        <v>8.11389224918707</v>
      </c>
      <c r="E244" s="18" t="n">
        <v>5.82750028445727</v>
      </c>
      <c r="F244" s="18" t="n">
        <v>8.68410675379603</v>
      </c>
      <c r="G244" s="18" t="n">
        <v>4.96041357808837</v>
      </c>
      <c r="H244" s="18" t="n">
        <v>5.16552665227145</v>
      </c>
      <c r="I244" s="18" t="n">
        <v>5.22280008251567</v>
      </c>
      <c r="J244" s="18" t="n">
        <v>5.20729351821577</v>
      </c>
    </row>
    <row r="245" customFormat="false" ht="15" hidden="false" customHeight="false" outlineLevel="0" collapsed="false">
      <c r="A245" s="28" t="n">
        <v>24002.8238616308</v>
      </c>
      <c r="B245" s="29" t="n">
        <v>7</v>
      </c>
      <c r="C245" s="18" t="n">
        <v>4.59544049856108</v>
      </c>
      <c r="D245" s="18" t="n">
        <v>5.11389291375846</v>
      </c>
      <c r="E245" s="18" t="n">
        <v>5.40093774929644</v>
      </c>
      <c r="F245" s="18" t="n">
        <v>8.19947487877535</v>
      </c>
      <c r="G245" s="18" t="n">
        <v>5.48026371878532</v>
      </c>
      <c r="H245" s="18" t="n">
        <v>5.3323820569971</v>
      </c>
      <c r="I245" s="18" t="n">
        <v>5.21817479767433</v>
      </c>
      <c r="J245" s="18" t="n">
        <v>5.20207580069054</v>
      </c>
    </row>
    <row r="246" customFormat="false" ht="15" hidden="false" customHeight="false" outlineLevel="0" collapsed="false">
      <c r="A246" s="28" t="n">
        <v>24102.8356277209</v>
      </c>
      <c r="B246" s="29" t="n">
        <v>7</v>
      </c>
      <c r="C246" s="18" t="n">
        <v>4.847409312132</v>
      </c>
      <c r="D246" s="18" t="n">
        <v>5.46229483689743</v>
      </c>
      <c r="E246" s="18" t="n">
        <v>5.18418251418573</v>
      </c>
      <c r="F246" s="18" t="n">
        <v>5.49715969275901</v>
      </c>
      <c r="G246" s="18" t="n">
        <v>5.55228556919629</v>
      </c>
      <c r="H246" s="18" t="n">
        <v>5.34057299672607</v>
      </c>
      <c r="I246" s="18" t="n">
        <v>5.22161236238847</v>
      </c>
      <c r="J246" s="18" t="n">
        <v>5.28286943999345</v>
      </c>
    </row>
    <row r="247" customFormat="false" ht="15" hidden="false" customHeight="false" outlineLevel="0" collapsed="false">
      <c r="A247" s="28" t="n">
        <v>24202.847393811</v>
      </c>
      <c r="B247" s="29" t="n">
        <v>7</v>
      </c>
      <c r="C247" s="18" t="n">
        <v>9.15747798072398</v>
      </c>
      <c r="D247" s="18" t="n">
        <v>8.75797614495027</v>
      </c>
      <c r="E247" s="18" t="n">
        <v>5.05935573248014</v>
      </c>
      <c r="F247" s="18" t="n">
        <v>5.51489145790662</v>
      </c>
      <c r="G247" s="18" t="n">
        <v>5.08918591974668</v>
      </c>
      <c r="H247" s="18" t="n">
        <v>5.17708225061687</v>
      </c>
      <c r="I247" s="18" t="n">
        <v>5.22547528520375</v>
      </c>
      <c r="J247" s="18" t="n">
        <v>5.3009862857994</v>
      </c>
    </row>
    <row r="248" customFormat="false" ht="15" hidden="false" customHeight="false" outlineLevel="0" collapsed="false">
      <c r="A248" s="28" t="n">
        <v>24302.8591599012</v>
      </c>
      <c r="B248" s="29" t="n">
        <v>7</v>
      </c>
      <c r="C248" s="18" t="n">
        <v>9.37213075480926</v>
      </c>
      <c r="D248" s="18" t="n">
        <v>8.70748481075902</v>
      </c>
      <c r="E248" s="18" t="n">
        <v>4.98487157072377</v>
      </c>
      <c r="F248" s="18" t="n">
        <v>8.2304481023181</v>
      </c>
      <c r="G248" s="18" t="n">
        <v>4.95927595096257</v>
      </c>
      <c r="H248" s="18" t="n">
        <v>5.15448972819952</v>
      </c>
      <c r="I248" s="18" t="n">
        <v>5.22992161494377</v>
      </c>
      <c r="J248" s="18" t="n">
        <v>5.23828285875835</v>
      </c>
    </row>
    <row r="249" customFormat="false" ht="15" hidden="false" customHeight="false" outlineLevel="0" collapsed="false">
      <c r="A249" s="28" t="n">
        <v>24402.8709259913</v>
      </c>
      <c r="B249" s="29" t="n">
        <v>7</v>
      </c>
      <c r="C249" s="18" t="n">
        <v>5.56786569608239</v>
      </c>
      <c r="D249" s="18" t="n">
        <v>5.37852156407073</v>
      </c>
      <c r="E249" s="18" t="n">
        <v>4.94216193529476</v>
      </c>
      <c r="F249" s="18" t="n">
        <v>8.65442430515984</v>
      </c>
      <c r="G249" s="18" t="n">
        <v>5.00226997498289</v>
      </c>
      <c r="H249" s="18" t="n">
        <v>5.30788999320404</v>
      </c>
      <c r="I249" s="18" t="n">
        <v>5.23446237852577</v>
      </c>
      <c r="J249" s="18" t="n">
        <v>5.20296093723308</v>
      </c>
    </row>
    <row r="250" customFormat="false" ht="15" hidden="false" customHeight="false" outlineLevel="0" collapsed="false">
      <c r="A250" s="28" t="n">
        <v>24502.8826920814</v>
      </c>
      <c r="B250" s="29" t="n">
        <v>7</v>
      </c>
      <c r="C250" s="18" t="n">
        <v>4.52597268445442</v>
      </c>
      <c r="D250" s="18" t="n">
        <v>5.16713456263695</v>
      </c>
      <c r="E250" s="18" t="n">
        <v>4.92230506065299</v>
      </c>
      <c r="F250" s="18" t="n">
        <v>7.74693999100559</v>
      </c>
      <c r="G250" s="18" t="n">
        <v>5.50677654663292</v>
      </c>
      <c r="H250" s="18" t="n">
        <v>5.34592874105712</v>
      </c>
      <c r="I250" s="18" t="n">
        <v>5.23885362539992</v>
      </c>
      <c r="J250" s="18" t="n">
        <v>5.2063231232074</v>
      </c>
    </row>
    <row r="251" customFormat="false" ht="15" hidden="false" customHeight="false" outlineLevel="0" collapsed="false">
      <c r="A251" s="28" t="n">
        <v>24602.8944581716</v>
      </c>
      <c r="B251" s="29" t="n">
        <v>7</v>
      </c>
      <c r="C251" s="18" t="n">
        <v>5.05392779158003</v>
      </c>
      <c r="D251" s="18" t="n">
        <v>8.33214137228943</v>
      </c>
      <c r="E251" s="18" t="n">
        <v>4.92021670020149</v>
      </c>
      <c r="F251" s="18" t="n">
        <v>5.39214941793989</v>
      </c>
      <c r="G251" s="18" t="n">
        <v>5.55093431792752</v>
      </c>
      <c r="H251" s="18" t="n">
        <v>5.23757691841432</v>
      </c>
      <c r="I251" s="18" t="n">
        <v>5.24294301689019</v>
      </c>
      <c r="J251" s="18" t="n">
        <v>5.28960927024954</v>
      </c>
    </row>
    <row r="252" customFormat="false" ht="15" hidden="false" customHeight="false" outlineLevel="0" collapsed="false">
      <c r="A252" s="28" t="n">
        <v>24702.9062242617</v>
      </c>
      <c r="B252" s="29" t="n">
        <v>7</v>
      </c>
      <c r="C252" s="18" t="n">
        <v>9.30161026265146</v>
      </c>
      <c r="D252" s="18" t="n">
        <v>8.90731943225839</v>
      </c>
      <c r="E252" s="18" t="n">
        <v>4.93302972030229</v>
      </c>
      <c r="F252" s="18" t="n">
        <v>5.66341112283541</v>
      </c>
      <c r="G252" s="18" t="n">
        <v>5.05039388480804</v>
      </c>
      <c r="H252" s="18" t="n">
        <v>5.15458751343406</v>
      </c>
      <c r="I252" s="18" t="n">
        <v>5.2466226377995</v>
      </c>
      <c r="J252" s="18" t="n">
        <v>5.30057573862888</v>
      </c>
    </row>
    <row r="253" customFormat="false" ht="15" hidden="false" customHeight="false" outlineLevel="0" collapsed="false">
      <c r="A253" s="28" t="n">
        <v>24802.9179903518</v>
      </c>
      <c r="B253" s="29" t="n">
        <v>7</v>
      </c>
      <c r="C253" s="18" t="n">
        <v>9.28185370165014</v>
      </c>
      <c r="D253" s="18" t="n">
        <v>6.50663131980028</v>
      </c>
      <c r="E253" s="18" t="n">
        <v>4.95916668950479</v>
      </c>
      <c r="F253" s="18" t="n">
        <v>8.43456836390884</v>
      </c>
      <c r="G253" s="18" t="n">
        <v>4.95178855388447</v>
      </c>
      <c r="H253" s="18" t="n">
        <v>5.17902226211922</v>
      </c>
      <c r="I253" s="18" t="n">
        <v>5.24981280213602</v>
      </c>
      <c r="J253" s="18" t="n">
        <v>5.22521588088792</v>
      </c>
    </row>
    <row r="254" customFormat="false" ht="15" hidden="false" customHeight="false" outlineLevel="0" collapsed="false">
      <c r="A254" s="28" t="n">
        <v>24902.9297564419</v>
      </c>
      <c r="B254" s="29" t="n">
        <v>7</v>
      </c>
      <c r="C254" s="18" t="n">
        <v>5.06778087939695</v>
      </c>
      <c r="D254" s="18" t="n">
        <v>5.06514381001427</v>
      </c>
      <c r="E254" s="18" t="n">
        <v>4.99790098620901</v>
      </c>
      <c r="F254" s="18" t="n">
        <v>8.59230742296252</v>
      </c>
      <c r="G254" s="18" t="n">
        <v>5.34222445941077</v>
      </c>
      <c r="H254" s="18" t="n">
        <v>5.33903982466695</v>
      </c>
      <c r="I254" s="18" t="n">
        <v>5.25245432370968</v>
      </c>
      <c r="J254" s="18" t="n">
        <v>5.20121204102421</v>
      </c>
    </row>
    <row r="255" customFormat="false" ht="15" hidden="false" customHeight="false" outlineLevel="0" collapsed="false">
      <c r="A255" s="28" t="n">
        <v>25002.9415225321</v>
      </c>
      <c r="B255" s="29" t="n">
        <v>7</v>
      </c>
      <c r="C255" s="18" t="n">
        <v>4.56301971582824</v>
      </c>
      <c r="D255" s="18" t="n">
        <v>5.75370564124985</v>
      </c>
      <c r="E255" s="18" t="n">
        <v>5.04913560009501</v>
      </c>
      <c r="F255" s="18" t="n">
        <v>6.29894223498114</v>
      </c>
      <c r="G255" s="18" t="n">
        <v>5.52997556166813</v>
      </c>
      <c r="H255" s="18" t="n">
        <v>5.33522911419638</v>
      </c>
      <c r="I255" s="18" t="n">
        <v>5.25450797360383</v>
      </c>
      <c r="J255" s="18" t="n">
        <v>5.21875050188052</v>
      </c>
    </row>
    <row r="256" customFormat="false" ht="15" hidden="false" customHeight="false" outlineLevel="0" collapsed="false">
      <c r="A256" s="28" t="n">
        <v>25102.9532886222</v>
      </c>
      <c r="B256" s="29" t="n">
        <v>7</v>
      </c>
      <c r="C256" s="18" t="n">
        <v>5.50742313914928</v>
      </c>
      <c r="D256" s="18" t="n">
        <v>8.85729438121087</v>
      </c>
      <c r="E256" s="18" t="n">
        <v>5.11330561227054</v>
      </c>
      <c r="F256" s="18" t="n">
        <v>5.33490797641984</v>
      </c>
      <c r="G256" s="18" t="n">
        <v>5.539637051192</v>
      </c>
      <c r="H256" s="18" t="n">
        <v>5.16855744141349</v>
      </c>
      <c r="I256" s="18" t="n">
        <v>5.25595803375011</v>
      </c>
      <c r="J256" s="18" t="n">
        <v>5.29488039035467</v>
      </c>
    </row>
    <row r="257" customFormat="false" ht="15" hidden="false" customHeight="false" outlineLevel="0" collapsed="false">
      <c r="A257" s="28" t="n">
        <v>25202.9650547123</v>
      </c>
      <c r="B257" s="29" t="n">
        <v>7</v>
      </c>
      <c r="C257" s="18" t="n">
        <v>9.40383486537965</v>
      </c>
      <c r="D257" s="18" t="n">
        <v>8.56287024472448</v>
      </c>
      <c r="E257" s="18" t="n">
        <v>5.19137261734435</v>
      </c>
      <c r="F257" s="18" t="n">
        <v>5.91618149175647</v>
      </c>
      <c r="G257" s="18" t="n">
        <v>5.01981707647047</v>
      </c>
      <c r="H257" s="18" t="n">
        <v>5.15775589819523</v>
      </c>
      <c r="I257" s="18" t="n">
        <v>5.25682000982272</v>
      </c>
      <c r="J257" s="18" t="n">
        <v>5.29850276749866</v>
      </c>
    </row>
    <row r="258" customFormat="false" ht="15" hidden="false" customHeight="false" outlineLevel="0" collapsed="false">
      <c r="A258" s="28" t="n">
        <v>25302.9768208025</v>
      </c>
      <c r="B258" s="29" t="n">
        <v>7</v>
      </c>
      <c r="C258" s="18" t="n">
        <v>9.15223414634962</v>
      </c>
      <c r="D258" s="18" t="n">
        <v>5.25077334249873</v>
      </c>
      <c r="E258" s="18" t="n">
        <v>5.28493431265565</v>
      </c>
      <c r="F258" s="18" t="n">
        <v>8.563064143043</v>
      </c>
      <c r="G258" s="18" t="n">
        <v>4.94785329778197</v>
      </c>
      <c r="H258" s="18" t="n">
        <v>5.32061106466207</v>
      </c>
      <c r="I258" s="18" t="n">
        <v>5.25715365594777</v>
      </c>
      <c r="J258" s="18" t="n">
        <v>5.21737698084183</v>
      </c>
    </row>
    <row r="259" customFormat="false" ht="15" hidden="false" customHeight="false" outlineLevel="0" collapsed="false">
      <c r="A259" s="28" t="n">
        <v>25402.9885868926</v>
      </c>
      <c r="B259" s="29" t="n">
        <v>7</v>
      </c>
      <c r="C259" s="18" t="n">
        <v>4.84254623300426</v>
      </c>
      <c r="D259" s="18" t="n">
        <v>5.25647057494073</v>
      </c>
      <c r="E259" s="18" t="n">
        <v>5.3965864644429</v>
      </c>
      <c r="F259" s="18" t="n">
        <v>8.50062773460115</v>
      </c>
      <c r="G259" s="18" t="n">
        <v>5.41078036577765</v>
      </c>
      <c r="H259" s="18" t="n">
        <v>5.34531959302642</v>
      </c>
      <c r="I259" s="18" t="n">
        <v>5.25708528587665</v>
      </c>
      <c r="J259" s="18" t="n">
        <v>5.20047667718261</v>
      </c>
    </row>
    <row r="260" customFormat="false" ht="15" hidden="false" customHeight="false" outlineLevel="0" collapsed="false">
      <c r="A260" s="28" t="n">
        <v>25503.0003529827</v>
      </c>
      <c r="B260" s="29" t="n">
        <v>7</v>
      </c>
      <c r="C260" s="18" t="n">
        <v>4.62699412658802</v>
      </c>
      <c r="D260" s="18" t="n">
        <v>8.56538899473476</v>
      </c>
      <c r="E260" s="18" t="n">
        <v>5.53105118531441</v>
      </c>
      <c r="F260" s="18" t="n">
        <v>5.82674358501879</v>
      </c>
      <c r="G260" s="18" t="n">
        <v>5.54089466329463</v>
      </c>
      <c r="H260" s="18" t="n">
        <v>5.19737765411211</v>
      </c>
      <c r="I260" s="18" t="n">
        <v>5.25685464991691</v>
      </c>
      <c r="J260" s="18" t="n">
        <v>5.26120752092534</v>
      </c>
    </row>
    <row r="261" customFormat="false" ht="15" hidden="false" customHeight="false" outlineLevel="0" collapsed="false">
      <c r="A261" s="28" t="n">
        <v>25603.0121190728</v>
      </c>
      <c r="B261" s="29" t="n">
        <v>7</v>
      </c>
      <c r="C261" s="18" t="n">
        <v>8.43467490101579</v>
      </c>
      <c r="D261" s="18" t="n">
        <v>8.86704428455722</v>
      </c>
      <c r="E261" s="18" t="n">
        <v>5.69920252541588</v>
      </c>
      <c r="F261" s="18" t="n">
        <v>5.36489954289261</v>
      </c>
      <c r="G261" s="18" t="n">
        <v>5.49758706157135</v>
      </c>
      <c r="H261" s="18" t="n">
        <v>5.15306622056247</v>
      </c>
      <c r="I261" s="18" t="n">
        <v>5.25654171022264</v>
      </c>
      <c r="J261" s="18" t="n">
        <v>5.29893621224488</v>
      </c>
    </row>
    <row r="262" customFormat="false" ht="15" hidden="false" customHeight="false" outlineLevel="0" collapsed="false">
      <c r="A262" s="28" t="n">
        <v>25703.023885163</v>
      </c>
      <c r="B262" s="29" t="n">
        <v>7</v>
      </c>
      <c r="C262" s="18" t="n">
        <v>9.472986314543</v>
      </c>
      <c r="D262" s="18" t="n">
        <v>5.81678466185585</v>
      </c>
      <c r="E262" s="18" t="n">
        <v>5.93066288119224</v>
      </c>
      <c r="F262" s="18" t="n">
        <v>6.6330609392561</v>
      </c>
      <c r="G262" s="18" t="n">
        <v>4.99334749302666</v>
      </c>
      <c r="H262" s="18" t="n">
        <v>5.20740173276292</v>
      </c>
      <c r="I262" s="18" t="n">
        <v>5.25595368862957</v>
      </c>
      <c r="J262" s="18" t="n">
        <v>5.29306879649557</v>
      </c>
    </row>
    <row r="263" customFormat="false" ht="15" hidden="false" customHeight="false" outlineLevel="0" collapsed="false">
      <c r="A263" s="28" t="n">
        <v>25803.0356512531</v>
      </c>
      <c r="B263" s="29" t="n">
        <v>7</v>
      </c>
      <c r="C263" s="18" t="n">
        <v>8.94620617905463</v>
      </c>
      <c r="D263" s="18" t="n">
        <v>5.05122911157689</v>
      </c>
      <c r="E263" s="18" t="n">
        <v>6.31760714984921</v>
      </c>
      <c r="F263" s="18" t="n">
        <v>8.64877884161095</v>
      </c>
      <c r="G263" s="18" t="n">
        <v>4.94917260641774</v>
      </c>
      <c r="H263" s="18" t="n">
        <v>5.34270661207058</v>
      </c>
      <c r="I263" s="18" t="n">
        <v>5.25479639953055</v>
      </c>
      <c r="J263" s="18" t="n">
        <v>5.21130962398487</v>
      </c>
    </row>
    <row r="264" customFormat="false" ht="15" hidden="false" customHeight="false" outlineLevel="0" collapsed="false">
      <c r="A264" s="28" t="n">
        <v>25903.0474173432</v>
      </c>
      <c r="B264" s="29" t="n">
        <v>7</v>
      </c>
      <c r="C264" s="18" t="n">
        <v>4.69800801286591</v>
      </c>
      <c r="D264" s="18" t="n">
        <v>6.04022242478703</v>
      </c>
      <c r="E264" s="18" t="n">
        <v>7.18914177548361</v>
      </c>
      <c r="F264" s="18" t="n">
        <v>8.3656256536553</v>
      </c>
      <c r="G264" s="18" t="n">
        <v>5.44963859182488</v>
      </c>
      <c r="H264" s="18" t="n">
        <v>5.33091029752534</v>
      </c>
      <c r="I264" s="18" t="n">
        <v>5.25236539941658</v>
      </c>
      <c r="J264" s="18" t="n">
        <v>5.20076730047816</v>
      </c>
    </row>
    <row r="265" customFormat="false" ht="15" hidden="false" customHeight="false" outlineLevel="0" collapsed="false">
      <c r="A265" s="28" t="n">
        <v>26003.0591834334</v>
      </c>
      <c r="B265" s="29" t="n">
        <v>7</v>
      </c>
      <c r="C265" s="18" t="n">
        <v>4.71748792668839</v>
      </c>
      <c r="D265" s="18" t="n">
        <v>8.89631678049388</v>
      </c>
      <c r="E265" s="18" t="n">
        <v>7.63140127608748</v>
      </c>
      <c r="F265" s="18" t="n">
        <v>5.61021559240016</v>
      </c>
      <c r="G265" s="18" t="n">
        <v>5.54837076142305</v>
      </c>
      <c r="H265" s="18" t="n">
        <v>5.16520072169476</v>
      </c>
      <c r="I265" s="18" t="n">
        <v>5.25177214662983</v>
      </c>
      <c r="J265" s="18" t="n">
        <v>5.27597092032774</v>
      </c>
    </row>
    <row r="266" customFormat="false" ht="15" hidden="false" customHeight="false" outlineLevel="0" collapsed="false">
      <c r="A266" s="28" t="n">
        <v>26103.0709495235</v>
      </c>
      <c r="B266" s="29" t="n">
        <v>7</v>
      </c>
      <c r="C266" s="18" t="n">
        <v>8.93283010336204</v>
      </c>
      <c r="D266" s="18" t="n">
        <v>8.48683401643979</v>
      </c>
      <c r="E266" s="18" t="n">
        <v>7.75117928742828</v>
      </c>
      <c r="F266" s="18" t="n">
        <v>5.43076699007229</v>
      </c>
      <c r="G266" s="18" t="n">
        <v>5.15752726154168</v>
      </c>
      <c r="H266" s="18" t="n">
        <v>5.1594094860815</v>
      </c>
      <c r="I266" s="18" t="n">
        <v>5.25145812233444</v>
      </c>
      <c r="J266" s="18" t="n">
        <v>5.30054135264352</v>
      </c>
    </row>
    <row r="267" customFormat="false" ht="15" hidden="false" customHeight="false" outlineLevel="0" collapsed="false">
      <c r="A267" s="28" t="n">
        <v>26203.0827156136</v>
      </c>
      <c r="B267" s="29" t="n">
        <v>7</v>
      </c>
      <c r="C267" s="18" t="n">
        <v>9.43595732426675</v>
      </c>
      <c r="D267" s="18" t="n">
        <v>5.2096654726635</v>
      </c>
      <c r="E267" s="18" t="n">
        <v>7.81896974223437</v>
      </c>
      <c r="F267" s="18" t="n">
        <v>7.92576505554714</v>
      </c>
      <c r="G267" s="18" t="n">
        <v>4.97019075425277</v>
      </c>
      <c r="H267" s="18" t="n">
        <v>5.32453755001129</v>
      </c>
      <c r="I267" s="18" t="n">
        <v>5.25112671799593</v>
      </c>
      <c r="J267" s="18" t="n">
        <v>5.27306731770072</v>
      </c>
    </row>
    <row r="268" customFormat="false" ht="15" hidden="false" customHeight="false" outlineLevel="0" collapsed="false">
      <c r="A268" s="28" t="n">
        <v>26303.0944817037</v>
      </c>
      <c r="B268" s="29" t="n">
        <v>7</v>
      </c>
      <c r="C268" s="18" t="n">
        <v>8.49432630103265</v>
      </c>
      <c r="D268" s="18" t="n">
        <v>5.30263499688214</v>
      </c>
      <c r="E268" s="18" t="n">
        <v>7.85398782670101</v>
      </c>
      <c r="F268" s="18" t="n">
        <v>8.68411375037105</v>
      </c>
      <c r="G268" s="18" t="n">
        <v>4.96041356706266</v>
      </c>
      <c r="H268" s="18" t="n">
        <v>5.34468112686999</v>
      </c>
      <c r="I268" s="18" t="n">
        <v>5.25082042910402</v>
      </c>
      <c r="J268" s="18" t="n">
        <v>5.20628196201315</v>
      </c>
    </row>
    <row r="269" customFormat="false" ht="15" hidden="false" customHeight="false" outlineLevel="0" collapsed="false">
      <c r="A269" s="28" t="n">
        <v>26403.1062477939</v>
      </c>
      <c r="B269" s="29" t="n">
        <v>7</v>
      </c>
      <c r="C269" s="18" t="n">
        <v>4.59544079657463</v>
      </c>
      <c r="D269" s="18" t="n">
        <v>8.63293414479143</v>
      </c>
      <c r="E269" s="18" t="n">
        <v>7.86630155888284</v>
      </c>
      <c r="F269" s="18" t="n">
        <v>8.14500872375951</v>
      </c>
      <c r="G269" s="18" t="n">
        <v>5.48026370989028</v>
      </c>
      <c r="H269" s="18" t="n">
        <v>5.19011335917821</v>
      </c>
      <c r="I269" s="18" t="n">
        <v>5.2505420882147</v>
      </c>
      <c r="J269" s="18" t="n">
        <v>5.2025552663483</v>
      </c>
    </row>
    <row r="270" customFormat="false" ht="15" hidden="false" customHeight="false" outlineLevel="0" collapsed="false">
      <c r="A270" s="28" t="n">
        <v>26503.118013884</v>
      </c>
      <c r="B270" s="29" t="n">
        <v>7</v>
      </c>
      <c r="C270" s="18" t="n">
        <v>4.84740948627881</v>
      </c>
      <c r="D270" s="18" t="n">
        <v>8.82177668709877</v>
      </c>
      <c r="E270" s="18" t="n">
        <v>7.86127160561086</v>
      </c>
      <c r="F270" s="18" t="n">
        <v>5.47397381426001</v>
      </c>
      <c r="G270" s="18" t="n">
        <v>5.55228558359761</v>
      </c>
      <c r="H270" s="18" t="n">
        <v>5.15358564236394</v>
      </c>
      <c r="I270" s="18" t="n">
        <v>5.25029520422704</v>
      </c>
      <c r="J270" s="18" t="n">
        <v>5.28414134205602</v>
      </c>
    </row>
    <row r="271" customFormat="false" ht="15" hidden="false" customHeight="false" outlineLevel="0" collapsed="false">
      <c r="A271" s="28" t="n">
        <v>26603.1297799741</v>
      </c>
      <c r="B271" s="29" t="n">
        <v>7</v>
      </c>
      <c r="C271" s="18" t="n">
        <v>9.15747816955746</v>
      </c>
      <c r="D271" s="18" t="n">
        <v>5.62125987413379</v>
      </c>
      <c r="E271" s="18" t="n">
        <v>7.84182473324065</v>
      </c>
      <c r="F271" s="18" t="n">
        <v>5.5301142683577</v>
      </c>
      <c r="G271" s="18" t="n">
        <v>5.08918589919639</v>
      </c>
      <c r="H271" s="18" t="n">
        <v>5.27434640282711</v>
      </c>
      <c r="I271" s="18" t="n">
        <v>5.25008317780379</v>
      </c>
      <c r="J271" s="18" t="n">
        <v>5.30106449561387</v>
      </c>
    </row>
    <row r="272" customFormat="false" ht="15" hidden="false" customHeight="false" outlineLevel="0" collapsed="false">
      <c r="A272" s="28" t="n">
        <v>26703.1415460642</v>
      </c>
      <c r="B272" s="29" t="n">
        <v>7</v>
      </c>
      <c r="C272" s="18" t="n">
        <v>9.37213079731567</v>
      </c>
      <c r="D272" s="18" t="n">
        <v>5.09596737129594</v>
      </c>
      <c r="E272" s="18" t="n">
        <v>7.80962123124849</v>
      </c>
      <c r="F272" s="18" t="n">
        <v>8.2655794190803</v>
      </c>
      <c r="G272" s="18" t="n">
        <v>4.95927595700236</v>
      </c>
      <c r="H272" s="18" t="n">
        <v>5.34562298889647</v>
      </c>
      <c r="I272" s="18" t="n">
        <v>5.24990886768528</v>
      </c>
      <c r="J272" s="18" t="n">
        <v>5.23583039678986</v>
      </c>
    </row>
    <row r="273" customFormat="false" ht="15" hidden="false" customHeight="false" outlineLevel="0" collapsed="false">
      <c r="A273" s="28" t="n">
        <v>26803.1533121544</v>
      </c>
      <c r="B273" s="29" t="n">
        <v>7</v>
      </c>
      <c r="C273" s="18" t="n">
        <v>5.56786602778982</v>
      </c>
      <c r="D273" s="18" t="n">
        <v>7.64441329517548</v>
      </c>
      <c r="E273" s="18" t="n">
        <v>7.765622452464</v>
      </c>
      <c r="F273" s="18" t="n">
        <v>8.64839652342266</v>
      </c>
      <c r="G273" s="18" t="n">
        <v>5.00226995149142</v>
      </c>
      <c r="H273" s="18" t="n">
        <v>5.31880731698237</v>
      </c>
      <c r="I273" s="18" t="n">
        <v>5.2497742062395</v>
      </c>
      <c r="J273" s="18" t="n">
        <v>5.20265532158976</v>
      </c>
    </row>
    <row r="274" customFormat="false" ht="15" hidden="false" customHeight="false" outlineLevel="0" collapsed="false">
      <c r="A274" s="28" t="n">
        <v>26903.1650782445</v>
      </c>
      <c r="B274" s="29" t="n">
        <v>7</v>
      </c>
      <c r="C274" s="18" t="n">
        <v>4.52597270841406</v>
      </c>
      <c r="D274" s="18" t="n">
        <v>8.93594038269377</v>
      </c>
      <c r="E274" s="18" t="n">
        <v>7.71044447245359</v>
      </c>
      <c r="F274" s="18" t="n">
        <v>7.63746501042243</v>
      </c>
      <c r="G274" s="18" t="n">
        <v>5.50677654656961</v>
      </c>
      <c r="H274" s="18" t="n">
        <v>5.16018381301736</v>
      </c>
      <c r="I274" s="18" t="n">
        <v>5.24967974820012</v>
      </c>
      <c r="J274" s="18" t="n">
        <v>5.20721551609205</v>
      </c>
    </row>
    <row r="275" customFormat="false" ht="15" hidden="false" customHeight="false" outlineLevel="0" collapsed="false">
      <c r="A275" s="28" t="n">
        <v>27003.1768443346</v>
      </c>
      <c r="B275" s="29" t="n">
        <v>7</v>
      </c>
      <c r="C275" s="18" t="n">
        <v>5.05392782529384</v>
      </c>
      <c r="D275" s="18" t="n">
        <v>8.1923663605507</v>
      </c>
      <c r="E275" s="18" t="n">
        <v>7.64466115011247</v>
      </c>
      <c r="F275" s="18" t="n">
        <v>5.38221552067823</v>
      </c>
      <c r="G275" s="18" t="n">
        <v>5.55093431903031</v>
      </c>
      <c r="H275" s="18" t="n">
        <v>5.16545421069891</v>
      </c>
      <c r="I275" s="18" t="n">
        <v>5.2496241353643</v>
      </c>
      <c r="J275" s="18" t="n">
        <v>5.29026416970244</v>
      </c>
    </row>
    <row r="276" customFormat="false" ht="15" hidden="false" customHeight="false" outlineLevel="0" collapsed="false">
      <c r="A276" s="28" t="n">
        <v>27103.1886104248</v>
      </c>
      <c r="B276" s="29" t="n">
        <v>7</v>
      </c>
      <c r="C276" s="18" t="n">
        <v>9.30161027943659</v>
      </c>
      <c r="D276" s="18" t="n">
        <v>5.13135715751182</v>
      </c>
      <c r="E276" s="18" t="n">
        <v>7.56915232953534</v>
      </c>
      <c r="F276" s="18" t="n">
        <v>5.68051918513567</v>
      </c>
      <c r="G276" s="18" t="n">
        <v>5.05039388380437</v>
      </c>
      <c r="H276" s="18" t="n">
        <v>5.33223486476204</v>
      </c>
      <c r="I276" s="18" t="n">
        <v>5.24960352732322</v>
      </c>
      <c r="J276" s="18" t="n">
        <v>5.30050419549122</v>
      </c>
    </row>
    <row r="277" customFormat="false" ht="15" hidden="false" customHeight="false" outlineLevel="0" collapsed="false">
      <c r="A277" s="28" t="n">
        <v>27203.2003765149</v>
      </c>
      <c r="B277" s="29" t="n">
        <v>7</v>
      </c>
      <c r="C277" s="18" t="n">
        <v>9.28185370749851</v>
      </c>
      <c r="D277" s="18" t="n">
        <v>5.46255580427852</v>
      </c>
      <c r="E277" s="18" t="n">
        <v>7.4855422130938</v>
      </c>
      <c r="F277" s="18" t="n">
        <v>8.44932649603312</v>
      </c>
      <c r="G277" s="18" t="n">
        <v>4.95178855461579</v>
      </c>
      <c r="H277" s="18" t="n">
        <v>5.34146640742748</v>
      </c>
      <c r="I277" s="18" t="n">
        <v>5.24961120679871</v>
      </c>
      <c r="J277" s="18" t="n">
        <v>5.22435828739987</v>
      </c>
    </row>
    <row r="278" customFormat="false" ht="15" hidden="false" customHeight="false" outlineLevel="0" collapsed="false">
      <c r="A278" s="28" t="n">
        <v>27303.212142605</v>
      </c>
      <c r="B278" s="29" t="n">
        <v>7</v>
      </c>
      <c r="C278" s="18" t="n">
        <v>5.06778089277005</v>
      </c>
      <c r="D278" s="18" t="n">
        <v>8.76239808771512</v>
      </c>
      <c r="E278" s="18" t="n">
        <v>7.39665192116357</v>
      </c>
      <c r="F278" s="18" t="n">
        <v>8.58510079264347</v>
      </c>
      <c r="G278" s="18" t="n">
        <v>5.34222445550667</v>
      </c>
      <c r="H278" s="18" t="n">
        <v>5.1777484972242</v>
      </c>
      <c r="I278" s="18" t="n">
        <v>5.2496443077666</v>
      </c>
      <c r="J278" s="18" t="n">
        <v>5.20111414710569</v>
      </c>
    </row>
    <row r="279" customFormat="false" ht="15" hidden="false" customHeight="false" outlineLevel="0" collapsed="false">
      <c r="A279" s="28" t="n">
        <v>27403.2239086951</v>
      </c>
      <c r="B279" s="29" t="n">
        <v>7</v>
      </c>
      <c r="C279" s="18" t="n">
        <v>4.56301971773716</v>
      </c>
      <c r="D279" s="18" t="n">
        <v>8.71739667158292</v>
      </c>
      <c r="E279" s="18" t="n">
        <v>7.30711676066644</v>
      </c>
      <c r="F279" s="18" t="n">
        <v>6.22687577371885</v>
      </c>
      <c r="G279" s="18" t="n">
        <v>5.52997556182171</v>
      </c>
      <c r="H279" s="18" t="n">
        <v>5.15500632795939</v>
      </c>
      <c r="I279" s="18" t="n">
        <v>5.2497011454269</v>
      </c>
      <c r="J279" s="18" t="n">
        <v>5.22115554091327</v>
      </c>
    </row>
    <row r="280" customFormat="false" ht="15" hidden="false" customHeight="false" outlineLevel="0" collapsed="false">
      <c r="A280" s="28" t="n">
        <v>27503.2356747853</v>
      </c>
      <c r="B280" s="29" t="n">
        <v>7</v>
      </c>
      <c r="C280" s="18" t="n">
        <v>5.5074231511042</v>
      </c>
      <c r="D280" s="18" t="n">
        <v>5.39598824557579</v>
      </c>
      <c r="E280" s="18" t="n">
        <v>7.2241932198921</v>
      </c>
      <c r="F280" s="18" t="n">
        <v>5.33330341147892</v>
      </c>
      <c r="G280" s="18" t="n">
        <v>5.53963705113112</v>
      </c>
      <c r="H280" s="18" t="n">
        <v>5.30693523558213</v>
      </c>
      <c r="I280" s="18" t="n">
        <v>5.24977001515766</v>
      </c>
      <c r="J280" s="18" t="n">
        <v>5.29526205613663</v>
      </c>
    </row>
    <row r="281" customFormat="false" ht="15" hidden="false" customHeight="false" outlineLevel="0" collapsed="false">
      <c r="A281" s="28" t="n">
        <v>27603.2474408754</v>
      </c>
      <c r="B281" s="29" t="n">
        <v>7</v>
      </c>
      <c r="C281" s="18" t="n">
        <v>9.40383486695697</v>
      </c>
      <c r="D281" s="18" t="n">
        <v>5.16544857250938</v>
      </c>
      <c r="E281" s="18" t="n">
        <v>7.15503330772091</v>
      </c>
      <c r="F281" s="18" t="n">
        <v>5.94135919142292</v>
      </c>
      <c r="G281" s="18" t="n">
        <v>5.01981707642363</v>
      </c>
      <c r="H281" s="18" t="n">
        <v>5.34641830229345</v>
      </c>
      <c r="I281" s="18" t="n">
        <v>5.24983571129136</v>
      </c>
      <c r="J281" s="18" t="n">
        <v>5.2982922288716</v>
      </c>
    </row>
    <row r="282" customFormat="false" ht="15" hidden="false" customHeight="false" outlineLevel="0" collapsed="false">
      <c r="A282" s="28" t="n">
        <v>27703.2592069655</v>
      </c>
      <c r="B282" s="29" t="n">
        <v>7</v>
      </c>
      <c r="C282" s="18" t="n">
        <v>9.152234147272</v>
      </c>
      <c r="D282" s="18" t="n">
        <v>8.32798896668286</v>
      </c>
      <c r="E282" s="18" t="n">
        <v>7.10289047172813</v>
      </c>
      <c r="F282" s="18" t="n">
        <v>8.57057761271599</v>
      </c>
      <c r="G282" s="18" t="n">
        <v>4.94785329785875</v>
      </c>
      <c r="H282" s="18" t="n">
        <v>5.2402507436745</v>
      </c>
      <c r="I282" s="18" t="n">
        <v>5.24988816179891</v>
      </c>
      <c r="J282" s="18" t="n">
        <v>5.21690127487306</v>
      </c>
    </row>
    <row r="283" customFormat="false" ht="15" hidden="false" customHeight="false" outlineLevel="0" collapsed="false">
      <c r="A283" s="28" t="n">
        <v>27803.2709730557</v>
      </c>
      <c r="B283" s="29" t="n">
        <v>7</v>
      </c>
      <c r="C283" s="18" t="n">
        <v>4.84254623401079</v>
      </c>
      <c r="D283" s="18" t="n">
        <v>8.91195450022002</v>
      </c>
      <c r="E283" s="18" t="n">
        <v>7.06640312637308</v>
      </c>
      <c r="F283" s="18" t="n">
        <v>8.49240218768897</v>
      </c>
      <c r="G283" s="18" t="n">
        <v>5.41078036566775</v>
      </c>
      <c r="H283" s="18" t="n">
        <v>5.15505067000566</v>
      </c>
      <c r="I283" s="18" t="n">
        <v>5.2499257113597</v>
      </c>
      <c r="J283" s="18" t="n">
        <v>5.20047295076435</v>
      </c>
    </row>
    <row r="284" customFormat="false" ht="15" hidden="false" customHeight="false" outlineLevel="0" collapsed="false">
      <c r="A284" s="28" t="n">
        <v>27903.2827391458</v>
      </c>
      <c r="B284" s="29" t="n">
        <v>7</v>
      </c>
      <c r="C284" s="18" t="n">
        <v>4.62699412681439</v>
      </c>
      <c r="D284" s="18" t="n">
        <v>6.70449461129904</v>
      </c>
      <c r="E284" s="18" t="n">
        <v>7.04195660430883</v>
      </c>
      <c r="F284" s="18" t="n">
        <v>5.80657195975816</v>
      </c>
      <c r="G284" s="18" t="n">
        <v>5.54089466332643</v>
      </c>
      <c r="H284" s="18" t="n">
        <v>5.17792787428177</v>
      </c>
      <c r="I284" s="18" t="n">
        <v>5.24995125982125</v>
      </c>
      <c r="J284" s="18" t="n">
        <v>5.26283226116348</v>
      </c>
    </row>
    <row r="285" customFormat="false" ht="15" hidden="false" customHeight="false" outlineLevel="0" collapsed="false">
      <c r="A285" s="28" t="n">
        <v>28003.2945052359</v>
      </c>
      <c r="B285" s="29" t="n">
        <v>7</v>
      </c>
      <c r="C285" s="18" t="n">
        <v>8.43467490276021</v>
      </c>
      <c r="D285" s="18" t="n">
        <v>5.0705029170633</v>
      </c>
      <c r="E285" s="18" t="n">
        <v>7.02595157789334</v>
      </c>
      <c r="F285" s="18" t="n">
        <v>5.367069033128</v>
      </c>
      <c r="G285" s="18" t="n">
        <v>5.49758706144616</v>
      </c>
      <c r="H285" s="18" t="n">
        <v>5.33879682833796</v>
      </c>
      <c r="I285" s="18" t="n">
        <v>5.24996826776964</v>
      </c>
      <c r="J285" s="18" t="n">
        <v>5.29911392889005</v>
      </c>
    </row>
    <row r="286" customFormat="false" ht="15" hidden="false" customHeight="false" outlineLevel="0" collapsed="false">
      <c r="A286" s="28" t="n">
        <v>28103.306271326</v>
      </c>
      <c r="B286" s="29" t="n">
        <v>7</v>
      </c>
      <c r="C286" s="18" t="n">
        <v>9.4729863146698</v>
      </c>
      <c r="D286" s="18" t="n">
        <v>5.72460911780824</v>
      </c>
      <c r="E286" s="18" t="n">
        <v>7.01562291653345</v>
      </c>
      <c r="F286" s="18" t="n">
        <v>6.72919152025038</v>
      </c>
      <c r="G286" s="18" t="n">
        <v>4.99334749302651</v>
      </c>
      <c r="H286" s="18" t="n">
        <v>5.33610131345385</v>
      </c>
      <c r="I286" s="18" t="n">
        <v>5.24997945725629</v>
      </c>
      <c r="J286" s="18" t="n">
        <v>5.29259303365638</v>
      </c>
    </row>
    <row r="287" customFormat="false" ht="15" hidden="false" customHeight="false" outlineLevel="0" collapsed="false">
      <c r="A287" s="28" t="n">
        <v>28203.3180374162</v>
      </c>
      <c r="B287" s="29" t="n">
        <v>7</v>
      </c>
      <c r="C287" s="18" t="n">
        <v>8.94620617923306</v>
      </c>
      <c r="D287" s="18" t="n">
        <v>8.85315346936364</v>
      </c>
      <c r="E287" s="18" t="n">
        <v>7.00903502013355</v>
      </c>
      <c r="F287" s="18" t="n">
        <v>8.65263811558855</v>
      </c>
      <c r="G287" s="18" t="n">
        <v>4.94917260642367</v>
      </c>
      <c r="H287" s="18" t="n">
        <v>5.16945882399226</v>
      </c>
      <c r="I287" s="18" t="n">
        <v>5.24998676530297</v>
      </c>
      <c r="J287" s="18" t="n">
        <v>5.21099416894551</v>
      </c>
    </row>
    <row r="288" customFormat="false" ht="15" hidden="false" customHeight="false" outlineLevel="0" collapsed="false">
      <c r="A288" s="28" t="n">
        <v>28303.3298035063</v>
      </c>
      <c r="B288" s="29" t="n">
        <v>7</v>
      </c>
      <c r="C288" s="18" t="n">
        <v>4.69800801295556</v>
      </c>
      <c r="D288" s="18" t="n">
        <v>8.59362742556813</v>
      </c>
      <c r="E288" s="18" t="n">
        <v>7.00488338934559</v>
      </c>
      <c r="F288" s="18" t="n">
        <v>8.35534470472549</v>
      </c>
      <c r="G288" s="18" t="n">
        <v>5.44963859181948</v>
      </c>
      <c r="H288" s="18" t="n">
        <v>5.15728544338799</v>
      </c>
      <c r="I288" s="18" t="n">
        <v>5.24999151596338</v>
      </c>
      <c r="J288" s="18" t="n">
        <v>5.20083807079346</v>
      </c>
    </row>
    <row r="289" customFormat="false" ht="15" hidden="false" customHeight="false" outlineLevel="0" collapsed="false">
      <c r="A289" s="28" t="n">
        <v>28403.3415695964</v>
      </c>
      <c r="B289" s="29" t="n">
        <v>7</v>
      </c>
      <c r="C289" s="18" t="n">
        <v>4.71748792671964</v>
      </c>
      <c r="D289" s="18" t="n">
        <v>5.27110660696563</v>
      </c>
      <c r="E289" s="18" t="n">
        <v>7.00230572210958</v>
      </c>
      <c r="F289" s="18" t="n">
        <v>5.60050625064617</v>
      </c>
      <c r="G289" s="18" t="n">
        <v>5.5483707614269</v>
      </c>
      <c r="H289" s="18" t="n">
        <v>5.31861584149651</v>
      </c>
      <c r="I289" s="18" t="n">
        <v>5.24999459340926</v>
      </c>
      <c r="J289" s="18" t="n">
        <v>5.27652877380425</v>
      </c>
    </row>
    <row r="290" customFormat="false" ht="15" hidden="false" customHeight="false" outlineLevel="0" collapsed="false">
      <c r="A290" s="28" t="n">
        <v>28503.3533356866</v>
      </c>
      <c r="B290" s="29" t="n">
        <v>7</v>
      </c>
      <c r="C290" s="18" t="n">
        <v>8.93283010343295</v>
      </c>
      <c r="D290" s="18" t="n">
        <v>5.22025871602794</v>
      </c>
      <c r="E290" s="18" t="n">
        <v>7.00073804352811</v>
      </c>
      <c r="F290" s="18" t="n">
        <v>5.43419395614684</v>
      </c>
      <c r="G290" s="18" t="n">
        <v>5.15752726152106</v>
      </c>
      <c r="H290" s="18" t="n">
        <v>5.34619176620637</v>
      </c>
      <c r="I290" s="18" t="n">
        <v>5.24999658087634</v>
      </c>
      <c r="J290" s="18" t="n">
        <v>5.30061052105459</v>
      </c>
    </row>
    <row r="291" customFormat="false" ht="15" hidden="false" customHeight="false" outlineLevel="0" collapsed="false">
      <c r="A291" s="28" t="n">
        <v>28603.3651017767</v>
      </c>
      <c r="B291" s="29" t="n">
        <v>7</v>
      </c>
      <c r="C291" s="18" t="n">
        <v>9.43595732427879</v>
      </c>
      <c r="D291" s="18" t="n">
        <v>8.50542541351164</v>
      </c>
      <c r="E291" s="18" t="n">
        <v>6.99981384975996</v>
      </c>
      <c r="F291" s="18" t="n">
        <v>7.94934951174998</v>
      </c>
      <c r="G291" s="18" t="n">
        <v>4.97019075425361</v>
      </c>
      <c r="H291" s="18" t="n">
        <v>5.20492148555415</v>
      </c>
      <c r="I291" s="18" t="n">
        <v>5.24999786042155</v>
      </c>
      <c r="J291" s="18" t="n">
        <v>5.27071297513639</v>
      </c>
    </row>
    <row r="292" customFormat="false" ht="15" hidden="false" customHeight="false" outlineLevel="0" collapsed="false">
      <c r="A292" s="28" t="n">
        <v>28703.3768678668</v>
      </c>
      <c r="B292" s="29" t="n">
        <v>7</v>
      </c>
      <c r="C292" s="18" t="n">
        <v>8.49432630109497</v>
      </c>
      <c r="D292" s="18" t="n">
        <v>8.89390360116314</v>
      </c>
      <c r="E292" s="18" t="n">
        <v>6.99929607977749</v>
      </c>
      <c r="F292" s="18" t="n">
        <v>8.68281255229017</v>
      </c>
      <c r="G292" s="18" t="n">
        <v>4.96041356706233</v>
      </c>
      <c r="H292" s="18" t="n">
        <v>5.15317375904252</v>
      </c>
      <c r="I292" s="18" t="n">
        <v>5.24999868120896</v>
      </c>
      <c r="J292" s="18" t="n">
        <v>5.20605992659971</v>
      </c>
    </row>
    <row r="293" customFormat="false" ht="15" hidden="false" customHeight="false" outlineLevel="0" collapsed="false">
      <c r="A293" s="28" t="n">
        <v>28803.3886339569</v>
      </c>
      <c r="B293" s="29" t="n">
        <v>7</v>
      </c>
      <c r="C293" s="18" t="n">
        <v>4.59544079658278</v>
      </c>
      <c r="D293" s="18" t="n">
        <v>6.03981996261743</v>
      </c>
      <c r="E293" s="18" t="n">
        <v>6.99903203192597</v>
      </c>
      <c r="F293" s="18" t="n">
        <v>8.12920370742485</v>
      </c>
      <c r="G293" s="18" t="n">
        <v>5.48026370989005</v>
      </c>
      <c r="H293" s="18" t="n">
        <v>5.18874251166048</v>
      </c>
      <c r="I293" s="18" t="n">
        <v>5.24999920527726</v>
      </c>
      <c r="J293" s="18" t="n">
        <v>5.20271879557235</v>
      </c>
    </row>
    <row r="294" customFormat="false" ht="15" hidden="false" customHeight="false" outlineLevel="0" collapsed="false">
      <c r="A294" s="28" t="n">
        <v>28903.4004000471</v>
      </c>
      <c r="B294" s="29" t="n">
        <v>7</v>
      </c>
      <c r="C294" s="18" t="n">
        <v>4.8474094862835</v>
      </c>
      <c r="D294" s="18" t="n">
        <v>5.05306998801613</v>
      </c>
      <c r="E294" s="18" t="n">
        <v>6.99892377200588</v>
      </c>
      <c r="F294" s="18" t="n">
        <v>5.46842439079669</v>
      </c>
      <c r="G294" s="18" t="n">
        <v>5.55228558359803</v>
      </c>
      <c r="H294" s="18" t="n">
        <v>5.34120991969913</v>
      </c>
      <c r="I294" s="18" t="n">
        <v>5.24999953780547</v>
      </c>
      <c r="J294" s="18" t="n">
        <v>5.28446836492133</v>
      </c>
    </row>
    <row r="295" customFormat="false" ht="15" hidden="false" customHeight="false" outlineLevel="0" collapsed="false">
      <c r="A295" s="28" t="n">
        <v>29003.4121661372</v>
      </c>
      <c r="B295" s="29" t="n">
        <v>7</v>
      </c>
      <c r="C295" s="18" t="n">
        <v>9.15747816956275</v>
      </c>
      <c r="D295" s="18" t="n">
        <v>5.89307199207276</v>
      </c>
      <c r="E295" s="18" t="n">
        <v>6.99890882011526</v>
      </c>
      <c r="F295" s="18" t="n">
        <v>5.53477062296984</v>
      </c>
      <c r="G295" s="18" t="n">
        <v>5.08918589919584</v>
      </c>
      <c r="H295" s="18" t="n">
        <v>5.33314749130001</v>
      </c>
      <c r="I295" s="18" t="n">
        <v>5.24999974696816</v>
      </c>
      <c r="J295" s="18" t="n">
        <v>5.30108119096478</v>
      </c>
    </row>
    <row r="296" customFormat="false" ht="15" hidden="false" customHeight="false" outlineLevel="0" collapsed="false">
      <c r="A296" s="28" t="n">
        <v>29103.4239322273</v>
      </c>
      <c r="B296" s="29" t="n">
        <v>7</v>
      </c>
      <c r="C296" s="18" t="n">
        <v>9.3721307973174</v>
      </c>
      <c r="D296" s="18" t="n">
        <v>8.88140952124754</v>
      </c>
      <c r="E296" s="18" t="n">
        <v>6.99894758937237</v>
      </c>
      <c r="F296" s="18" t="n">
        <v>8.2750526048602</v>
      </c>
      <c r="G296" s="18" t="n">
        <v>4.95927595700268</v>
      </c>
      <c r="H296" s="18" t="n">
        <v>5.16659057531583</v>
      </c>
      <c r="I296" s="18" t="n">
        <v>5.24999987690095</v>
      </c>
      <c r="J296" s="18" t="n">
        <v>5.23518017761774</v>
      </c>
    </row>
    <row r="297" customFormat="false" ht="15" hidden="false" customHeight="false" outlineLevel="0" collapsed="false">
      <c r="A297" s="28" t="n">
        <v>29203.4356983175</v>
      </c>
      <c r="B297" s="29" t="n">
        <v>7</v>
      </c>
      <c r="C297" s="18" t="n">
        <v>5.56786602779988</v>
      </c>
      <c r="D297" s="18" t="n">
        <v>8.51252917249162</v>
      </c>
      <c r="E297" s="18" t="n">
        <v>6.9990152351059</v>
      </c>
      <c r="F297" s="18" t="n">
        <v>8.64582322717466</v>
      </c>
      <c r="G297" s="18" t="n">
        <v>5.00226995149075</v>
      </c>
      <c r="H297" s="18" t="n">
        <v>5.15901048253092</v>
      </c>
      <c r="I297" s="18" t="n">
        <v>5.24999995614226</v>
      </c>
      <c r="J297" s="18" t="n">
        <v>5.20257737821491</v>
      </c>
    </row>
    <row r="298" customFormat="false" ht="15" hidden="false" customHeight="false" outlineLevel="0" collapsed="false">
      <c r="A298" s="28" t="n">
        <v>29303.4474644076</v>
      </c>
      <c r="B298" s="29" t="n">
        <v>7</v>
      </c>
      <c r="C298" s="18" t="n">
        <v>4.52597270841479</v>
      </c>
      <c r="D298" s="18" t="n">
        <v>5.22347991381829</v>
      </c>
      <c r="E298" s="18" t="n">
        <v>6.99909637540449</v>
      </c>
      <c r="F298" s="18" t="n">
        <v>7.5924544187081</v>
      </c>
      <c r="G298" s="18" t="n">
        <v>5.50677654656961</v>
      </c>
      <c r="H298" s="18" t="n">
        <v>5.32347511342423</v>
      </c>
      <c r="I298" s="18" t="n">
        <v>5.25000000311951</v>
      </c>
      <c r="J298" s="18" t="n">
        <v>5.20756568949769</v>
      </c>
    </row>
    <row r="299" customFormat="false" ht="15" hidden="false" customHeight="false" outlineLevel="0" collapsed="false">
      <c r="A299" s="28" t="n">
        <v>29403.4592304977</v>
      </c>
      <c r="B299" s="29" t="n">
        <v>7</v>
      </c>
      <c r="C299" s="18" t="n">
        <v>5.05392782529485</v>
      </c>
      <c r="D299" s="18" t="n">
        <v>5.29510889817029</v>
      </c>
      <c r="E299" s="18" t="n">
        <v>6.99918167696773</v>
      </c>
      <c r="F299" s="18" t="n">
        <v>5.37903277903754</v>
      </c>
      <c r="G299" s="18" t="n">
        <v>5.55093431903033</v>
      </c>
      <c r="H299" s="18" t="n">
        <v>5.34480674162697</v>
      </c>
      <c r="I299" s="18" t="n">
        <v>5.25000002971055</v>
      </c>
      <c r="J299" s="18" t="n">
        <v>5.29049337558482</v>
      </c>
    </row>
    <row r="300" customFormat="false" ht="15" hidden="false" customHeight="false" outlineLevel="0" collapsed="false">
      <c r="A300" s="28" t="n">
        <v>29503.4709965878</v>
      </c>
      <c r="B300" s="29" t="n">
        <v>7</v>
      </c>
      <c r="C300" s="18" t="n">
        <v>9.30161027943659</v>
      </c>
      <c r="D300" s="18" t="n">
        <v>8.62195215034991</v>
      </c>
      <c r="E300" s="18" t="n">
        <v>6.99926565092653</v>
      </c>
      <c r="F300" s="18" t="n">
        <v>5.68729410769116</v>
      </c>
      <c r="G300" s="18" t="n">
        <v>5.05039388380436</v>
      </c>
      <c r="H300" s="18" t="n">
        <v>5.19121637007557</v>
      </c>
      <c r="I300" s="18" t="n">
        <v>5.25000004355374</v>
      </c>
      <c r="J300" s="18" t="n">
        <v>5.30047077694981</v>
      </c>
    </row>
    <row r="301" customFormat="false" ht="15" hidden="false" customHeight="false" outlineLevel="0" collapsed="false">
      <c r="A301" s="28" t="n">
        <v>29603.482762678</v>
      </c>
      <c r="B301" s="29" t="n">
        <v>7</v>
      </c>
      <c r="C301" s="18" t="n">
        <v>9.28185370749851</v>
      </c>
      <c r="D301" s="18" t="n">
        <v>8.8256260519987</v>
      </c>
      <c r="E301" s="18" t="n">
        <v>6.99934523265972</v>
      </c>
      <c r="F301" s="18" t="n">
        <v>8.45471090889694</v>
      </c>
      <c r="G301" s="18" t="n">
        <v>4.95178855461583</v>
      </c>
      <c r="H301" s="18" t="n">
        <v>5.15363268045805</v>
      </c>
      <c r="I301" s="18" t="n">
        <v>5.25000004954554</v>
      </c>
      <c r="J301" s="18" t="n">
        <v>5.22403092766602</v>
      </c>
    </row>
    <row r="302" customFormat="false" ht="15" hidden="false" customHeight="false" outlineLevel="0" collapsed="false">
      <c r="A302" s="28" t="n">
        <v>29703.4945287681</v>
      </c>
      <c r="B302" s="29" t="n">
        <v>7</v>
      </c>
      <c r="C302" s="18" t="n">
        <v>5.06778089277064</v>
      </c>
      <c r="D302" s="18" t="n">
        <v>5.63762070929614</v>
      </c>
      <c r="E302" s="18" t="n">
        <v>6.99941886909792</v>
      </c>
      <c r="F302" s="18" t="n">
        <v>8.58165193058793</v>
      </c>
      <c r="G302" s="18" t="n">
        <v>5.3422244555065</v>
      </c>
      <c r="H302" s="18" t="n">
        <v>5.27041737572201</v>
      </c>
      <c r="I302" s="18" t="n">
        <v>5.25000005081106</v>
      </c>
      <c r="J302" s="18" t="n">
        <v>5.20108326372808</v>
      </c>
    </row>
    <row r="303" customFormat="false" ht="15" hidden="false" customHeight="false" outlineLevel="0" collapsed="false">
      <c r="A303" s="28" t="n">
        <v>29803.5062948582</v>
      </c>
      <c r="B303" s="29" t="n">
        <v>7</v>
      </c>
      <c r="C303" s="18" t="n">
        <v>4.56301971773724</v>
      </c>
      <c r="D303" s="18" t="n">
        <v>5.09429565721158</v>
      </c>
      <c r="E303" s="18" t="n">
        <v>6.99948593418825</v>
      </c>
      <c r="F303" s="18" t="n">
        <v>6.19840848020703</v>
      </c>
      <c r="G303" s="18" t="n">
        <v>5.52997556182171</v>
      </c>
      <c r="H303" s="18" t="n">
        <v>5.34544621068063</v>
      </c>
      <c r="I303" s="18" t="n">
        <v>5.25000004933261</v>
      </c>
      <c r="J303" s="18" t="n">
        <v>5.22238268872088</v>
      </c>
    </row>
    <row r="304" customFormat="false" ht="15" hidden="false" customHeight="false" outlineLevel="0" collapsed="false">
      <c r="A304" s="28" t="n">
        <v>29903.5180609484</v>
      </c>
      <c r="B304" s="29" t="n">
        <v>7</v>
      </c>
      <c r="C304" s="18" t="n">
        <v>5.50742315110462</v>
      </c>
      <c r="D304" s="18" t="n">
        <v>7.57711828317939</v>
      </c>
      <c r="E304" s="18" t="n">
        <v>6.9995463563002</v>
      </c>
      <c r="F304" s="18" t="n">
        <v>5.33302858876439</v>
      </c>
      <c r="G304" s="18" t="n">
        <v>5.53963705113111</v>
      </c>
      <c r="H304" s="18" t="n">
        <v>5.31968393440711</v>
      </c>
      <c r="I304" s="18" t="n">
        <v>5.25000004635672</v>
      </c>
      <c r="J304" s="18" t="n">
        <v>5.2954319578002</v>
      </c>
    </row>
    <row r="305" customFormat="false" ht="15" hidden="false" customHeight="false" outlineLevel="0" collapsed="false">
      <c r="A305" s="28" t="n">
        <v>30003.5298270385</v>
      </c>
      <c r="B305" s="29" t="n">
        <v>7</v>
      </c>
      <c r="C305" s="18" t="n">
        <v>9.40383486695697</v>
      </c>
      <c r="D305" s="18" t="n">
        <v>8.93438856242742</v>
      </c>
      <c r="E305" s="18" t="n">
        <v>6.9996003822981</v>
      </c>
      <c r="F305" s="18" t="n">
        <v>5.95389145753789</v>
      </c>
      <c r="G305" s="18" t="n">
        <v>5.01981707642364</v>
      </c>
      <c r="H305" s="18" t="n">
        <v>5.16042965035812</v>
      </c>
      <c r="I305" s="18" t="n">
        <v>5.2500000426574</v>
      </c>
      <c r="J305" s="18" t="n">
        <v>5.29818470131914</v>
      </c>
    </row>
    <row r="306" customFormat="false" ht="15" hidden="false" customHeight="false" outlineLevel="0" collapsed="false">
      <c r="A306" s="28" t="n">
        <v>30103.5415931286</v>
      </c>
      <c r="B306" s="29" t="n">
        <v>7</v>
      </c>
      <c r="C306" s="18" t="n">
        <v>9.152234147272</v>
      </c>
      <c r="D306" s="18" t="n">
        <v>8.21012347737599</v>
      </c>
      <c r="E306" s="18" t="n">
        <v>6.99964842955394</v>
      </c>
      <c r="F306" s="18" t="n">
        <v>8.57402996178887</v>
      </c>
      <c r="G306" s="18" t="n">
        <v>4.94785329785875</v>
      </c>
      <c r="H306" s="18" t="n">
        <v>5.16515648600362</v>
      </c>
      <c r="I306" s="18" t="n">
        <v>5.25000003870637</v>
      </c>
      <c r="J306" s="18" t="n">
        <v>5.21666890177046</v>
      </c>
    </row>
    <row r="307" customFormat="false" ht="15" hidden="false" customHeight="false" outlineLevel="0" collapsed="false">
      <c r="A307" s="28" t="n">
        <v>30203.5533592187</v>
      </c>
      <c r="B307" s="29" t="n">
        <v>7</v>
      </c>
      <c r="C307" s="18" t="n">
        <v>4.84254623401084</v>
      </c>
      <c r="D307" s="18" t="n">
        <v>5.13446768825007</v>
      </c>
      <c r="E307" s="18" t="n">
        <v>6.9996909943826</v>
      </c>
      <c r="F307" s="18" t="n">
        <v>8.4877808235005</v>
      </c>
      <c r="G307" s="18" t="n">
        <v>5.41078036566774</v>
      </c>
      <c r="H307" s="18" t="n">
        <v>5.33195114821853</v>
      </c>
      <c r="I307" s="18" t="n">
        <v>5.25000003478297</v>
      </c>
      <c r="J307" s="18" t="n">
        <v>5.20047877985875</v>
      </c>
    </row>
    <row r="308" customFormat="false" ht="15" hidden="false" customHeight="false" outlineLevel="0" collapsed="false">
      <c r="A308" s="28" t="n">
        <v>30303.5651253089</v>
      </c>
      <c r="B308" s="29" t="n">
        <v>7</v>
      </c>
      <c r="C308" s="18" t="n">
        <v>4.6269941268144</v>
      </c>
      <c r="D308" s="18" t="n">
        <v>5.454789718196</v>
      </c>
      <c r="E308" s="18" t="n">
        <v>6.99972859653371</v>
      </c>
      <c r="F308" s="18" t="n">
        <v>5.7961686917095</v>
      </c>
      <c r="G308" s="18" t="n">
        <v>5.54089466332643</v>
      </c>
      <c r="H308" s="18" t="n">
        <v>5.34164467093929</v>
      </c>
      <c r="I308" s="18" t="n">
        <v>5.25000003104497</v>
      </c>
      <c r="J308" s="18" t="n">
        <v>5.26364091709914</v>
      </c>
    </row>
    <row r="309" customFormat="false" ht="15" hidden="false" customHeight="false" outlineLevel="0" collapsed="false">
      <c r="A309" s="28" t="n">
        <v>30403.576891399</v>
      </c>
      <c r="B309" s="29" t="n">
        <v>7</v>
      </c>
      <c r="C309" s="18" t="n">
        <v>8.43467490276031</v>
      </c>
      <c r="D309" s="18" t="n">
        <v>8.75809373398742</v>
      </c>
      <c r="E309" s="18" t="n">
        <v>6.99976174659691</v>
      </c>
      <c r="F309" s="18" t="n">
        <v>5.36847266103592</v>
      </c>
      <c r="G309" s="18" t="n">
        <v>5.49758706144615</v>
      </c>
      <c r="H309" s="18" t="n">
        <v>5.17817977097025</v>
      </c>
      <c r="I309" s="18" t="n">
        <v>5.25000002757417</v>
      </c>
      <c r="J309" s="18" t="n">
        <v>5.29920437730896</v>
      </c>
    </row>
    <row r="310" customFormat="false" ht="15" hidden="false" customHeight="false" outlineLevel="0" collapsed="false">
      <c r="A310" s="28" t="n">
        <v>30503.5886574891</v>
      </c>
      <c r="B310" s="29" t="n">
        <v>7</v>
      </c>
      <c r="C310" s="18" t="n">
        <v>9.47298631466762</v>
      </c>
      <c r="D310" s="18" t="n">
        <v>8.72329892279098</v>
      </c>
      <c r="E310" s="18" t="n">
        <v>6.99979092785171</v>
      </c>
      <c r="F310" s="18" t="n">
        <v>6.79005253468705</v>
      </c>
      <c r="G310" s="18" t="n">
        <v>4.9933474930265</v>
      </c>
      <c r="H310" s="18" t="n">
        <v>5.15491342198074</v>
      </c>
      <c r="I310" s="18" t="n">
        <v>5.25000002440556</v>
      </c>
      <c r="J310" s="18" t="n">
        <v>5.29230491847996</v>
      </c>
    </row>
    <row r="311" customFormat="false" ht="15" hidden="false" customHeight="false" outlineLevel="0" collapsed="false">
      <c r="A311" s="28" t="n">
        <v>30603.6004235793</v>
      </c>
      <c r="B311" s="29" t="n">
        <v>7</v>
      </c>
      <c r="C311" s="18" t="n">
        <v>8.94620617923306</v>
      </c>
      <c r="D311" s="18" t="n">
        <v>5.40434613836201</v>
      </c>
      <c r="E311" s="18" t="n">
        <v>6.99981658712185</v>
      </c>
      <c r="F311" s="18" t="n">
        <v>8.65475493815084</v>
      </c>
      <c r="G311" s="18" t="n">
        <v>4.94917260642369</v>
      </c>
      <c r="H311" s="18" t="n">
        <v>5.30603567948423</v>
      </c>
      <c r="I311" s="18" t="n">
        <v>5.25000002154601</v>
      </c>
      <c r="J311" s="18" t="n">
        <v>5.21080688777718</v>
      </c>
    </row>
    <row r="312" customFormat="false" ht="15" hidden="false" customHeight="false" outlineLevel="0" collapsed="false">
      <c r="A312" s="28" t="n">
        <v>30703.6121896694</v>
      </c>
      <c r="B312" s="29" t="n">
        <v>7</v>
      </c>
      <c r="C312" s="18" t="n">
        <v>4.69800801295567</v>
      </c>
      <c r="D312" s="18" t="n">
        <v>5.15983148750518</v>
      </c>
      <c r="E312" s="18" t="n">
        <v>6.99983913114805</v>
      </c>
      <c r="F312" s="18" t="n">
        <v>8.34858488582424</v>
      </c>
      <c r="G312" s="18" t="n">
        <v>5.44963859181947</v>
      </c>
      <c r="H312" s="18" t="n">
        <v>5.34648123184859</v>
      </c>
      <c r="I312" s="18" t="n">
        <v>5.25000001898605</v>
      </c>
      <c r="J312" s="18" t="n">
        <v>5.20088954142241</v>
      </c>
    </row>
    <row r="313" customFormat="false" ht="15" hidden="false" customHeight="false" outlineLevel="0" collapsed="false">
      <c r="A313" s="28" t="n">
        <v>30803.6239557595</v>
      </c>
      <c r="B313" s="29" t="n">
        <v>7</v>
      </c>
      <c r="C313" s="18" t="n">
        <v>4.71748792671967</v>
      </c>
      <c r="D313" s="18" t="n">
        <v>8.30578161192183</v>
      </c>
      <c r="E313" s="18" t="n">
        <v>6.99985892625788</v>
      </c>
      <c r="F313" s="18" t="n">
        <v>5.59449359983308</v>
      </c>
      <c r="G313" s="18" t="n">
        <v>5.5483707614269</v>
      </c>
      <c r="H313" s="18" t="n">
        <v>5.24946673461345</v>
      </c>
      <c r="I313" s="18" t="n">
        <v>5.25000001670737</v>
      </c>
      <c r="J313" s="18" t="n">
        <v>5.27687833925234</v>
      </c>
    </row>
    <row r="314" customFormat="false" ht="15" hidden="false" customHeight="false" outlineLevel="0" collapsed="false">
      <c r="A314" s="28" t="n">
        <v>30903.6357218496</v>
      </c>
      <c r="B314" s="29" t="n">
        <v>7</v>
      </c>
      <c r="C314" s="18" t="n">
        <v>8.93283010343295</v>
      </c>
      <c r="D314" s="18" t="n">
        <v>8.91872197869582</v>
      </c>
      <c r="E314" s="18" t="n">
        <v>6.99987629992585</v>
      </c>
      <c r="F314" s="18" t="n">
        <v>5.43661238788273</v>
      </c>
      <c r="G314" s="18" t="n">
        <v>5.15752726152104</v>
      </c>
      <c r="H314" s="18" t="n">
        <v>5.15542499945282</v>
      </c>
      <c r="I314" s="18" t="n">
        <v>5.25000001468735</v>
      </c>
      <c r="J314" s="18" t="n">
        <v>5.30065220757188</v>
      </c>
    </row>
    <row r="315" customFormat="false" ht="15" hidden="false" customHeight="false" outlineLevel="0" collapsed="false">
      <c r="A315" s="28" t="n">
        <v>31003.6474879398</v>
      </c>
      <c r="B315" s="29" t="n">
        <v>7</v>
      </c>
      <c r="C315" s="18" t="n">
        <v>9.43595732427679</v>
      </c>
      <c r="D315" s="18" t="n">
        <v>7.0742778334237</v>
      </c>
      <c r="E315" s="18" t="n">
        <v>6.99989154334248</v>
      </c>
      <c r="F315" s="18" t="n">
        <v>7.96448706402297</v>
      </c>
      <c r="G315" s="18" t="n">
        <v>4.97019075425334</v>
      </c>
      <c r="H315" s="18" t="n">
        <v>5.17602787376132</v>
      </c>
      <c r="I315" s="18" t="n">
        <v>5.25000001290196</v>
      </c>
      <c r="J315" s="18" t="n">
        <v>5.2689742739455</v>
      </c>
    </row>
    <row r="316" customFormat="false" ht="15" hidden="false" customHeight="false" outlineLevel="0" collapsed="false">
      <c r="A316" s="28" t="n">
        <v>31103.6592540299</v>
      </c>
      <c r="B316" s="29" t="n">
        <v>7</v>
      </c>
      <c r="C316" s="18" t="n">
        <v>8.4943263010942</v>
      </c>
      <c r="D316" s="18" t="n">
        <v>5.0754003673853</v>
      </c>
      <c r="E316" s="18" t="n">
        <v>6.99990491444561</v>
      </c>
      <c r="F316" s="18" t="n">
        <v>8.68159839894576</v>
      </c>
      <c r="G316" s="18" t="n">
        <v>4.96041356706237</v>
      </c>
      <c r="H316" s="18" t="n">
        <v>5.33794528939336</v>
      </c>
      <c r="I316" s="18" t="n">
        <v>5.25000001132737</v>
      </c>
      <c r="J316" s="18" t="n">
        <v>5.20590441290909</v>
      </c>
    </row>
    <row r="317" customFormat="false" ht="15" hidden="false" customHeight="false" outlineLevel="0" collapsed="false">
      <c r="A317" s="28" t="n">
        <v>31203.67102012</v>
      </c>
      <c r="B317" s="29" t="n">
        <v>7</v>
      </c>
      <c r="C317" s="18" t="n">
        <v>4.59544079658278</v>
      </c>
      <c r="D317" s="18" t="n">
        <v>5.6496540757858</v>
      </c>
      <c r="E317" s="18" t="n">
        <v>6.99991664108505</v>
      </c>
      <c r="F317" s="18" t="n">
        <v>8.11707021844242</v>
      </c>
      <c r="G317" s="18" t="n">
        <v>5.48026370989006</v>
      </c>
      <c r="H317" s="18" t="n">
        <v>5.33766461555083</v>
      </c>
      <c r="I317" s="18" t="n">
        <v>5.25000000994089</v>
      </c>
      <c r="J317" s="18" t="n">
        <v>5.20284704148381</v>
      </c>
    </row>
    <row r="318" customFormat="false" ht="15" hidden="false" customHeight="false" outlineLevel="0" collapsed="false">
      <c r="A318" s="28" t="n">
        <v>31303.6827862101</v>
      </c>
      <c r="B318" s="29" t="n">
        <v>7</v>
      </c>
      <c r="C318" s="18" t="n">
        <v>4.84740948628358</v>
      </c>
      <c r="D318" s="18" t="n">
        <v>8.83632932808154</v>
      </c>
      <c r="E318" s="18" t="n">
        <v>6.99992692412455</v>
      </c>
      <c r="F318" s="18" t="n">
        <v>5.46441744884653</v>
      </c>
      <c r="G318" s="18" t="n">
        <v>5.55228558359803</v>
      </c>
      <c r="H318" s="18" t="n">
        <v>5.17142677407218</v>
      </c>
      <c r="I318" s="18" t="n">
        <v>5.25000000872147</v>
      </c>
      <c r="J318" s="18" t="n">
        <v>5.28471040873449</v>
      </c>
    </row>
    <row r="319" customFormat="false" ht="15" hidden="false" customHeight="false" outlineLevel="0" collapsed="false">
      <c r="A319" s="28" t="n">
        <v>31403.6945523003</v>
      </c>
      <c r="B319" s="29" t="n">
        <v>7</v>
      </c>
      <c r="C319" s="18" t="n">
        <v>9.15747816956275</v>
      </c>
      <c r="D319" s="18" t="n">
        <v>8.65361092556111</v>
      </c>
      <c r="E319" s="18" t="n">
        <v>6.99993594037541</v>
      </c>
      <c r="F319" s="18" t="n">
        <v>5.53851051360304</v>
      </c>
      <c r="G319" s="18" t="n">
        <v>5.08918589919584</v>
      </c>
      <c r="H319" s="18" t="n">
        <v>5.15595918113294</v>
      </c>
      <c r="I319" s="18" t="n">
        <v>5.25000000764992</v>
      </c>
      <c r="J319" s="18" t="n">
        <v>5.30109021687691</v>
      </c>
    </row>
    <row r="320" customFormat="false" ht="15" hidden="false" customHeight="false" outlineLevel="0" collapsed="false">
      <c r="A320" s="28" t="n">
        <v>31503.7063183904</v>
      </c>
      <c r="B320" s="29" t="n">
        <v>7</v>
      </c>
      <c r="C320" s="18" t="n">
        <v>9.3721307973174</v>
      </c>
      <c r="D320" s="18" t="n">
        <v>5.31652983099686</v>
      </c>
      <c r="E320" s="18" t="n">
        <v>6.99994384530702</v>
      </c>
      <c r="F320" s="18" t="n">
        <v>8.28225848338565</v>
      </c>
      <c r="G320" s="18" t="n">
        <v>4.95927595700269</v>
      </c>
      <c r="H320" s="18" t="n">
        <v>5.31437485698265</v>
      </c>
      <c r="I320" s="18" t="n">
        <v>5.2500000067089</v>
      </c>
      <c r="J320" s="18" t="n">
        <v>5.23468352968986</v>
      </c>
    </row>
    <row r="321" customFormat="false" ht="15" hidden="false" customHeight="false" outlineLevel="0" collapsed="false">
      <c r="A321" s="28" t="n">
        <v>31603.7180844805</v>
      </c>
      <c r="B321" s="29" t="n">
        <v>7</v>
      </c>
      <c r="C321" s="18" t="n">
        <v>5.56786602780063</v>
      </c>
      <c r="D321" s="18" t="n">
        <v>5.18985891732972</v>
      </c>
      <c r="E321" s="18" t="n">
        <v>6.99995077551259</v>
      </c>
      <c r="F321" s="18" t="n">
        <v>8.64349346301769</v>
      </c>
      <c r="G321" s="18" t="n">
        <v>5.00226995149068</v>
      </c>
      <c r="H321" s="18" t="n">
        <v>5.34652806747303</v>
      </c>
      <c r="I321" s="18" t="n">
        <v>5.2500000058829</v>
      </c>
      <c r="J321" s="18" t="n">
        <v>5.20251833860743</v>
      </c>
    </row>
    <row r="322" customFormat="false" ht="15" hidden="false" customHeight="false" outlineLevel="0" collapsed="false">
      <c r="A322" s="28" t="n">
        <v>31703.7298505707</v>
      </c>
      <c r="B322" s="29" t="n">
        <v>7</v>
      </c>
      <c r="C322" s="18" t="n">
        <v>4.52597270841484</v>
      </c>
      <c r="D322" s="18" t="n">
        <v>8.42921326893401</v>
      </c>
      <c r="E322" s="18" t="n">
        <v>6.99995685092966</v>
      </c>
      <c r="F322" s="18" t="n">
        <v>7.55065661002887</v>
      </c>
      <c r="G322" s="18" t="n">
        <v>5.5067765465696</v>
      </c>
      <c r="H322" s="18" t="n">
        <v>5.21586846748999</v>
      </c>
      <c r="I322" s="18" t="n">
        <v>5.25000000515811</v>
      </c>
      <c r="J322" s="18" t="n">
        <v>5.20787788265027</v>
      </c>
    </row>
    <row r="323" customFormat="false" ht="15" hidden="false" customHeight="false" outlineLevel="0" collapsed="false">
      <c r="A323" s="28" t="n">
        <v>31803.7416166608</v>
      </c>
      <c r="B323" s="29" t="n">
        <v>7</v>
      </c>
      <c r="C323" s="18" t="n">
        <v>5.05392782529487</v>
      </c>
      <c r="D323" s="18" t="n">
        <v>8.9003344178961</v>
      </c>
      <c r="E323" s="18" t="n">
        <v>6.99996217682481</v>
      </c>
      <c r="F323" s="18" t="n">
        <v>5.37641456335833</v>
      </c>
      <c r="G323" s="18" t="n">
        <v>5.55093431903033</v>
      </c>
      <c r="H323" s="18" t="n">
        <v>5.15380502089991</v>
      </c>
      <c r="I323" s="18" t="n">
        <v>5.25000000452231</v>
      </c>
      <c r="J323" s="18" t="n">
        <v>5.29068974568637</v>
      </c>
    </row>
    <row r="324" customFormat="false" ht="15" hidden="false" customHeight="false" outlineLevel="0" collapsed="false">
      <c r="A324" s="28" t="n">
        <v>31903.7533827509</v>
      </c>
      <c r="B324" s="29" t="n">
        <v>7</v>
      </c>
      <c r="C324" s="18" t="n">
        <v>9.30161027943659</v>
      </c>
      <c r="D324" s="18" t="n">
        <v>6.20846029926857</v>
      </c>
      <c r="E324" s="18" t="n">
        <v>6.99996684555761</v>
      </c>
      <c r="F324" s="18" t="n">
        <v>5.69351533416211</v>
      </c>
      <c r="G324" s="18" t="n">
        <v>5.05039388380435</v>
      </c>
      <c r="H324" s="18" t="n">
        <v>5.18368718071757</v>
      </c>
      <c r="I324" s="18" t="n">
        <v>5.25000000396467</v>
      </c>
      <c r="J324" s="18" t="n">
        <v>5.30043658004059</v>
      </c>
    </row>
    <row r="325" customFormat="false" ht="15" hidden="false" customHeight="false" outlineLevel="0" collapsed="false">
      <c r="A325" s="28" t="n">
        <v>32003.765148841</v>
      </c>
      <c r="B325" s="29" t="n">
        <v>7</v>
      </c>
      <c r="C325" s="18" t="n">
        <v>9.28185370749851</v>
      </c>
      <c r="D325" s="18" t="n">
        <v>5.05905931934425</v>
      </c>
      <c r="E325" s="18" t="n">
        <v>6.99997093814366</v>
      </c>
      <c r="F325" s="18" t="n">
        <v>8.45943662065837</v>
      </c>
      <c r="G325" s="18" t="n">
        <v>4.95178855461583</v>
      </c>
      <c r="H325" s="18" t="n">
        <v>5.34038508261706</v>
      </c>
      <c r="I325" s="18" t="n">
        <v>5.25000000347565</v>
      </c>
      <c r="J325" s="18" t="n">
        <v>5.22373485851947</v>
      </c>
    </row>
    <row r="326" customFormat="false" ht="15" hidden="false" customHeight="false" outlineLevel="0" collapsed="false">
      <c r="A326" s="28" t="n">
        <v>32103.7769149312</v>
      </c>
      <c r="B326" s="29" t="n">
        <v>7</v>
      </c>
      <c r="C326" s="18" t="n">
        <v>5.06778089277061</v>
      </c>
      <c r="D326" s="18" t="n">
        <v>5.84370980802713</v>
      </c>
      <c r="E326" s="18" t="n">
        <v>6.99997452563538</v>
      </c>
      <c r="F326" s="18" t="n">
        <v>8.57818549573466</v>
      </c>
      <c r="G326" s="18" t="n">
        <v>5.3422244555065</v>
      </c>
      <c r="H326" s="18" t="n">
        <v>5.33392432860406</v>
      </c>
      <c r="I326" s="18" t="n">
        <v>5.25000000304686</v>
      </c>
      <c r="J326" s="18" t="n">
        <v>5.2010580702976</v>
      </c>
    </row>
    <row r="327" customFormat="false" ht="15" hidden="false" customHeight="false" outlineLevel="0" collapsed="false">
      <c r="A327" s="28" t="n">
        <v>32203.7886810213</v>
      </c>
      <c r="B327" s="29" t="n">
        <v>7</v>
      </c>
      <c r="C327" s="18" t="n">
        <v>4.56301971773724</v>
      </c>
      <c r="D327" s="18" t="n">
        <v>8.87415129705021</v>
      </c>
      <c r="E327" s="18" t="n">
        <v>6.99997767033849</v>
      </c>
      <c r="F327" s="18" t="n">
        <v>6.17242607852014</v>
      </c>
      <c r="G327" s="18" t="n">
        <v>5.52997556182171</v>
      </c>
      <c r="H327" s="18" t="n">
        <v>5.16722022683722</v>
      </c>
      <c r="I327" s="18" t="n">
        <v>5.25000000267091</v>
      </c>
      <c r="J327" s="18" t="n">
        <v>5.22368907522357</v>
      </c>
    </row>
    <row r="328" customFormat="false" ht="15" hidden="false" customHeight="false" outlineLevel="0" collapsed="false">
      <c r="A328" s="28" t="n">
        <v>32303.8004471114</v>
      </c>
      <c r="B328" s="29" t="n">
        <v>7</v>
      </c>
      <c r="C328" s="18" t="n">
        <v>5.50742315110458</v>
      </c>
      <c r="D328" s="18" t="n">
        <v>8.5244557462487</v>
      </c>
      <c r="E328" s="18" t="n">
        <v>6.99998042688376</v>
      </c>
      <c r="F328" s="18" t="n">
        <v>5.33303660970661</v>
      </c>
      <c r="G328" s="18" t="n">
        <v>5.53963705113111</v>
      </c>
      <c r="H328" s="18" t="n">
        <v>5.15879055864849</v>
      </c>
      <c r="I328" s="18" t="n">
        <v>5.25000000234132</v>
      </c>
      <c r="J328" s="18" t="n">
        <v>5.29559866352718</v>
      </c>
    </row>
    <row r="329" customFormat="false" ht="15" hidden="false" customHeight="false" outlineLevel="0" collapsed="false">
      <c r="A329" s="28" t="n">
        <v>32403.8122132016</v>
      </c>
      <c r="B329" s="29" t="n">
        <v>7</v>
      </c>
      <c r="C329" s="18" t="n">
        <v>9.40383486695697</v>
      </c>
      <c r="D329" s="18" t="n">
        <v>5.23018076047574</v>
      </c>
      <c r="E329" s="18" t="n">
        <v>6.99998284316892</v>
      </c>
      <c r="F329" s="18" t="n">
        <v>5.96716119763974</v>
      </c>
      <c r="G329" s="18" t="n">
        <v>5.01981707642364</v>
      </c>
      <c r="H329" s="18" t="n">
        <v>5.3229003274212</v>
      </c>
      <c r="I329" s="18" t="n">
        <v>5.25000000205236</v>
      </c>
      <c r="J329" s="18" t="n">
        <v>5.29806849238792</v>
      </c>
    </row>
    <row r="330" customFormat="false" ht="15" hidden="false" customHeight="false" outlineLevel="0" collapsed="false">
      <c r="A330" s="28" t="n">
        <v>32503.8239792917</v>
      </c>
      <c r="B330" s="29" t="n">
        <v>7</v>
      </c>
      <c r="C330" s="18" t="n">
        <v>9.152234147272</v>
      </c>
      <c r="D330" s="18" t="n">
        <v>5.28978119822951</v>
      </c>
      <c r="E330" s="18" t="n">
        <v>6.99998496118536</v>
      </c>
      <c r="F330" s="18" t="n">
        <v>8.57748927082264</v>
      </c>
      <c r="G330" s="18" t="n">
        <v>4.94785329785873</v>
      </c>
      <c r="H330" s="18" t="n">
        <v>5.34488107237579</v>
      </c>
      <c r="I330" s="18" t="n">
        <v>5.25000000179905</v>
      </c>
      <c r="J330" s="18" t="n">
        <v>5.21642576294224</v>
      </c>
    </row>
    <row r="331" customFormat="false" ht="15" hidden="false" customHeight="false" outlineLevel="0" collapsed="false">
      <c r="A331" s="28" t="n">
        <v>32603.8357453818</v>
      </c>
      <c r="B331" s="29" t="n">
        <v>7</v>
      </c>
      <c r="C331" s="18" t="n">
        <v>4.84254623401048</v>
      </c>
      <c r="D331" s="18" t="n">
        <v>8.61431959809594</v>
      </c>
      <c r="E331" s="18" t="n">
        <v>6.99998681774546</v>
      </c>
      <c r="F331" s="18" t="n">
        <v>8.48253793415407</v>
      </c>
      <c r="G331" s="18" t="n">
        <v>5.4107803656678</v>
      </c>
      <c r="H331" s="18" t="n">
        <v>5.19197499142932</v>
      </c>
      <c r="I331" s="18" t="n">
        <v>5.250000001577</v>
      </c>
      <c r="J331" s="18" t="n">
        <v>5.20048976743621</v>
      </c>
    </row>
    <row r="332" customFormat="false" ht="15" hidden="false" customHeight="false" outlineLevel="0" collapsed="false">
      <c r="A332" s="28" t="n">
        <v>32703.8475114719</v>
      </c>
      <c r="B332" s="29" t="n">
        <v>7</v>
      </c>
      <c r="C332" s="18" t="n">
        <v>4.6269941268143</v>
      </c>
      <c r="D332" s="18" t="n">
        <v>8.82872553609976</v>
      </c>
      <c r="E332" s="18" t="n">
        <v>6.99998844512015</v>
      </c>
      <c r="F332" s="18" t="n">
        <v>5.78499097822726</v>
      </c>
      <c r="G332" s="18" t="n">
        <v>5.54089466332644</v>
      </c>
      <c r="H332" s="18" t="n">
        <v>5.15362798264393</v>
      </c>
      <c r="I332" s="18" t="n">
        <v>5.25000000138234</v>
      </c>
      <c r="J332" s="18" t="n">
        <v>5.26449110038636</v>
      </c>
    </row>
    <row r="333" customFormat="false" ht="15" hidden="false" customHeight="false" outlineLevel="0" collapsed="false">
      <c r="A333" s="28" t="n">
        <v>32803.8592775621</v>
      </c>
      <c r="B333" s="29" t="n">
        <v>7</v>
      </c>
      <c r="C333" s="18" t="n">
        <v>8.43467490276019</v>
      </c>
      <c r="D333" s="18" t="n">
        <v>5.65018326697993</v>
      </c>
      <c r="E333" s="18" t="n">
        <v>6.99998987159887</v>
      </c>
      <c r="F333" s="18" t="n">
        <v>5.37026497811083</v>
      </c>
      <c r="G333" s="18" t="n">
        <v>5.49758706144619</v>
      </c>
      <c r="H333" s="18" t="n">
        <v>5.26693048473304</v>
      </c>
      <c r="I333" s="18" t="n">
        <v>5.25000000121171</v>
      </c>
      <c r="J333" s="18" t="n">
        <v>5.29930027682838</v>
      </c>
    </row>
    <row r="334" customFormat="false" ht="15" hidden="false" customHeight="false" outlineLevel="0" collapsed="false">
      <c r="A334" s="28" t="n">
        <v>32903.8710436522</v>
      </c>
      <c r="B334" s="29" t="n">
        <v>7</v>
      </c>
      <c r="C334" s="18" t="n">
        <v>9.47298631466762</v>
      </c>
      <c r="D334" s="18" t="n">
        <v>5.09234633927577</v>
      </c>
      <c r="E334" s="18" t="n">
        <v>6.99999112197978</v>
      </c>
      <c r="F334" s="18" t="n">
        <v>6.8662490801815</v>
      </c>
      <c r="G334" s="18" t="n">
        <v>4.99334749302651</v>
      </c>
      <c r="H334" s="18" t="n">
        <v>5.34527970755555</v>
      </c>
      <c r="I334" s="18" t="n">
        <v>5.25000000106213</v>
      </c>
      <c r="J334" s="18" t="n">
        <v>5.29195154023853</v>
      </c>
    </row>
    <row r="335" customFormat="false" ht="15" hidden="false" customHeight="false" outlineLevel="0" collapsed="false">
      <c r="A335" s="28" t="n">
        <v>33003.8828097423</v>
      </c>
      <c r="B335" s="29" t="n">
        <v>7</v>
      </c>
      <c r="C335" s="18" t="n">
        <v>8.94620617923306</v>
      </c>
      <c r="D335" s="18" t="n">
        <v>7.50104883871271</v>
      </c>
      <c r="E335" s="18" t="n">
        <v>6.99999221800054</v>
      </c>
      <c r="F335" s="18" t="n">
        <v>8.65714315952993</v>
      </c>
      <c r="G335" s="18" t="n">
        <v>4.94917260642368</v>
      </c>
      <c r="H335" s="18" t="n">
        <v>5.32048425253969</v>
      </c>
      <c r="I335" s="18" t="n">
        <v>5.25000000093102</v>
      </c>
      <c r="J335" s="18" t="n">
        <v>5.21058146106929</v>
      </c>
    </row>
    <row r="336" customFormat="false" ht="15" hidden="false" customHeight="false" outlineLevel="0" collapsed="false">
      <c r="A336" s="28" t="n">
        <v>33103.8945758325</v>
      </c>
      <c r="B336" s="29" t="n">
        <v>7</v>
      </c>
      <c r="C336" s="18" t="n">
        <v>4.69800801295549</v>
      </c>
      <c r="D336" s="18" t="n">
        <v>8.93273152280943</v>
      </c>
      <c r="E336" s="18" t="n">
        <v>6.99999317871618</v>
      </c>
      <c r="F336" s="18" t="n">
        <v>8.33983905784537</v>
      </c>
      <c r="G336" s="18" t="n">
        <v>5.44963859181949</v>
      </c>
      <c r="H336" s="18" t="n">
        <v>5.16066355963963</v>
      </c>
      <c r="I336" s="18" t="n">
        <v>5.25000000081608</v>
      </c>
      <c r="J336" s="18" t="n">
        <v>5.20096001407929</v>
      </c>
    </row>
    <row r="337" customFormat="false" ht="15" hidden="false" customHeight="false" outlineLevel="0" collapsed="false">
      <c r="A337" s="28" t="n">
        <v>33203.9063419226</v>
      </c>
      <c r="B337" s="29" t="n">
        <v>7</v>
      </c>
      <c r="C337" s="18" t="n">
        <v>4.71748792671956</v>
      </c>
      <c r="D337" s="18" t="n">
        <v>8.22844742842917</v>
      </c>
      <c r="E337" s="18" t="n">
        <v>6.99999402082945</v>
      </c>
      <c r="F337" s="18" t="n">
        <v>5.58707453609293</v>
      </c>
      <c r="G337" s="18" t="n">
        <v>5.54837076142692</v>
      </c>
      <c r="H337" s="18" t="n">
        <v>5.16481763789966</v>
      </c>
      <c r="I337" s="18" t="n">
        <v>5.25000000071534</v>
      </c>
      <c r="J337" s="18" t="n">
        <v>5.27731521165361</v>
      </c>
    </row>
    <row r="338" customFormat="false" ht="15" hidden="false" customHeight="false" outlineLevel="0" collapsed="false">
      <c r="A338" s="28" t="n">
        <v>33303.9181080127</v>
      </c>
      <c r="B338" s="29" t="n">
        <v>7</v>
      </c>
      <c r="C338" s="18" t="n">
        <v>8.93283010343327</v>
      </c>
      <c r="D338" s="18" t="n">
        <v>5.13769485323853</v>
      </c>
      <c r="E338" s="18" t="n">
        <v>6.99999475898174</v>
      </c>
      <c r="F338" s="18" t="n">
        <v>5.43999667893673</v>
      </c>
      <c r="G338" s="18" t="n">
        <v>5.15752726152104</v>
      </c>
      <c r="H338" s="18" t="n">
        <v>5.33161249843436</v>
      </c>
      <c r="I338" s="18" t="n">
        <v>5.25000000062703</v>
      </c>
      <c r="J338" s="18" t="n">
        <v>5.30070157522933</v>
      </c>
    </row>
    <row r="339" customFormat="false" ht="15" hidden="false" customHeight="false" outlineLevel="0" collapsed="false">
      <c r="A339" s="28" t="n">
        <v>33403.9298741028</v>
      </c>
      <c r="B339" s="29" t="n">
        <v>7</v>
      </c>
      <c r="C339" s="18" t="n">
        <v>9.43595732427679</v>
      </c>
      <c r="D339" s="18" t="n">
        <v>5.44450899399495</v>
      </c>
      <c r="E339" s="18" t="n">
        <v>6.9999954060072</v>
      </c>
      <c r="F339" s="18" t="n">
        <v>7.98392517655065</v>
      </c>
      <c r="G339" s="18" t="n">
        <v>4.97019075425361</v>
      </c>
      <c r="H339" s="18" t="n">
        <v>5.34186667137593</v>
      </c>
      <c r="I339" s="18" t="n">
        <v>5.25000000054963</v>
      </c>
      <c r="J339" s="18" t="n">
        <v>5.26647050401726</v>
      </c>
    </row>
    <row r="340" customFormat="false" ht="15" hidden="false" customHeight="false" outlineLevel="0" collapsed="false">
      <c r="A340" s="28" t="n">
        <v>33503.941640193</v>
      </c>
      <c r="B340" s="29" t="n">
        <v>7</v>
      </c>
      <c r="C340" s="18" t="n">
        <v>8.49432630109489</v>
      </c>
      <c r="D340" s="18" t="n">
        <v>8.75220494182389</v>
      </c>
      <c r="E340" s="18" t="n">
        <v>6.99999597315528</v>
      </c>
      <c r="F340" s="18" t="n">
        <v>8.67957191022786</v>
      </c>
      <c r="G340" s="18" t="n">
        <v>4.96041356706235</v>
      </c>
      <c r="H340" s="18" t="n">
        <v>5.17877831228991</v>
      </c>
      <c r="I340" s="18" t="n">
        <v>5.25000000048177</v>
      </c>
      <c r="J340" s="18" t="n">
        <v>5.20568893748229</v>
      </c>
    </row>
    <row r="341" customFormat="false" ht="15" hidden="false" customHeight="false" outlineLevel="0" collapsed="false">
      <c r="A341" s="28" t="n">
        <v>33603.9534062831</v>
      </c>
      <c r="B341" s="29" t="n">
        <v>7</v>
      </c>
      <c r="C341" s="18" t="n">
        <v>4.59544079658278</v>
      </c>
      <c r="D341" s="18" t="n">
        <v>8.73277963304942</v>
      </c>
      <c r="E341" s="18" t="n">
        <v>6.99999647028685</v>
      </c>
      <c r="F341" s="18" t="n">
        <v>8.09884160938487</v>
      </c>
      <c r="G341" s="18" t="n">
        <v>5.48026370989006</v>
      </c>
      <c r="H341" s="18" t="n">
        <v>5.15473542533692</v>
      </c>
      <c r="I341" s="18" t="n">
        <v>5.2500000004223</v>
      </c>
      <c r="J341" s="18" t="n">
        <v>5.20304203345892</v>
      </c>
    </row>
    <row r="342" customFormat="false" ht="15" hidden="false" customHeight="false" outlineLevel="0" collapsed="false">
      <c r="A342" s="28" t="n">
        <v>33703.9651723732</v>
      </c>
      <c r="B342" s="29" t="n">
        <v>7</v>
      </c>
      <c r="C342" s="18" t="n">
        <v>4.84740948628355</v>
      </c>
      <c r="D342" s="18" t="n">
        <v>5.41785316308395</v>
      </c>
      <c r="E342" s="18" t="n">
        <v>6.99999690604594</v>
      </c>
      <c r="F342" s="18" t="n">
        <v>5.4587510464359</v>
      </c>
      <c r="G342" s="18" t="n">
        <v>5.55228558359804</v>
      </c>
      <c r="H342" s="18" t="n">
        <v>5.30445938257018</v>
      </c>
      <c r="I342" s="18" t="n">
        <v>5.25000000037017</v>
      </c>
      <c r="J342" s="18" t="n">
        <v>5.28506276134022</v>
      </c>
    </row>
    <row r="343" customFormat="false" ht="15" hidden="false" customHeight="false" outlineLevel="0" collapsed="false">
      <c r="A343" s="28" t="n">
        <v>33803.9769384634</v>
      </c>
      <c r="B343" s="29" t="n">
        <v>7</v>
      </c>
      <c r="C343" s="18" t="n">
        <v>9.15747816956328</v>
      </c>
      <c r="D343" s="18" t="n">
        <v>5.14757497045941</v>
      </c>
      <c r="E343" s="18" t="n">
        <v>6.99999728800901</v>
      </c>
      <c r="F343" s="18" t="n">
        <v>5.54448853329831</v>
      </c>
      <c r="G343" s="18" t="n">
        <v>5.0891858991958</v>
      </c>
      <c r="H343" s="18" t="n">
        <v>5.34663400279309</v>
      </c>
      <c r="I343" s="18" t="n">
        <v>5.25000000032447</v>
      </c>
      <c r="J343" s="18" t="n">
        <v>5.30109688505792</v>
      </c>
    </row>
    <row r="344" customFormat="false" ht="15" hidden="false" customHeight="false" outlineLevel="0" collapsed="false">
      <c r="A344" s="28" t="n">
        <v>33903.9887045535</v>
      </c>
      <c r="B344" s="29" t="n">
        <v>7</v>
      </c>
      <c r="C344" s="18" t="n">
        <v>9.3721307973174</v>
      </c>
      <c r="D344" s="18" t="n">
        <v>8.25447481124712</v>
      </c>
      <c r="E344" s="18" t="n">
        <v>6.99999762281702</v>
      </c>
      <c r="F344" s="18" t="n">
        <v>8.29310836959227</v>
      </c>
      <c r="G344" s="18" t="n">
        <v>4.95927595700269</v>
      </c>
      <c r="H344" s="18" t="n">
        <v>5.27354575201292</v>
      </c>
      <c r="I344" s="18" t="n">
        <v>5.25000000028441</v>
      </c>
      <c r="J344" s="18" t="n">
        <v>5.23393144344793</v>
      </c>
    </row>
    <row r="345" customFormat="false" ht="15" hidden="false" customHeight="false" outlineLevel="0" collapsed="false">
      <c r="A345" s="28" t="n">
        <v>34004.0004706436</v>
      </c>
      <c r="B345" s="29" t="n">
        <v>7</v>
      </c>
      <c r="C345" s="18" t="n">
        <v>5.5678660278002</v>
      </c>
      <c r="D345" s="18" t="n">
        <v>8.93693588151177</v>
      </c>
      <c r="E345" s="18" t="n">
        <v>6.99999791629165</v>
      </c>
      <c r="F345" s="18" t="n">
        <v>8.63938079605426</v>
      </c>
      <c r="G345" s="18" t="n">
        <v>5.0022699514907</v>
      </c>
      <c r="H345" s="18" t="n">
        <v>5.15633881521485</v>
      </c>
      <c r="I345" s="18" t="n">
        <v>5.2500000002493</v>
      </c>
      <c r="J345" s="18" t="n">
        <v>5.20242961210655</v>
      </c>
    </row>
    <row r="346" customFormat="false" ht="15" hidden="false" customHeight="false" outlineLevel="0" collapsed="false">
      <c r="A346" s="28" t="n">
        <v>34104.0122367337</v>
      </c>
      <c r="B346" s="29" t="n">
        <v>7</v>
      </c>
      <c r="C346" s="18" t="n">
        <v>4.52597270841473</v>
      </c>
      <c r="D346" s="18" t="n">
        <v>7.72268502968329</v>
      </c>
      <c r="E346" s="18" t="n">
        <v>6.99999817353546</v>
      </c>
      <c r="F346" s="18" t="n">
        <v>7.47202566592519</v>
      </c>
      <c r="G346" s="18" t="n">
        <v>5.50677654656961</v>
      </c>
      <c r="H346" s="18" t="n">
        <v>5.17180526882498</v>
      </c>
      <c r="I346" s="18" t="n">
        <v>5.25000000021852</v>
      </c>
      <c r="J346" s="18" t="n">
        <v>5.20843016426178</v>
      </c>
    </row>
    <row r="347" customFormat="false" ht="15" hidden="false" customHeight="false" outlineLevel="0" collapsed="false">
      <c r="A347" s="28" t="n">
        <v>34204.0240028239</v>
      </c>
      <c r="B347" s="29" t="n">
        <v>7</v>
      </c>
      <c r="C347" s="18" t="n">
        <v>5.05392782529479</v>
      </c>
      <c r="D347" s="18" t="n">
        <v>5.0894670675969</v>
      </c>
      <c r="E347" s="18" t="n">
        <v>6.99999839902156</v>
      </c>
      <c r="F347" s="18" t="n">
        <v>5.37219155639052</v>
      </c>
      <c r="G347" s="18" t="n">
        <v>5.55093431903034</v>
      </c>
      <c r="H347" s="18" t="n">
        <v>5.33604724145293</v>
      </c>
      <c r="I347" s="18" t="n">
        <v>5.25000000019155</v>
      </c>
      <c r="J347" s="18" t="n">
        <v>5.29102444256554</v>
      </c>
    </row>
    <row r="348" customFormat="false" ht="15" hidden="false" customHeight="false" outlineLevel="0" collapsed="false">
      <c r="A348" s="28" t="n">
        <v>34304.035768914</v>
      </c>
      <c r="B348" s="29" t="n">
        <v>7</v>
      </c>
      <c r="C348" s="18" t="n">
        <v>9.30161027943659</v>
      </c>
      <c r="D348" s="18" t="n">
        <v>5.54410622860534</v>
      </c>
      <c r="E348" s="18" t="n">
        <v>6.99999859667031</v>
      </c>
      <c r="F348" s="18" t="n">
        <v>5.70516583269651</v>
      </c>
      <c r="G348" s="18" t="n">
        <v>5.05039388380429</v>
      </c>
      <c r="H348" s="18" t="n">
        <v>5.33993210014695</v>
      </c>
      <c r="I348" s="18" t="n">
        <v>5.2500000001679</v>
      </c>
      <c r="J348" s="18" t="n">
        <v>5.30036388951992</v>
      </c>
    </row>
    <row r="349" customFormat="false" ht="15" hidden="false" customHeight="false" outlineLevel="0" collapsed="false">
      <c r="A349" s="28" t="n">
        <v>34404.0475350041</v>
      </c>
      <c r="B349" s="29" t="n">
        <v>7</v>
      </c>
      <c r="C349" s="18" t="n">
        <v>9.28185370749851</v>
      </c>
      <c r="D349" s="18" t="n">
        <v>8.8034842032196</v>
      </c>
      <c r="E349" s="18" t="n">
        <v>6.99999876991826</v>
      </c>
      <c r="F349" s="18" t="n">
        <v>8.46777153584931</v>
      </c>
      <c r="G349" s="18" t="n">
        <v>4.95178855461581</v>
      </c>
      <c r="H349" s="18" t="n">
        <v>5.17431288304814</v>
      </c>
      <c r="I349" s="18" t="n">
        <v>5.25000000014717</v>
      </c>
      <c r="J349" s="18" t="n">
        <v>5.22319377538833</v>
      </c>
    </row>
    <row r="350" customFormat="false" ht="15" hidden="false" customHeight="false" outlineLevel="0" collapsed="false">
      <c r="A350" s="28" t="n">
        <v>34504.0593010943</v>
      </c>
      <c r="B350" s="29" t="n">
        <v>7</v>
      </c>
      <c r="C350" s="18" t="n">
        <v>5.06778089277019</v>
      </c>
      <c r="D350" s="18" t="n">
        <v>8.68858040756853</v>
      </c>
      <c r="E350" s="18" t="n">
        <v>6.99999892177783</v>
      </c>
      <c r="F350" s="18" t="n">
        <v>8.57111883684872</v>
      </c>
      <c r="G350" s="18" t="n">
        <v>5.34222445550663</v>
      </c>
      <c r="H350" s="18" t="n">
        <v>5.15538029014069</v>
      </c>
      <c r="I350" s="18" t="n">
        <v>5.250000000129</v>
      </c>
      <c r="J350" s="18" t="n">
        <v>5.20101770273228</v>
      </c>
    </row>
    <row r="351" customFormat="false" ht="15" hidden="false" customHeight="false" outlineLevel="0" collapsed="false">
      <c r="A351" s="28" t="n">
        <v>34604.0710671844</v>
      </c>
      <c r="B351" s="29" t="n">
        <v>7</v>
      </c>
      <c r="C351" s="18" t="n">
        <v>4.56301971773712</v>
      </c>
      <c r="D351" s="18" t="n">
        <v>5.35468419720102</v>
      </c>
      <c r="E351" s="18" t="n">
        <v>6.99999905488973</v>
      </c>
      <c r="F351" s="18" t="n">
        <v>6.12543465296468</v>
      </c>
      <c r="G351" s="18" t="n">
        <v>5.52997556182173</v>
      </c>
      <c r="H351" s="18" t="n">
        <v>5.31096460923088</v>
      </c>
      <c r="I351" s="18" t="n">
        <v>5.25000000011308</v>
      </c>
      <c r="J351" s="18" t="n">
        <v>5.22665390536971</v>
      </c>
    </row>
    <row r="352" customFormat="false" ht="15" hidden="false" customHeight="false" outlineLevel="0" collapsed="false">
      <c r="A352" s="28" t="n">
        <v>34704.0828332745</v>
      </c>
      <c r="B352" s="29" t="n">
        <v>7</v>
      </c>
      <c r="C352" s="18" t="n">
        <v>5.50742315110463</v>
      </c>
      <c r="D352" s="18" t="n">
        <v>5.18056227200789</v>
      </c>
      <c r="E352" s="18" t="n">
        <v>6.99999917156833</v>
      </c>
      <c r="F352" s="18" t="n">
        <v>5.33394444204876</v>
      </c>
      <c r="G352" s="18" t="n">
        <v>5.53963705113113</v>
      </c>
      <c r="H352" s="18" t="n">
        <v>5.3464340543098</v>
      </c>
      <c r="I352" s="18" t="n">
        <v>5.25000000009912</v>
      </c>
      <c r="J352" s="18" t="n">
        <v>5.29593576426091</v>
      </c>
    </row>
    <row r="353" customFormat="false" ht="15" hidden="false" customHeight="false" outlineLevel="0" collapsed="false">
      <c r="A353" s="28" t="n">
        <v>34804.0945993646</v>
      </c>
      <c r="B353" s="29" t="n">
        <v>7</v>
      </c>
      <c r="C353" s="18" t="n">
        <v>9.40383486695884</v>
      </c>
      <c r="D353" s="18" t="n">
        <v>8.39072120328477</v>
      </c>
      <c r="E353" s="18" t="n">
        <v>6.99999927384233</v>
      </c>
      <c r="F353" s="18" t="n">
        <v>5.99753258051165</v>
      </c>
      <c r="G353" s="18" t="n">
        <v>5.01981707642364</v>
      </c>
      <c r="H353" s="18" t="n">
        <v>5.22298679371688</v>
      </c>
      <c r="I353" s="18" t="n">
        <v>5.25000000008688</v>
      </c>
      <c r="J353" s="18" t="n">
        <v>5.29779483470635</v>
      </c>
    </row>
    <row r="354" customFormat="false" ht="15" hidden="false" customHeight="false" outlineLevel="0" collapsed="false">
      <c r="A354" s="28" t="n">
        <v>34904.1063654548</v>
      </c>
      <c r="B354" s="29" t="n">
        <v>7</v>
      </c>
      <c r="C354" s="18" t="n">
        <v>9.152234147272</v>
      </c>
      <c r="D354" s="18" t="n">
        <v>8.90250348169588</v>
      </c>
      <c r="E354" s="18" t="n">
        <v>6.99999936349009</v>
      </c>
      <c r="F354" s="18" t="n">
        <v>8.5847222177787</v>
      </c>
      <c r="G354" s="18" t="n">
        <v>4.94785329785873</v>
      </c>
      <c r="H354" s="18" t="n">
        <v>5.15422648698537</v>
      </c>
      <c r="I354" s="18" t="n">
        <v>5.25000000007615</v>
      </c>
      <c r="J354" s="18" t="n">
        <v>5.2158875994227</v>
      </c>
    </row>
    <row r="355" customFormat="false" ht="15" hidden="false" customHeight="false" outlineLevel="0" collapsed="false">
      <c r="A355" s="28" t="n">
        <v>35004.1181315449</v>
      </c>
      <c r="B355" s="29" t="n">
        <v>7</v>
      </c>
      <c r="C355" s="18" t="n">
        <v>4.84254623401044</v>
      </c>
      <c r="D355" s="18" t="n">
        <v>6.30914413693804</v>
      </c>
      <c r="E355" s="18" t="n">
        <v>6.99999944207029</v>
      </c>
      <c r="F355" s="18" t="n">
        <v>8.46976482185788</v>
      </c>
      <c r="G355" s="18" t="n">
        <v>5.41078036566781</v>
      </c>
      <c r="H355" s="18" t="n">
        <v>5.18185441393502</v>
      </c>
      <c r="I355" s="18" t="n">
        <v>5.25000000006675</v>
      </c>
      <c r="J355" s="18" t="n">
        <v>5.20052797901191</v>
      </c>
    </row>
    <row r="356" customFormat="false" ht="15" hidden="false" customHeight="false" outlineLevel="0" collapsed="false">
      <c r="A356" s="28" t="n">
        <v>35104.129897635</v>
      </c>
      <c r="B356" s="29" t="n">
        <v>7</v>
      </c>
      <c r="C356" s="18" t="n">
        <v>4.62699412681425</v>
      </c>
      <c r="D356" s="18" t="n">
        <v>5.06231534410434</v>
      </c>
      <c r="E356" s="18" t="n">
        <v>6.99999951094928</v>
      </c>
      <c r="F356" s="18" t="n">
        <v>5.75989265075832</v>
      </c>
      <c r="G356" s="18" t="n">
        <v>5.54089466332646</v>
      </c>
      <c r="H356" s="18" t="n">
        <v>5.33998076876391</v>
      </c>
      <c r="I356" s="18" t="n">
        <v>5.25000000005851</v>
      </c>
      <c r="J356" s="18" t="n">
        <v>5.26634765240919</v>
      </c>
    </row>
    <row r="357" customFormat="false" ht="15" hidden="false" customHeight="false" outlineLevel="0" collapsed="false">
      <c r="A357" s="28" t="n">
        <v>35204.1416637252</v>
      </c>
      <c r="B357" s="29" t="n">
        <v>7</v>
      </c>
      <c r="C357" s="18" t="n">
        <v>8.43467490276029</v>
      </c>
      <c r="D357" s="18" t="n">
        <v>5.81835077878407</v>
      </c>
      <c r="E357" s="18" t="n">
        <v>6.99999957132506</v>
      </c>
      <c r="F357" s="18" t="n">
        <v>5.37578661185129</v>
      </c>
      <c r="G357" s="18" t="n">
        <v>5.49758706144618</v>
      </c>
      <c r="H357" s="18" t="n">
        <v>5.33434989995851</v>
      </c>
      <c r="I357" s="18" t="n">
        <v>5.25000000005129</v>
      </c>
      <c r="J357" s="18" t="n">
        <v>5.29950966674425</v>
      </c>
    </row>
    <row r="358" customFormat="false" ht="15" hidden="false" customHeight="false" outlineLevel="0" collapsed="false">
      <c r="A358" s="28" t="n">
        <v>35304.1534298153</v>
      </c>
      <c r="B358" s="29" t="n">
        <v>7</v>
      </c>
      <c r="C358" s="18" t="n">
        <v>9.4729863146698</v>
      </c>
      <c r="D358" s="18" t="n">
        <v>8.87008805981541</v>
      </c>
      <c r="E358" s="18" t="n">
        <v>6.99999962424718</v>
      </c>
      <c r="F358" s="18" t="n">
        <v>7.08266509160345</v>
      </c>
      <c r="G358" s="18" t="n">
        <v>4.99334749302629</v>
      </c>
      <c r="H358" s="18" t="n">
        <v>5.16759234213787</v>
      </c>
      <c r="I358" s="18" t="n">
        <v>5.25000000004496</v>
      </c>
      <c r="J358" s="18" t="n">
        <v>5.29091543742372</v>
      </c>
    </row>
    <row r="359" customFormat="false" ht="15" hidden="false" customHeight="false" outlineLevel="0" collapsed="false">
      <c r="A359" s="28" t="n">
        <v>35404.1651959054</v>
      </c>
      <c r="B359" s="29" t="n">
        <v>7</v>
      </c>
      <c r="C359" s="18" t="n">
        <v>8.94620617923306</v>
      </c>
      <c r="D359" s="18" t="n">
        <v>8.53282441092052</v>
      </c>
      <c r="E359" s="18" t="n">
        <v>6.99999967063579</v>
      </c>
      <c r="F359" s="18" t="n">
        <v>8.66304329761782</v>
      </c>
      <c r="G359" s="18" t="n">
        <v>4.94917260642367</v>
      </c>
      <c r="H359" s="18" t="n">
        <v>5.15862553073887</v>
      </c>
      <c r="I359" s="18" t="n">
        <v>5.25000000003941</v>
      </c>
      <c r="J359" s="18" t="n">
        <v>5.20996442038029</v>
      </c>
    </row>
    <row r="360" customFormat="false" ht="15" hidden="false" customHeight="false" outlineLevel="0" collapsed="false">
      <c r="A360" s="28" t="n">
        <v>35504.1769619955</v>
      </c>
      <c r="B360" s="29" t="n">
        <v>7</v>
      </c>
      <c r="C360" s="18" t="n">
        <v>4.69800801295538</v>
      </c>
      <c r="D360" s="18" t="n">
        <v>5.23487419919907</v>
      </c>
      <c r="E360" s="18" t="n">
        <v>6.99999971129769</v>
      </c>
      <c r="F360" s="18" t="n">
        <v>8.31336144451391</v>
      </c>
      <c r="G360" s="18" t="n">
        <v>5.44963859181951</v>
      </c>
      <c r="H360" s="18" t="n">
        <v>5.32247931910528</v>
      </c>
      <c r="I360" s="18" t="n">
        <v>5.25000000003454</v>
      </c>
      <c r="J360" s="18" t="n">
        <v>5.20118698347874</v>
      </c>
    </row>
    <row r="361" customFormat="false" ht="15" hidden="false" customHeight="false" outlineLevel="0" collapsed="false">
      <c r="A361" s="28" t="n">
        <v>35604.1887280857</v>
      </c>
      <c r="B361" s="29" t="n">
        <v>7</v>
      </c>
      <c r="C361" s="18" t="n">
        <v>4.71748792671957</v>
      </c>
      <c r="D361" s="18" t="n">
        <v>5.28513869729376</v>
      </c>
      <c r="E361" s="18" t="n">
        <v>6.99999974693962</v>
      </c>
      <c r="F361" s="18" t="n">
        <v>5.56653555544365</v>
      </c>
      <c r="G361" s="18" t="n">
        <v>5.54837076142692</v>
      </c>
      <c r="H361" s="18" t="n">
        <v>5.34495451195027</v>
      </c>
      <c r="I361" s="18" t="n">
        <v>5.25000000003028</v>
      </c>
      <c r="J361" s="18" t="n">
        <v>5.27857331612501</v>
      </c>
    </row>
    <row r="362" customFormat="false" ht="15" hidden="false" customHeight="false" outlineLevel="0" collapsed="false">
      <c r="A362" s="28" t="n">
        <v>35704.2004941758</v>
      </c>
      <c r="B362" s="29" t="n">
        <v>7</v>
      </c>
      <c r="C362" s="18" t="n">
        <v>8.93283010343327</v>
      </c>
      <c r="D362" s="18" t="n">
        <v>8.6077872674338</v>
      </c>
      <c r="E362" s="18" t="n">
        <v>6.99999977818138</v>
      </c>
      <c r="F362" s="18" t="n">
        <v>5.45272786580505</v>
      </c>
      <c r="G362" s="18" t="n">
        <v>5.15752726152101</v>
      </c>
      <c r="H362" s="18" t="n">
        <v>5.19264695446083</v>
      </c>
      <c r="I362" s="18" t="n">
        <v>5.25000000002654</v>
      </c>
      <c r="J362" s="18" t="n">
        <v>5.30081772137861</v>
      </c>
    </row>
    <row r="363" customFormat="false" ht="15" hidden="false" customHeight="false" outlineLevel="0" collapsed="false">
      <c r="A363" s="28" t="n">
        <v>35804.2122602659</v>
      </c>
      <c r="B363" s="29" t="n">
        <v>7</v>
      </c>
      <c r="C363" s="18" t="n">
        <v>9.43595732427679</v>
      </c>
      <c r="D363" s="18" t="n">
        <v>8.8319770851808</v>
      </c>
      <c r="E363" s="18" t="n">
        <v>6.99999980556603</v>
      </c>
      <c r="F363" s="18" t="n">
        <v>8.04410549431344</v>
      </c>
      <c r="G363" s="18" t="n">
        <v>4.97019075425362</v>
      </c>
      <c r="H363" s="18" t="n">
        <v>5.15361101269446</v>
      </c>
      <c r="I363" s="18" t="n">
        <v>5.25000000002326</v>
      </c>
      <c r="J363" s="18" t="n">
        <v>5.25754295357148</v>
      </c>
    </row>
    <row r="364" customFormat="false" ht="15" hidden="false" customHeight="false" outlineLevel="0" collapsed="false">
      <c r="A364" s="28" t="n">
        <v>35904.2240263561</v>
      </c>
      <c r="B364" s="29" t="n">
        <v>7</v>
      </c>
      <c r="C364" s="18" t="n">
        <v>8.49432630109566</v>
      </c>
      <c r="D364" s="18" t="n">
        <v>5.66307828194054</v>
      </c>
      <c r="E364" s="18" t="n">
        <v>6.99999982956982</v>
      </c>
      <c r="F364" s="18" t="n">
        <v>8.67115184237633</v>
      </c>
      <c r="G364" s="18" t="n">
        <v>4.96041356706232</v>
      </c>
      <c r="H364" s="18" t="n">
        <v>5.26287455680521</v>
      </c>
      <c r="I364" s="18" t="n">
        <v>5.25000000002039</v>
      </c>
      <c r="J364" s="18" t="n">
        <v>5.20494585997028</v>
      </c>
    </row>
    <row r="365" customFormat="false" ht="15" hidden="false" customHeight="false" outlineLevel="0" collapsed="false">
      <c r="A365" s="28" t="n">
        <v>36004.2357924462</v>
      </c>
      <c r="B365" s="29" t="n">
        <v>7</v>
      </c>
      <c r="C365" s="18" t="n">
        <v>4.59544079658285</v>
      </c>
      <c r="D365" s="18" t="n">
        <v>5.08981203421459</v>
      </c>
      <c r="E365" s="18" t="n">
        <v>6.99999985061044</v>
      </c>
      <c r="F365" s="18" t="n">
        <v>8.02549721947327</v>
      </c>
      <c r="G365" s="18" t="n">
        <v>5.48026370989004</v>
      </c>
      <c r="H365" s="18" t="n">
        <v>5.34509733962122</v>
      </c>
      <c r="I365" s="18" t="n">
        <v>5.25000000001787</v>
      </c>
      <c r="J365" s="18" t="n">
        <v>5.20382190512011</v>
      </c>
    </row>
    <row r="366" customFormat="false" ht="15" hidden="false" customHeight="false" outlineLevel="0" collapsed="false">
      <c r="A366" s="28" t="n">
        <v>36104.2475585363</v>
      </c>
      <c r="B366" s="29" t="n">
        <v>7</v>
      </c>
      <c r="C366" s="18" t="n">
        <v>4.84740948628351</v>
      </c>
      <c r="D366" s="18" t="n">
        <v>7.3947339999473</v>
      </c>
      <c r="E366" s="18" t="n">
        <v>6.99999986905335</v>
      </c>
      <c r="F366" s="18" t="n">
        <v>5.43920577187392</v>
      </c>
      <c r="G366" s="18" t="n">
        <v>5.55228558359803</v>
      </c>
      <c r="H366" s="18" t="n">
        <v>5.32139094089533</v>
      </c>
      <c r="I366" s="18" t="n">
        <v>5.25000000001567</v>
      </c>
      <c r="J366" s="18" t="n">
        <v>5.28640647626677</v>
      </c>
    </row>
    <row r="367" customFormat="false" ht="15" hidden="false" customHeight="false" outlineLevel="0" collapsed="false">
      <c r="A367" s="28" t="n">
        <v>36204.2593246264</v>
      </c>
      <c r="B367" s="29" t="n">
        <v>7</v>
      </c>
      <c r="C367" s="18" t="n">
        <v>9.15747816956275</v>
      </c>
      <c r="D367" s="18" t="n">
        <v>8.930748919648</v>
      </c>
      <c r="E367" s="18" t="n">
        <v>6.99999988521946</v>
      </c>
      <c r="F367" s="18" t="n">
        <v>5.57486508715185</v>
      </c>
      <c r="G367" s="18" t="n">
        <v>5.0891858991958</v>
      </c>
      <c r="H367" s="18" t="n">
        <v>5.16096088104633</v>
      </c>
      <c r="I367" s="18" t="n">
        <v>5.25000000001373</v>
      </c>
      <c r="J367" s="18" t="n">
        <v>5.3010237311187</v>
      </c>
    </row>
    <row r="368" customFormat="false" ht="15" hidden="false" customHeight="false" outlineLevel="0" collapsed="false">
      <c r="A368" s="28" t="n">
        <v>36304.2710907166</v>
      </c>
      <c r="B368" s="29" t="n">
        <v>7</v>
      </c>
      <c r="C368" s="18" t="n">
        <v>9.3721307973174</v>
      </c>
      <c r="D368" s="18" t="n">
        <v>8.25323781326656</v>
      </c>
      <c r="E368" s="18" t="n">
        <v>6.99999989938965</v>
      </c>
      <c r="F368" s="18" t="n">
        <v>8.33904868088185</v>
      </c>
      <c r="G368" s="18" t="n">
        <v>4.95927595700267</v>
      </c>
      <c r="H368" s="18" t="n">
        <v>5.16434341638426</v>
      </c>
      <c r="I368" s="18" t="n">
        <v>5.25000000001204</v>
      </c>
      <c r="J368" s="18" t="n">
        <v>5.23081836367749</v>
      </c>
    </row>
    <row r="369" customFormat="false" ht="15" hidden="false" customHeight="false" outlineLevel="0" collapsed="false">
      <c r="A369" s="28" t="n">
        <v>36404.2828568067</v>
      </c>
      <c r="B369" s="29" t="n">
        <v>7</v>
      </c>
      <c r="C369" s="18" t="n">
        <v>5.56786602779872</v>
      </c>
      <c r="D369" s="18" t="n">
        <v>5.14227916451106</v>
      </c>
      <c r="E369" s="18" t="n">
        <v>6.99999991181053</v>
      </c>
      <c r="F369" s="18" t="n">
        <v>8.61987406486377</v>
      </c>
      <c r="G369" s="18" t="n">
        <v>5.00226995149083</v>
      </c>
      <c r="H369" s="18" t="n">
        <v>5.33108921292866</v>
      </c>
      <c r="I369" s="18" t="n">
        <v>5.25000000001055</v>
      </c>
      <c r="J369" s="18" t="n">
        <v>5.2020448430124</v>
      </c>
    </row>
    <row r="370" customFormat="false" ht="15" hidden="false" customHeight="false" outlineLevel="0" collapsed="false">
      <c r="A370" s="28" t="n">
        <v>36504.2946228968</v>
      </c>
      <c r="B370" s="29" t="n">
        <v>7</v>
      </c>
      <c r="C370" s="18" t="n">
        <v>4.52597270841463</v>
      </c>
      <c r="D370" s="18" t="n">
        <v>5.42655563058656</v>
      </c>
      <c r="E370" s="18" t="n">
        <v>6.99999992269789</v>
      </c>
      <c r="F370" s="18" t="n">
        <v>6.93673051056601</v>
      </c>
      <c r="G370" s="18" t="n">
        <v>5.50677654656963</v>
      </c>
      <c r="H370" s="18" t="n">
        <v>5.342265629714</v>
      </c>
      <c r="I370" s="18" t="n">
        <v>5.25000000000925</v>
      </c>
      <c r="J370" s="18" t="n">
        <v>5.21143293845034</v>
      </c>
    </row>
    <row r="371" customFormat="false" ht="15" hidden="false" customHeight="false" outlineLevel="0" collapsed="false">
      <c r="A371" s="28" t="n">
        <v>36604.3063889869</v>
      </c>
      <c r="B371" s="29" t="n">
        <v>7</v>
      </c>
      <c r="C371" s="18" t="n">
        <v>5.05392782529478</v>
      </c>
      <c r="D371" s="18" t="n">
        <v>8.74156719505885</v>
      </c>
      <c r="E371" s="18" t="n">
        <v>6.99999993224115</v>
      </c>
      <c r="F371" s="18" t="n">
        <v>5.3549633077376</v>
      </c>
      <c r="G371" s="18" t="n">
        <v>5.55093431903035</v>
      </c>
      <c r="H371" s="18" t="n">
        <v>5.17996221147316</v>
      </c>
      <c r="I371" s="18" t="n">
        <v>5.25000000000811</v>
      </c>
      <c r="J371" s="18" t="n">
        <v>5.29272002102034</v>
      </c>
    </row>
    <row r="372" customFormat="false" ht="15" hidden="false" customHeight="false" outlineLevel="0" collapsed="false">
      <c r="A372" s="28" t="n">
        <v>36704.3181550771</v>
      </c>
      <c r="B372" s="29" t="n">
        <v>7</v>
      </c>
      <c r="C372" s="18" t="n">
        <v>9.30161027943659</v>
      </c>
      <c r="D372" s="18" t="n">
        <v>8.75505535103403</v>
      </c>
      <c r="E372" s="18" t="n">
        <v>6.99999994060613</v>
      </c>
      <c r="F372" s="18" t="n">
        <v>5.78967185641366</v>
      </c>
      <c r="G372" s="18" t="n">
        <v>5.0503938838043</v>
      </c>
      <c r="H372" s="18" t="n">
        <v>5.15429384975166</v>
      </c>
      <c r="I372" s="18" t="n">
        <v>5.25000000000711</v>
      </c>
      <c r="J372" s="18" t="n">
        <v>5.29963866590287</v>
      </c>
    </row>
    <row r="373" customFormat="false" ht="15" hidden="false" customHeight="false" outlineLevel="0" collapsed="false">
      <c r="A373" s="28" t="n">
        <v>36804.3299211672</v>
      </c>
      <c r="B373" s="29" t="n">
        <v>7</v>
      </c>
      <c r="C373" s="18" t="n">
        <v>9.28185370749851</v>
      </c>
      <c r="D373" s="18" t="n">
        <v>5.45161043987794</v>
      </c>
      <c r="E373" s="18" t="n">
        <v>6.99999994793861</v>
      </c>
      <c r="F373" s="18" t="n">
        <v>8.51469324661085</v>
      </c>
      <c r="G373" s="18" t="n">
        <v>4.9517885546158</v>
      </c>
      <c r="H373" s="18" t="n">
        <v>5.30032688085527</v>
      </c>
      <c r="I373" s="18" t="n">
        <v>5.25000000000623</v>
      </c>
      <c r="J373" s="18" t="n">
        <v>5.22019863651692</v>
      </c>
    </row>
    <row r="374" customFormat="false" ht="15" hidden="false" customHeight="false" outlineLevel="0" collapsed="false">
      <c r="A374" s="28" t="n">
        <v>36904.3416872573</v>
      </c>
      <c r="B374" s="29" t="n">
        <v>7</v>
      </c>
      <c r="C374" s="18" t="n">
        <v>5.06778089276976</v>
      </c>
      <c r="D374" s="18" t="n">
        <v>5.1187458812162</v>
      </c>
      <c r="E374" s="18" t="n">
        <v>6.99999995436599</v>
      </c>
      <c r="F374" s="18" t="n">
        <v>8.53256389998282</v>
      </c>
      <c r="G374" s="18" t="n">
        <v>5.34222445550677</v>
      </c>
      <c r="H374" s="18" t="n">
        <v>5.34695903181058</v>
      </c>
      <c r="I374" s="18" t="n">
        <v>5.25000000000546</v>
      </c>
      <c r="J374" s="18" t="n">
        <v>5.20076035120268</v>
      </c>
    </row>
    <row r="375" customFormat="false" ht="15" hidden="false" customHeight="false" outlineLevel="0" collapsed="false">
      <c r="A375" s="28" t="n">
        <v>37004.3534533475</v>
      </c>
      <c r="B375" s="29" t="n">
        <v>7</v>
      </c>
      <c r="C375" s="18" t="n">
        <v>4.56301971773704</v>
      </c>
      <c r="D375" s="18" t="n">
        <v>8.09359457236121</v>
      </c>
      <c r="E375" s="18" t="n">
        <v>6.99999995999981</v>
      </c>
      <c r="F375" s="18" t="n">
        <v>5.93598826612155</v>
      </c>
      <c r="G375" s="18" t="n">
        <v>5.52997556182175</v>
      </c>
      <c r="H375" s="18" t="n">
        <v>5.30324793264907</v>
      </c>
      <c r="I375" s="18" t="n">
        <v>5.25000000000479</v>
      </c>
      <c r="J375" s="18" t="n">
        <v>5.25011883685606</v>
      </c>
    </row>
    <row r="376" customFormat="false" ht="15" hidden="false" customHeight="false" outlineLevel="0" collapsed="false">
      <c r="A376" s="28" t="n">
        <v>37104.3652194376</v>
      </c>
      <c r="B376" s="29" t="n">
        <v>7</v>
      </c>
      <c r="C376" s="18" t="n">
        <v>5.50742315110431</v>
      </c>
      <c r="D376" s="18" t="n">
        <v>8.94966169132468</v>
      </c>
      <c r="E376" s="18" t="n">
        <v>6.99999996493794</v>
      </c>
      <c r="F376" s="18" t="n">
        <v>5.35620225662745</v>
      </c>
      <c r="G376" s="18" t="n">
        <v>5.53963705113114</v>
      </c>
      <c r="H376" s="18" t="n">
        <v>5.15796888142876</v>
      </c>
      <c r="I376" s="18" t="n">
        <v>5.2500000000042</v>
      </c>
      <c r="J376" s="18" t="n">
        <v>5.29791106718518</v>
      </c>
    </row>
    <row r="377" customFormat="false" ht="15" hidden="false" customHeight="false" outlineLevel="0" collapsed="false">
      <c r="A377" s="28" t="n">
        <v>37204.3769855277</v>
      </c>
      <c r="B377" s="29" t="n">
        <v>7</v>
      </c>
      <c r="C377" s="18" t="n">
        <v>9.40383486695884</v>
      </c>
      <c r="D377" s="18" t="n">
        <v>8.04297433318873</v>
      </c>
      <c r="E377" s="18" t="n">
        <v>6.99999996926647</v>
      </c>
      <c r="F377" s="18" t="n">
        <v>6.31891278501468</v>
      </c>
      <c r="G377" s="18" t="n">
        <v>5.01981707642365</v>
      </c>
      <c r="H377" s="18" t="n">
        <v>5.16782366960413</v>
      </c>
      <c r="I377" s="18" t="n">
        <v>5.25000000000368</v>
      </c>
      <c r="J377" s="18" t="n">
        <v>5.29499677693647</v>
      </c>
    </row>
    <row r="378" customFormat="false" ht="15" hidden="false" customHeight="false" outlineLevel="0" collapsed="false">
      <c r="A378" s="28" t="n">
        <v>37304.3887516178</v>
      </c>
      <c r="B378" s="29" t="n">
        <v>7</v>
      </c>
      <c r="C378" s="18" t="n">
        <v>9.152234147272</v>
      </c>
      <c r="D378" s="18" t="n">
        <v>5.11062265904809</v>
      </c>
      <c r="E378" s="18" t="n">
        <v>6.99999997306039</v>
      </c>
      <c r="F378" s="18" t="n">
        <v>8.62915892448462</v>
      </c>
      <c r="G378" s="18" t="n">
        <v>4.94785329785874</v>
      </c>
      <c r="H378" s="18" t="n">
        <v>5.33407803061852</v>
      </c>
      <c r="I378" s="18" t="n">
        <v>5.25000000000322</v>
      </c>
      <c r="J378" s="18" t="n">
        <v>5.21270163888511</v>
      </c>
    </row>
    <row r="379" customFormat="false" ht="15" hidden="false" customHeight="false" outlineLevel="0" collapsed="false">
      <c r="A379" s="28" t="n">
        <v>37404.400517708</v>
      </c>
      <c r="B379" s="29" t="n">
        <v>7</v>
      </c>
      <c r="C379" s="18" t="n">
        <v>4.84254623401047</v>
      </c>
      <c r="D379" s="18" t="n">
        <v>5.49885017884986</v>
      </c>
      <c r="E379" s="18" t="n">
        <v>6.99999997638585</v>
      </c>
      <c r="F379" s="18" t="n">
        <v>8.39893157229672</v>
      </c>
      <c r="G379" s="18" t="n">
        <v>5.41078036566781</v>
      </c>
      <c r="H379" s="18" t="n">
        <v>5.34079972171972</v>
      </c>
      <c r="I379" s="18" t="n">
        <v>5.25000000000283</v>
      </c>
      <c r="J379" s="18" t="n">
        <v>5.20065634506387</v>
      </c>
    </row>
    <row r="380" customFormat="false" ht="15" hidden="false" customHeight="false" outlineLevel="0" collapsed="false">
      <c r="A380" s="28" t="n">
        <v>37504.4122837981</v>
      </c>
      <c r="B380" s="29" t="n">
        <v>7</v>
      </c>
      <c r="C380" s="18" t="n">
        <v>4.6269941268143</v>
      </c>
      <c r="D380" s="18" t="n">
        <v>8.78266966810608</v>
      </c>
      <c r="E380" s="18" t="n">
        <v>6.99999997930099</v>
      </c>
      <c r="F380" s="18" t="n">
        <v>5.64842277684236</v>
      </c>
      <c r="G380" s="18" t="n">
        <v>5.54089466332646</v>
      </c>
      <c r="H380" s="18" t="n">
        <v>5.17600787498809</v>
      </c>
      <c r="I380" s="18" t="n">
        <v>5.25000000000248</v>
      </c>
      <c r="J380" s="18" t="n">
        <v>5.27382224556942</v>
      </c>
    </row>
    <row r="381" customFormat="false" ht="15" hidden="false" customHeight="false" outlineLevel="0" collapsed="false">
      <c r="A381" s="28" t="n">
        <v>37604.4240498882</v>
      </c>
      <c r="B381" s="29" t="n">
        <v>7</v>
      </c>
      <c r="C381" s="18" t="n">
        <v>8.43467490276071</v>
      </c>
      <c r="D381" s="18" t="n">
        <v>8.70064464187982</v>
      </c>
      <c r="E381" s="18" t="n">
        <v>6.99999998185626</v>
      </c>
      <c r="F381" s="18" t="n">
        <v>5.4203389373856</v>
      </c>
      <c r="G381" s="18" t="n">
        <v>5.49758706144614</v>
      </c>
      <c r="H381" s="18" t="n">
        <v>5.15525709120263</v>
      </c>
      <c r="I381" s="18" t="n">
        <v>5.25000000000217</v>
      </c>
      <c r="J381" s="18" t="n">
        <v>5.3002805563724</v>
      </c>
    </row>
    <row r="382" customFormat="false" ht="15" hidden="false" customHeight="false" outlineLevel="0" collapsed="false">
      <c r="A382" s="28" t="n">
        <v>37704.4358159784</v>
      </c>
      <c r="B382" s="29" t="n">
        <v>7</v>
      </c>
      <c r="C382" s="18" t="n">
        <v>9.4729863146698</v>
      </c>
      <c r="D382" s="18" t="n">
        <v>5.37207331465419</v>
      </c>
      <c r="E382" s="18" t="n">
        <v>6.99999998409624</v>
      </c>
      <c r="F382" s="18" t="n">
        <v>7.83548117156458</v>
      </c>
      <c r="G382" s="18" t="n">
        <v>4.99334749302629</v>
      </c>
      <c r="H382" s="18" t="n">
        <v>5.30935337862256</v>
      </c>
      <c r="I382" s="18" t="n">
        <v>5.2500000000019</v>
      </c>
      <c r="J382" s="18" t="n">
        <v>5.27919417113887</v>
      </c>
    </row>
    <row r="383" customFormat="false" ht="15" hidden="false" customHeight="false" outlineLevel="0" collapsed="false">
      <c r="A383" s="28" t="n">
        <v>37804.4475820685</v>
      </c>
      <c r="B383" s="29" t="n">
        <v>7</v>
      </c>
      <c r="C383" s="18" t="n">
        <v>8.94620617923306</v>
      </c>
      <c r="D383" s="18" t="n">
        <v>5.17610215176805</v>
      </c>
      <c r="E383" s="18" t="n">
        <v>6.9999999860596</v>
      </c>
      <c r="F383" s="18" t="n">
        <v>8.68484027591241</v>
      </c>
      <c r="G383" s="18" t="n">
        <v>4.94917260642367</v>
      </c>
      <c r="H383" s="18" t="n">
        <v>5.34639162664656</v>
      </c>
      <c r="I383" s="18" t="n">
        <v>5.25000000000167</v>
      </c>
      <c r="J383" s="18" t="n">
        <v>5.20697652955994</v>
      </c>
    </row>
    <row r="384" customFormat="false" ht="15" hidden="false" customHeight="false" outlineLevel="0" collapsed="false">
      <c r="A384" s="28" t="n">
        <v>37904.4593481586</v>
      </c>
      <c r="B384" s="29" t="n">
        <v>7</v>
      </c>
      <c r="C384" s="18" t="n">
        <v>4.69800801295539</v>
      </c>
      <c r="D384" s="18" t="n">
        <v>8.37089660135561</v>
      </c>
      <c r="E384" s="18" t="n">
        <v>6.99999998778056</v>
      </c>
      <c r="F384" s="18" t="n">
        <v>8.18445989219545</v>
      </c>
      <c r="G384" s="18" t="n">
        <v>5.44963859181951</v>
      </c>
      <c r="H384" s="18" t="n">
        <v>5.22743283158557</v>
      </c>
      <c r="I384" s="18" t="n">
        <v>5.25000000000146</v>
      </c>
      <c r="J384" s="18" t="n">
        <v>5.20218737656944</v>
      </c>
    </row>
    <row r="385" customFormat="false" ht="15" hidden="false" customHeight="false" outlineLevel="0" collapsed="false">
      <c r="A385" s="28" t="n">
        <v>38004.4711142487</v>
      </c>
      <c r="B385" s="29" t="n">
        <v>7</v>
      </c>
      <c r="C385" s="18" t="n">
        <v>4.71748792671957</v>
      </c>
      <c r="D385" s="18" t="n">
        <v>8.90434103601773</v>
      </c>
      <c r="E385" s="18" t="n">
        <v>6.99999998928903</v>
      </c>
      <c r="F385" s="18" t="n">
        <v>5.48999864851195</v>
      </c>
      <c r="G385" s="18" t="n">
        <v>5.54837076142692</v>
      </c>
      <c r="H385" s="18" t="n">
        <v>5.1544656213617</v>
      </c>
      <c r="I385" s="18" t="n">
        <v>5.25000000000128</v>
      </c>
      <c r="J385" s="18" t="n">
        <v>5.28324539286153</v>
      </c>
    </row>
    <row r="386" customFormat="false" ht="15" hidden="false" customHeight="false" outlineLevel="0" collapsed="false">
      <c r="A386" s="28" t="n">
        <v>38104.4828803389</v>
      </c>
      <c r="B386" s="29" t="n">
        <v>7</v>
      </c>
      <c r="C386" s="18" t="n">
        <v>8.93283010343327</v>
      </c>
      <c r="D386" s="18" t="n">
        <v>6.38356442686397</v>
      </c>
      <c r="E386" s="18" t="n">
        <v>6.99999999061116</v>
      </c>
      <c r="F386" s="18" t="n">
        <v>5.51907206186614</v>
      </c>
      <c r="G386" s="18" t="n">
        <v>5.15752726152102</v>
      </c>
      <c r="H386" s="18" t="n">
        <v>5.18080409335217</v>
      </c>
      <c r="I386" s="18" t="n">
        <v>5.25000000000112</v>
      </c>
      <c r="J386" s="18" t="n">
        <v>5.30100638172733</v>
      </c>
    </row>
    <row r="387" customFormat="false" ht="15" hidden="false" customHeight="false" outlineLevel="0" collapsed="false">
      <c r="A387" s="28" t="n">
        <v>38204.494646429</v>
      </c>
      <c r="B387" s="29" t="n">
        <v>7</v>
      </c>
      <c r="C387" s="18" t="n">
        <v>9.43595732427679</v>
      </c>
      <c r="D387" s="18" t="n">
        <v>5.06434433774864</v>
      </c>
      <c r="E387" s="18" t="n">
        <v>6.99999999177013</v>
      </c>
      <c r="F387" s="18" t="n">
        <v>8.24068259244977</v>
      </c>
      <c r="G387" s="18" t="n">
        <v>4.97019075425362</v>
      </c>
      <c r="H387" s="18" t="n">
        <v>5.33971666616839</v>
      </c>
      <c r="I387" s="18" t="n">
        <v>5.25000000000098</v>
      </c>
      <c r="J387" s="18" t="n">
        <v>5.23755127507742</v>
      </c>
    </row>
    <row r="388" customFormat="false" ht="15" hidden="false" customHeight="false" outlineLevel="0" collapsed="false">
      <c r="A388" s="28" t="n">
        <v>38304.5064125191</v>
      </c>
      <c r="B388" s="29" t="n">
        <v>7</v>
      </c>
      <c r="C388" s="18" t="n">
        <v>8.4943263010956</v>
      </c>
      <c r="D388" s="18" t="n">
        <v>5.79989144512474</v>
      </c>
      <c r="E388" s="18" t="n">
        <v>6.99999999278597</v>
      </c>
      <c r="F388" s="18" t="n">
        <v>8.65305613661096</v>
      </c>
      <c r="G388" s="18" t="n">
        <v>4.96041356706232</v>
      </c>
      <c r="H388" s="18" t="n">
        <v>5.33467415368577</v>
      </c>
      <c r="I388" s="18" t="n">
        <v>5.25000000000086</v>
      </c>
      <c r="J388" s="18" t="n">
        <v>5.20286667155978</v>
      </c>
    </row>
    <row r="389" customFormat="false" ht="15" hidden="false" customHeight="false" outlineLevel="0" collapsed="false">
      <c r="A389" s="28" t="n">
        <v>38404.5181786093</v>
      </c>
      <c r="B389" s="29" t="n">
        <v>7</v>
      </c>
      <c r="C389" s="18" t="n">
        <v>4.59544079658287</v>
      </c>
      <c r="D389" s="18" t="n">
        <v>8.86701917966082</v>
      </c>
      <c r="E389" s="18" t="n">
        <v>6.99999999367646</v>
      </c>
      <c r="F389" s="18" t="n">
        <v>7.72081770782731</v>
      </c>
      <c r="G389" s="18" t="n">
        <v>5.48026370989004</v>
      </c>
      <c r="H389" s="18" t="n">
        <v>5.1678878559655</v>
      </c>
      <c r="I389" s="18" t="n">
        <v>5.25000000000076</v>
      </c>
      <c r="J389" s="18" t="n">
        <v>5.20653757484643</v>
      </c>
    </row>
    <row r="390" customFormat="false" ht="15" hidden="false" customHeight="false" outlineLevel="0" collapsed="false">
      <c r="A390" s="28" t="n">
        <v>38504.5299446994</v>
      </c>
      <c r="B390" s="29" t="n">
        <v>7</v>
      </c>
      <c r="C390" s="18" t="n">
        <v>4.84740948628356</v>
      </c>
      <c r="D390" s="18" t="n">
        <v>8.54038678743436</v>
      </c>
      <c r="E390" s="18" t="n">
        <v>6.99999999445724</v>
      </c>
      <c r="F390" s="18" t="n">
        <v>5.38942128641072</v>
      </c>
      <c r="G390" s="18" t="n">
        <v>5.55228558359803</v>
      </c>
      <c r="H390" s="18" t="n">
        <v>5.15846969418722</v>
      </c>
      <c r="I390" s="18" t="n">
        <v>5.25000000000066</v>
      </c>
      <c r="J390" s="18" t="n">
        <v>5.2897793952975</v>
      </c>
    </row>
    <row r="391" customFormat="false" ht="15" hidden="false" customHeight="false" outlineLevel="0" collapsed="false">
      <c r="A391" s="28" t="n">
        <v>38604.5417107895</v>
      </c>
      <c r="B391" s="29" t="n">
        <v>7</v>
      </c>
      <c r="C391" s="18" t="n">
        <v>9.15747816956275</v>
      </c>
      <c r="D391" s="18" t="n">
        <v>5.23912609321979</v>
      </c>
      <c r="E391" s="18" t="n">
        <v>6.99999999514162</v>
      </c>
      <c r="F391" s="18" t="n">
        <v>5.66758495908559</v>
      </c>
      <c r="G391" s="18" t="n">
        <v>5.0891858991958</v>
      </c>
      <c r="H391" s="18" t="n">
        <v>5.32208161210943</v>
      </c>
      <c r="I391" s="18" t="n">
        <v>5.25000000000058</v>
      </c>
      <c r="J391" s="18" t="n">
        <v>5.30055871329633</v>
      </c>
    </row>
    <row r="392" customFormat="false" ht="15" hidden="false" customHeight="false" outlineLevel="0" collapsed="false">
      <c r="A392" s="28" t="n">
        <v>38704.5534768796</v>
      </c>
      <c r="B392" s="29" t="n">
        <v>7</v>
      </c>
      <c r="C392" s="18" t="n">
        <v>9.3721307973174</v>
      </c>
      <c r="D392" s="18" t="n">
        <v>5.28011033857419</v>
      </c>
      <c r="E392" s="18" t="n">
        <v>6.9999999957415</v>
      </c>
      <c r="F392" s="18" t="n">
        <v>8.43831816873526</v>
      </c>
      <c r="G392" s="18" t="n">
        <v>4.95927595700267</v>
      </c>
      <c r="H392" s="18" t="n">
        <v>5.34504013620654</v>
      </c>
      <c r="I392" s="18" t="n">
        <v>5.25000000000051</v>
      </c>
      <c r="J392" s="18" t="n">
        <v>5.22500106733134</v>
      </c>
    </row>
    <row r="393" customFormat="false" ht="15" hidden="false" customHeight="false" outlineLevel="0" collapsed="false">
      <c r="A393" s="28" t="n">
        <v>38804.5652429698</v>
      </c>
      <c r="B393" s="29" t="n">
        <v>7</v>
      </c>
      <c r="C393" s="18" t="n">
        <v>5.56786602779875</v>
      </c>
      <c r="D393" s="18" t="n">
        <v>8.60074478046336</v>
      </c>
      <c r="E393" s="18" t="n">
        <v>6.99999999626735</v>
      </c>
      <c r="F393" s="18" t="n">
        <v>8.59071992148777</v>
      </c>
      <c r="G393" s="18" t="n">
        <v>5.00226995149082</v>
      </c>
      <c r="H393" s="18" t="n">
        <v>5.19339748185705</v>
      </c>
      <c r="I393" s="18" t="n">
        <v>5.25000000000045</v>
      </c>
      <c r="J393" s="18" t="n">
        <v>5.20118486708081</v>
      </c>
    </row>
    <row r="394" customFormat="false" ht="15" hidden="false" customHeight="false" outlineLevel="0" collapsed="false">
      <c r="A394" s="28" t="n">
        <v>38904.5770090599</v>
      </c>
      <c r="B394" s="29" t="n">
        <v>7</v>
      </c>
      <c r="C394" s="18" t="n">
        <v>4.52597270841463</v>
      </c>
      <c r="D394" s="18" t="n">
        <v>8.83622994295593</v>
      </c>
      <c r="E394" s="18" t="n">
        <v>6.99999999672821</v>
      </c>
      <c r="F394" s="18" t="n">
        <v>6.28117568485698</v>
      </c>
      <c r="G394" s="18" t="n">
        <v>5.50677654656963</v>
      </c>
      <c r="H394" s="18" t="n">
        <v>5.15357646820448</v>
      </c>
      <c r="I394" s="18" t="n">
        <v>5.25000000000039</v>
      </c>
      <c r="J394" s="18" t="n">
        <v>5.21926635347216</v>
      </c>
    </row>
    <row r="395" customFormat="false" ht="15" hidden="false" customHeight="false" outlineLevel="0" collapsed="false">
      <c r="A395" s="28" t="n">
        <v>39004.58877515</v>
      </c>
      <c r="B395" s="29" t="n">
        <v>7</v>
      </c>
      <c r="C395" s="18" t="n">
        <v>5.05392782529477</v>
      </c>
      <c r="D395" s="18" t="n">
        <v>5.6798630928176</v>
      </c>
      <c r="E395" s="18" t="n">
        <v>6.99999999713226</v>
      </c>
      <c r="F395" s="18" t="n">
        <v>5.33441546419527</v>
      </c>
      <c r="G395" s="18" t="n">
        <v>5.55093431903035</v>
      </c>
      <c r="H395" s="18" t="n">
        <v>5.25671026626898</v>
      </c>
      <c r="I395" s="18" t="n">
        <v>5.25000000000034</v>
      </c>
      <c r="J395" s="18" t="n">
        <v>5.29496851948684</v>
      </c>
    </row>
    <row r="396" customFormat="false" ht="15" hidden="false" customHeight="false" outlineLevel="0" collapsed="false">
      <c r="A396" s="28" t="n">
        <v>39104.6005412401</v>
      </c>
      <c r="B396" s="29" t="n">
        <v>7</v>
      </c>
      <c r="C396" s="18" t="n">
        <v>9.30161027943659</v>
      </c>
      <c r="D396" s="18" t="n">
        <v>5.08555955393934</v>
      </c>
      <c r="E396" s="18" t="n">
        <v>6.99999999748635</v>
      </c>
      <c r="F396" s="18" t="n">
        <v>5.92167464958667</v>
      </c>
      <c r="G396" s="18" t="n">
        <v>5.0503938838043</v>
      </c>
      <c r="H396" s="18" t="n">
        <v>5.34483837118938</v>
      </c>
      <c r="I396" s="18" t="n">
        <v>5.2500000000003</v>
      </c>
      <c r="J396" s="18" t="n">
        <v>5.2984571158368</v>
      </c>
    </row>
    <row r="397" customFormat="false" ht="15" hidden="false" customHeight="false" outlineLevel="0" collapsed="false">
      <c r="A397" s="28" t="n">
        <v>39204.6123073303</v>
      </c>
      <c r="B397" s="29" t="n">
        <v>7</v>
      </c>
      <c r="C397" s="18" t="n">
        <v>9.28185370749851</v>
      </c>
      <c r="D397" s="18" t="n">
        <v>7.18628631319038</v>
      </c>
      <c r="E397" s="18" t="n">
        <v>6.99999999779651</v>
      </c>
      <c r="F397" s="18" t="n">
        <v>8.5647692138746</v>
      </c>
      <c r="G397" s="18" t="n">
        <v>4.95178855461582</v>
      </c>
      <c r="H397" s="18" t="n">
        <v>5.32271205133568</v>
      </c>
      <c r="I397" s="18" t="n">
        <v>5.25000000000026</v>
      </c>
      <c r="J397" s="18" t="n">
        <v>5.2172717955903</v>
      </c>
    </row>
    <row r="398" customFormat="false" ht="15" hidden="false" customHeight="false" outlineLevel="0" collapsed="false">
      <c r="A398" s="28" t="n">
        <v>39304.6240734204</v>
      </c>
      <c r="B398" s="29" t="n">
        <v>7</v>
      </c>
      <c r="C398" s="18" t="n">
        <v>5.06778089277028</v>
      </c>
      <c r="D398" s="18" t="n">
        <v>8.92762467154194</v>
      </c>
      <c r="E398" s="18" t="n">
        <v>6.99999999806845</v>
      </c>
      <c r="F398" s="18" t="n">
        <v>8.49894636055181</v>
      </c>
      <c r="G398" s="18" t="n">
        <v>5.3422244555066</v>
      </c>
      <c r="H398" s="18" t="n">
        <v>5.16147728881671</v>
      </c>
      <c r="I398" s="18" t="n">
        <v>5.25000000000023</v>
      </c>
      <c r="J398" s="18" t="n">
        <v>5.2004739170174</v>
      </c>
    </row>
    <row r="399" customFormat="false" ht="15" hidden="false" customHeight="false" outlineLevel="0" collapsed="false">
      <c r="A399" s="28" t="n">
        <v>39404.6358395105</v>
      </c>
      <c r="B399" s="29" t="n">
        <v>7</v>
      </c>
      <c r="C399" s="18" t="n">
        <v>4.56301971773714</v>
      </c>
      <c r="D399" s="18" t="n">
        <v>8.29890041221404</v>
      </c>
      <c r="E399" s="18" t="n">
        <v>6.99999999830674</v>
      </c>
      <c r="F399" s="18" t="n">
        <v>5.82241606827614</v>
      </c>
      <c r="G399" s="18" t="n">
        <v>5.52997556182173</v>
      </c>
      <c r="H399" s="18" t="n">
        <v>5.16342883003737</v>
      </c>
      <c r="I399" s="18" t="n">
        <v>5.2500000000002</v>
      </c>
      <c r="J399" s="18" t="n">
        <v>5.26156284352419</v>
      </c>
    </row>
    <row r="400" customFormat="false" ht="15" hidden="false" customHeight="false" outlineLevel="0" collapsed="false">
      <c r="A400" s="28" t="n">
        <v>39504.6476056007</v>
      </c>
      <c r="B400" s="29" t="n">
        <v>7</v>
      </c>
      <c r="C400" s="18" t="n">
        <v>5.50742315110474</v>
      </c>
      <c r="D400" s="18" t="n">
        <v>5.15151852459779</v>
      </c>
      <c r="E400" s="18" t="n">
        <v>6.9999999985158</v>
      </c>
      <c r="F400" s="18" t="n">
        <v>5.36531212036906</v>
      </c>
      <c r="G400" s="18" t="n">
        <v>5.53963705113112</v>
      </c>
      <c r="H400" s="18" t="n">
        <v>5.32991695491625</v>
      </c>
      <c r="I400" s="18" t="n">
        <v>5.25000000000018</v>
      </c>
      <c r="J400" s="18" t="n">
        <v>5.29897445458785</v>
      </c>
    </row>
    <row r="401" customFormat="false" ht="15" hidden="false" customHeight="false" outlineLevel="0" collapsed="false">
      <c r="A401" s="28" t="n">
        <v>39604.6593716908</v>
      </c>
      <c r="B401" s="29" t="n">
        <v>7</v>
      </c>
      <c r="C401" s="18" t="n">
        <v>9.40383486695697</v>
      </c>
      <c r="D401" s="18" t="n">
        <v>5.38288955811972</v>
      </c>
      <c r="E401" s="18" t="n">
        <v>6.99999999869904</v>
      </c>
      <c r="F401" s="18" t="n">
        <v>6.65159865176538</v>
      </c>
      <c r="G401" s="18" t="n">
        <v>5.01981707642364</v>
      </c>
      <c r="H401" s="18" t="n">
        <v>5.34325945865706</v>
      </c>
      <c r="I401" s="18" t="n">
        <v>5.25000000000016</v>
      </c>
      <c r="J401" s="18" t="n">
        <v>5.29297447351331</v>
      </c>
    </row>
    <row r="402" customFormat="false" ht="15" hidden="false" customHeight="false" outlineLevel="0" collapsed="false">
      <c r="A402" s="28" t="n">
        <v>39704.6711377809</v>
      </c>
      <c r="B402" s="29" t="n">
        <v>7</v>
      </c>
      <c r="C402" s="18" t="n">
        <v>9.152234147272</v>
      </c>
      <c r="D402" s="18" t="n">
        <v>8.71280304709752</v>
      </c>
      <c r="E402" s="18" t="n">
        <v>6.99999999885978</v>
      </c>
      <c r="F402" s="18" t="n">
        <v>8.64958025508545</v>
      </c>
      <c r="G402" s="18" t="n">
        <v>4.94785329785875</v>
      </c>
      <c r="H402" s="18" t="n">
        <v>5.18295924469964</v>
      </c>
      <c r="I402" s="18" t="n">
        <v>5.25000000000014</v>
      </c>
      <c r="J402" s="18" t="n">
        <v>5.21124642913293</v>
      </c>
    </row>
    <row r="403" customFormat="false" ht="15" hidden="false" customHeight="false" outlineLevel="0" collapsed="false">
      <c r="A403" s="28" t="n">
        <v>39804.682903871</v>
      </c>
      <c r="B403" s="29" t="n">
        <v>7</v>
      </c>
      <c r="C403" s="18" t="n">
        <v>4.84254623401074</v>
      </c>
      <c r="D403" s="18" t="n">
        <v>8.79607447600106</v>
      </c>
      <c r="E403" s="18" t="n">
        <v>6.99999999900053</v>
      </c>
      <c r="F403" s="18" t="n">
        <v>8.36367681587344</v>
      </c>
      <c r="G403" s="18" t="n">
        <v>5.41078036566776</v>
      </c>
      <c r="H403" s="18" t="n">
        <v>5.15357167185436</v>
      </c>
      <c r="I403" s="18" t="n">
        <v>5.25000000000012</v>
      </c>
      <c r="J403" s="18" t="n">
        <v>5.20077981150014</v>
      </c>
    </row>
    <row r="404" customFormat="false" ht="15" hidden="false" customHeight="false" outlineLevel="0" collapsed="false">
      <c r="A404" s="28" t="n">
        <v>39904.6946699612</v>
      </c>
      <c r="B404" s="29" t="n">
        <v>7</v>
      </c>
      <c r="C404" s="18" t="n">
        <v>4.62699412681434</v>
      </c>
      <c r="D404" s="18" t="n">
        <v>5.53070803584871</v>
      </c>
      <c r="E404" s="18" t="n">
        <v>6.9999999991238</v>
      </c>
      <c r="F404" s="18" t="n">
        <v>5.60831566035</v>
      </c>
      <c r="G404" s="18" t="n">
        <v>5.54089466332645</v>
      </c>
      <c r="H404" s="18" t="n">
        <v>5.29024990227589</v>
      </c>
      <c r="I404" s="18" t="n">
        <v>5.25000000000011</v>
      </c>
      <c r="J404" s="18" t="n">
        <v>5.27607947043273</v>
      </c>
    </row>
    <row r="405" customFormat="false" ht="15" hidden="false" customHeight="false" outlineLevel="0" collapsed="false">
      <c r="A405" s="28" t="n">
        <v>40004.7064360513</v>
      </c>
      <c r="B405" s="29" t="n">
        <v>7</v>
      </c>
      <c r="C405" s="18" t="n">
        <v>8.43467490276071</v>
      </c>
      <c r="D405" s="18" t="n">
        <v>5.10173105194568</v>
      </c>
      <c r="E405" s="18" t="n">
        <v>6.99999999923195</v>
      </c>
      <c r="F405" s="18" t="n">
        <v>5.43139688854617</v>
      </c>
      <c r="G405" s="18" t="n">
        <v>5.49758706144614</v>
      </c>
      <c r="H405" s="18" t="n">
        <v>5.34658582746626</v>
      </c>
      <c r="I405" s="18" t="n">
        <v>5.25000000000009</v>
      </c>
      <c r="J405" s="18" t="n">
        <v>5.30055497229627</v>
      </c>
    </row>
    <row r="406" customFormat="false" ht="15" hidden="false" customHeight="false" outlineLevel="0" collapsed="false">
      <c r="A406" s="28" t="n">
        <v>40104.7182021414</v>
      </c>
      <c r="B406" s="29" t="n">
        <v>7</v>
      </c>
      <c r="C406" s="18" t="n">
        <v>9.47298631466762</v>
      </c>
      <c r="D406" s="18" t="n">
        <v>7.87884034736868</v>
      </c>
      <c r="E406" s="18" t="n">
        <v>6.99999999932683</v>
      </c>
      <c r="F406" s="18" t="n">
        <v>7.93030778820101</v>
      </c>
      <c r="G406" s="18" t="n">
        <v>4.99334749302628</v>
      </c>
      <c r="H406" s="18" t="n">
        <v>5.31413273489634</v>
      </c>
      <c r="I406" s="18" t="n">
        <v>5.25000000000008</v>
      </c>
      <c r="J406" s="18" t="n">
        <v>5.27264526907567</v>
      </c>
    </row>
    <row r="407" customFormat="false" ht="15" hidden="false" customHeight="false" outlineLevel="0" collapsed="false">
      <c r="A407" s="28" t="n">
        <v>40204.7299682316</v>
      </c>
      <c r="B407" s="29" t="n">
        <v>7</v>
      </c>
      <c r="C407" s="18" t="n">
        <v>8.94620617923306</v>
      </c>
      <c r="D407" s="18" t="n">
        <v>8.94374889691728</v>
      </c>
      <c r="E407" s="18" t="n">
        <v>6.99999999940977</v>
      </c>
      <c r="F407" s="18" t="n">
        <v>8.68391408131141</v>
      </c>
      <c r="G407" s="18" t="n">
        <v>4.94917260642367</v>
      </c>
      <c r="H407" s="18" t="n">
        <v>5.15923012346579</v>
      </c>
      <c r="I407" s="18" t="n">
        <v>5.25000000000007</v>
      </c>
      <c r="J407" s="18" t="n">
        <v>5.20624095713177</v>
      </c>
    </row>
    <row r="408" customFormat="false" ht="15" hidden="false" customHeight="false" outlineLevel="0" collapsed="false">
      <c r="A408" s="28" t="n">
        <v>40304.7417343217</v>
      </c>
      <c r="B408" s="29" t="n">
        <v>7</v>
      </c>
      <c r="C408" s="18" t="n">
        <v>4.69800801295546</v>
      </c>
      <c r="D408" s="18" t="n">
        <v>8.1331525334367</v>
      </c>
      <c r="E408" s="18" t="n">
        <v>6.99999999948241</v>
      </c>
      <c r="F408" s="18" t="n">
        <v>8.14222331264786</v>
      </c>
      <c r="G408" s="18" t="n">
        <v>5.4496385918195</v>
      </c>
      <c r="H408" s="18" t="n">
        <v>5.16645578762247</v>
      </c>
      <c r="I408" s="18" t="n">
        <v>5.25000000000006</v>
      </c>
      <c r="J408" s="18" t="n">
        <v>5.20258368669293</v>
      </c>
    </row>
    <row r="409" customFormat="false" ht="15" hidden="false" customHeight="false" outlineLevel="0" collapsed="false">
      <c r="A409" s="28" t="n">
        <v>40404.7535004118</v>
      </c>
      <c r="B409" s="29" t="n">
        <v>7</v>
      </c>
      <c r="C409" s="18" t="n">
        <v>4.71748792671958</v>
      </c>
      <c r="D409" s="18" t="n">
        <v>5.12206740465848</v>
      </c>
      <c r="E409" s="18" t="n">
        <v>6.99999999954611</v>
      </c>
      <c r="F409" s="18" t="n">
        <v>5.47296590085541</v>
      </c>
      <c r="G409" s="18" t="n">
        <v>5.54837076142692</v>
      </c>
      <c r="H409" s="18" t="n">
        <v>5.33310104858277</v>
      </c>
      <c r="I409" s="18" t="n">
        <v>5.25000000000005</v>
      </c>
      <c r="J409" s="18" t="n">
        <v>5.28420006932746</v>
      </c>
    </row>
    <row r="410" customFormat="false" ht="15" hidden="false" customHeight="false" outlineLevel="0" collapsed="false">
      <c r="A410" s="28" t="n">
        <v>40504.7652665019</v>
      </c>
      <c r="B410" s="29" t="n">
        <v>7</v>
      </c>
      <c r="C410" s="18" t="n">
        <v>8.93283010343327</v>
      </c>
      <c r="D410" s="18" t="n">
        <v>5.4816609938525</v>
      </c>
      <c r="E410" s="18" t="n">
        <v>6.99999999960179</v>
      </c>
      <c r="F410" s="18" t="n">
        <v>5.53092016422556</v>
      </c>
      <c r="G410" s="18" t="n">
        <v>5.15752726152102</v>
      </c>
      <c r="H410" s="18" t="n">
        <v>5.34110622755775</v>
      </c>
      <c r="I410" s="18" t="n">
        <v>5.25000000000005</v>
      </c>
      <c r="J410" s="18" t="n">
        <v>5.3010678104396</v>
      </c>
    </row>
    <row r="411" customFormat="false" ht="15" hidden="false" customHeight="false" outlineLevel="0" collapsed="false">
      <c r="A411" s="28" t="n">
        <v>40604.7770325921</v>
      </c>
      <c r="B411" s="29" t="n">
        <v>7</v>
      </c>
      <c r="C411" s="18" t="n">
        <v>9.43595732427679</v>
      </c>
      <c r="D411" s="18" t="n">
        <v>8.77317965600095</v>
      </c>
      <c r="E411" s="18" t="n">
        <v>6.99999999965055</v>
      </c>
      <c r="F411" s="18" t="n">
        <v>8.26726084741445</v>
      </c>
      <c r="G411" s="18" t="n">
        <v>4.9701907542536</v>
      </c>
      <c r="H411" s="18" t="n">
        <v>5.17680074077224</v>
      </c>
      <c r="I411" s="18" t="n">
        <v>5.25000000000004</v>
      </c>
      <c r="J411" s="18" t="n">
        <v>5.23571510572174</v>
      </c>
    </row>
    <row r="412" customFormat="false" ht="15" hidden="false" customHeight="false" outlineLevel="0" collapsed="false">
      <c r="A412" s="28" t="n">
        <v>40704.7887986822</v>
      </c>
      <c r="B412" s="29" t="n">
        <v>7</v>
      </c>
      <c r="C412" s="18" t="n">
        <v>8.49432630109486</v>
      </c>
      <c r="D412" s="18" t="n">
        <v>8.70710384853296</v>
      </c>
      <c r="E412" s="18" t="n">
        <v>6.99999999969368</v>
      </c>
      <c r="F412" s="18" t="n">
        <v>8.64797826514876</v>
      </c>
      <c r="G412" s="18" t="n">
        <v>4.96041356706234</v>
      </c>
      <c r="H412" s="18" t="n">
        <v>5.15517827601435</v>
      </c>
      <c r="I412" s="18" t="n">
        <v>5.25000000000004</v>
      </c>
      <c r="J412" s="18" t="n">
        <v>5.20264144227504</v>
      </c>
    </row>
    <row r="413" customFormat="false" ht="15" hidden="false" customHeight="false" outlineLevel="0" collapsed="false">
      <c r="A413" s="28" t="n">
        <v>40804.8005647723</v>
      </c>
      <c r="B413" s="29" t="n">
        <v>7</v>
      </c>
      <c r="C413" s="18" t="n">
        <v>4.59544079658277</v>
      </c>
      <c r="D413" s="18" t="n">
        <v>5.38151181327956</v>
      </c>
      <c r="E413" s="18" t="n">
        <v>6.99999999973166</v>
      </c>
      <c r="F413" s="18" t="n">
        <v>7.63018132129251</v>
      </c>
      <c r="G413" s="18" t="n">
        <v>5.48026370989006</v>
      </c>
      <c r="H413" s="18" t="n">
        <v>5.30843722593084</v>
      </c>
      <c r="I413" s="18" t="n">
        <v>5.25000000000003</v>
      </c>
      <c r="J413" s="18" t="n">
        <v>5.20727310810439</v>
      </c>
    </row>
    <row r="414" customFormat="false" ht="15" hidden="false" customHeight="false" outlineLevel="0" collapsed="false">
      <c r="A414" s="28" t="n">
        <v>40904.8123308625</v>
      </c>
      <c r="B414" s="29" t="n">
        <v>7</v>
      </c>
      <c r="C414" s="18" t="n">
        <v>4.84740948628354</v>
      </c>
      <c r="D414" s="18" t="n">
        <v>5.1727859030847</v>
      </c>
      <c r="E414" s="18" t="n">
        <v>6.99999999976504</v>
      </c>
      <c r="F414" s="18" t="n">
        <v>5.38167178918897</v>
      </c>
      <c r="G414" s="18" t="n">
        <v>5.55228558359804</v>
      </c>
      <c r="H414" s="18" t="n">
        <v>5.34638698619537</v>
      </c>
      <c r="I414" s="18" t="n">
        <v>5.25000000000003</v>
      </c>
      <c r="J414" s="18" t="n">
        <v>5.29030264273122</v>
      </c>
    </row>
    <row r="415" customFormat="false" ht="15" hidden="false" customHeight="false" outlineLevel="0" collapsed="false">
      <c r="A415" s="28" t="n">
        <v>41004.8240969526</v>
      </c>
      <c r="B415" s="29" t="n">
        <v>7</v>
      </c>
      <c r="C415" s="18" t="n">
        <v>9.15747816956275</v>
      </c>
      <c r="D415" s="18" t="n">
        <v>8.35714373600555</v>
      </c>
      <c r="E415" s="18" t="n">
        <v>6.99999999979425</v>
      </c>
      <c r="F415" s="18" t="n">
        <v>5.68162298053298</v>
      </c>
      <c r="G415" s="18" t="n">
        <v>5.0891858991958</v>
      </c>
      <c r="H415" s="18" t="n">
        <v>5.23098312583825</v>
      </c>
      <c r="I415" s="18" t="n">
        <v>5.25000000000003</v>
      </c>
      <c r="J415" s="18" t="n">
        <v>5.30049901771543</v>
      </c>
    </row>
    <row r="416" customFormat="false" ht="15" hidden="false" customHeight="false" outlineLevel="0" collapsed="false">
      <c r="A416" s="28" t="n">
        <v>41104.8358630427</v>
      </c>
      <c r="B416" s="29" t="n">
        <v>7</v>
      </c>
      <c r="C416" s="18" t="n">
        <v>9.3721307973174</v>
      </c>
      <c r="D416" s="18" t="n">
        <v>8.90616646695197</v>
      </c>
      <c r="E416" s="18" t="n">
        <v>6.99999999981971</v>
      </c>
      <c r="F416" s="18" t="n">
        <v>8.45022127957</v>
      </c>
      <c r="G416" s="18" t="n">
        <v>4.95927595700268</v>
      </c>
      <c r="H416" s="18" t="n">
        <v>5.15464189422169</v>
      </c>
      <c r="I416" s="18" t="n">
        <v>5.25000000000002</v>
      </c>
      <c r="J416" s="18" t="n">
        <v>5.2243045867504</v>
      </c>
    </row>
    <row r="417" customFormat="false" ht="15" hidden="false" customHeight="false" outlineLevel="0" collapsed="false">
      <c r="A417" s="28" t="n">
        <v>41204.8476291328</v>
      </c>
      <c r="B417" s="29" t="n">
        <v>7</v>
      </c>
      <c r="C417" s="18" t="n">
        <v>5.56786602779961</v>
      </c>
      <c r="D417" s="18" t="n">
        <v>6.4541582312646</v>
      </c>
      <c r="E417" s="18" t="n">
        <v>6.99999999984178</v>
      </c>
      <c r="F417" s="18" t="n">
        <v>8.58456323723583</v>
      </c>
      <c r="G417" s="18" t="n">
        <v>5.00226995149075</v>
      </c>
      <c r="H417" s="18" t="n">
        <v>5.1799801244499</v>
      </c>
      <c r="I417" s="18" t="n">
        <v>5.25000000000002</v>
      </c>
      <c r="J417" s="18" t="n">
        <v>5.20110885450946</v>
      </c>
    </row>
    <row r="418" customFormat="false" ht="15" hidden="false" customHeight="false" outlineLevel="0" collapsed="false">
      <c r="A418" s="28" t="n">
        <v>41304.859395223</v>
      </c>
      <c r="B418" s="29" t="n">
        <v>7</v>
      </c>
      <c r="C418" s="18" t="n">
        <v>4.52597270841468</v>
      </c>
      <c r="D418" s="18" t="n">
        <v>5.06601077820699</v>
      </c>
      <c r="E418" s="18" t="n">
        <v>6.99999999986083</v>
      </c>
      <c r="F418" s="18" t="n">
        <v>6.2222374042413</v>
      </c>
      <c r="G418" s="18" t="n">
        <v>5.50677654656962</v>
      </c>
      <c r="H418" s="18" t="n">
        <v>5.33948858004841</v>
      </c>
      <c r="I418" s="18" t="n">
        <v>5.25000000000002</v>
      </c>
      <c r="J418" s="18" t="n">
        <v>5.22134275453305</v>
      </c>
    </row>
    <row r="419" customFormat="false" ht="15" hidden="false" customHeight="false" outlineLevel="0" collapsed="false">
      <c r="A419" s="28" t="n">
        <v>41404.8711613131</v>
      </c>
      <c r="B419" s="29" t="n">
        <v>7</v>
      </c>
      <c r="C419" s="18" t="n">
        <v>5.05392782529477</v>
      </c>
      <c r="D419" s="18" t="n">
        <v>5.78265836595347</v>
      </c>
      <c r="E419" s="18" t="n">
        <v>6.99999999987789</v>
      </c>
      <c r="F419" s="18" t="n">
        <v>5.33324154084388</v>
      </c>
      <c r="G419" s="18" t="n">
        <v>5.55093431903035</v>
      </c>
      <c r="H419" s="18" t="n">
        <v>5.33498733150322</v>
      </c>
      <c r="I419" s="18" t="n">
        <v>5.25000000000002</v>
      </c>
      <c r="J419" s="18" t="n">
        <v>5.29528891829169</v>
      </c>
    </row>
    <row r="420" customFormat="false" ht="15" hidden="false" customHeight="false" outlineLevel="0" collapsed="false">
      <c r="A420" s="28" t="n">
        <v>41504.8829274032</v>
      </c>
      <c r="B420" s="29" t="n">
        <v>7</v>
      </c>
      <c r="C420" s="18" t="n">
        <v>9.30161027943659</v>
      </c>
      <c r="D420" s="18" t="n">
        <v>8.86405614086468</v>
      </c>
      <c r="E420" s="18" t="n">
        <v>6.99999999989321</v>
      </c>
      <c r="F420" s="18" t="n">
        <v>5.94327973128375</v>
      </c>
      <c r="G420" s="18" t="n">
        <v>5.05039388380429</v>
      </c>
      <c r="H420" s="18" t="n">
        <v>5.16818824664378</v>
      </c>
      <c r="I420" s="18" t="n">
        <v>5.25000000000001</v>
      </c>
      <c r="J420" s="18" t="n">
        <v>5.29827589309271</v>
      </c>
    </row>
    <row r="421" customFormat="false" ht="15" hidden="false" customHeight="false" outlineLevel="0" collapsed="false">
      <c r="A421" s="28" t="n">
        <v>41604.8946934934</v>
      </c>
      <c r="B421" s="29" t="n">
        <v>7</v>
      </c>
      <c r="C421" s="18" t="n">
        <v>9.28185370749851</v>
      </c>
      <c r="D421" s="18" t="n">
        <v>8.54894047075987</v>
      </c>
      <c r="E421" s="18" t="n">
        <v>6.99999999990623</v>
      </c>
      <c r="F421" s="18" t="n">
        <v>8.57111880503813</v>
      </c>
      <c r="G421" s="18" t="n">
        <v>4.95178855461582</v>
      </c>
      <c r="H421" s="18" t="n">
        <v>5.15828811291267</v>
      </c>
      <c r="I421" s="18" t="n">
        <v>5.25000000000001</v>
      </c>
      <c r="J421" s="18" t="n">
        <v>5.21686550622712</v>
      </c>
    </row>
    <row r="422" customFormat="false" ht="15" hidden="false" customHeight="false" outlineLevel="0" collapsed="false">
      <c r="A422" s="28" t="n">
        <v>41704.9064595835</v>
      </c>
      <c r="B422" s="29" t="n">
        <v>7</v>
      </c>
      <c r="C422" s="18" t="n">
        <v>5.06778089277022</v>
      </c>
      <c r="D422" s="18" t="n">
        <v>5.2439847002419</v>
      </c>
      <c r="E422" s="18" t="n">
        <v>6.99999999991764</v>
      </c>
      <c r="F422" s="18" t="n">
        <v>8.49171673077085</v>
      </c>
      <c r="G422" s="18" t="n">
        <v>5.34222445550661</v>
      </c>
      <c r="H422" s="18" t="n">
        <v>5.32160542316078</v>
      </c>
      <c r="I422" s="18" t="n">
        <v>5.25000000000001</v>
      </c>
      <c r="J422" s="18" t="n">
        <v>5.20047353581787</v>
      </c>
    </row>
    <row r="423" customFormat="false" ht="15" hidden="false" customHeight="false" outlineLevel="0" collapsed="false">
      <c r="A423" s="28" t="n">
        <v>41804.9182256736</v>
      </c>
      <c r="B423" s="29" t="n">
        <v>7</v>
      </c>
      <c r="C423" s="18" t="n">
        <v>4.5630197177371</v>
      </c>
      <c r="D423" s="18" t="n">
        <v>5.27321238005232</v>
      </c>
      <c r="E423" s="18" t="n">
        <v>6.99999999992794</v>
      </c>
      <c r="F423" s="18" t="n">
        <v>5.80499218139485</v>
      </c>
      <c r="G423" s="18" t="n">
        <v>5.52997556182173</v>
      </c>
      <c r="H423" s="18" t="n">
        <v>5.34516530899331</v>
      </c>
      <c r="I423" s="18" t="n">
        <v>5.25000000000001</v>
      </c>
      <c r="J423" s="18" t="n">
        <v>5.26295624715817</v>
      </c>
    </row>
    <row r="424" customFormat="false" ht="15" hidden="false" customHeight="false" outlineLevel="0" collapsed="false">
      <c r="A424" s="28" t="n">
        <v>41904.9299917637</v>
      </c>
      <c r="B424" s="29" t="n">
        <v>7</v>
      </c>
      <c r="C424" s="18" t="n">
        <v>5.50742315110443</v>
      </c>
      <c r="D424" s="18" t="n">
        <v>8.59103524959508</v>
      </c>
      <c r="E424" s="18" t="n">
        <v>6.99999999993723</v>
      </c>
      <c r="F424" s="18" t="n">
        <v>5.36726794978038</v>
      </c>
      <c r="G424" s="18" t="n">
        <v>5.53963705113113</v>
      </c>
      <c r="H424" s="18" t="n">
        <v>5.19448412090927</v>
      </c>
      <c r="I424" s="18" t="n">
        <v>5.25000000000001</v>
      </c>
      <c r="J424" s="18" t="n">
        <v>5.29912773170339</v>
      </c>
    </row>
    <row r="425" customFormat="false" ht="15" hidden="false" customHeight="false" outlineLevel="0" collapsed="false">
      <c r="A425" s="28" t="n">
        <v>42004.9417578539</v>
      </c>
      <c r="B425" s="29" t="n">
        <v>7</v>
      </c>
      <c r="C425" s="18" t="n">
        <v>9.40383486695884</v>
      </c>
      <c r="D425" s="18" t="n">
        <v>8.84364716591215</v>
      </c>
      <c r="E425" s="18" t="n">
        <v>6.99999999994562</v>
      </c>
      <c r="F425" s="18" t="n">
        <v>6.73787359829166</v>
      </c>
      <c r="G425" s="18" t="n">
        <v>5.01981707642364</v>
      </c>
      <c r="H425" s="18" t="n">
        <v>5.15349594600532</v>
      </c>
      <c r="I425" s="18" t="n">
        <v>5.25000000000001</v>
      </c>
      <c r="J425" s="18" t="n">
        <v>5.29255144662772</v>
      </c>
    </row>
    <row r="426" customFormat="false" ht="15" hidden="false" customHeight="false" outlineLevel="0" collapsed="false">
      <c r="A426" s="28" t="n">
        <v>42104.953523944</v>
      </c>
      <c r="B426" s="29" t="n">
        <v>7</v>
      </c>
      <c r="C426" s="18" t="n">
        <v>9.152234147272</v>
      </c>
      <c r="D426" s="18" t="n">
        <v>5.7096870771747</v>
      </c>
      <c r="E426" s="18" t="n">
        <v>6.99999999995298</v>
      </c>
      <c r="F426" s="18" t="n">
        <v>8.65295363561308</v>
      </c>
      <c r="G426" s="18" t="n">
        <v>4.94785329785875</v>
      </c>
      <c r="H426" s="18" t="n">
        <v>5.24309344370007</v>
      </c>
      <c r="I426" s="18" t="n">
        <v>5.25000000000001</v>
      </c>
      <c r="J426" s="18" t="n">
        <v>5.21096696466316</v>
      </c>
    </row>
    <row r="427" customFormat="false" ht="15" hidden="false" customHeight="false" outlineLevel="0" collapsed="false">
      <c r="A427" s="28" t="n">
        <v>42204.9652900341</v>
      </c>
      <c r="B427" s="29" t="n">
        <v>7</v>
      </c>
      <c r="C427" s="18" t="n">
        <v>4.84254623401063</v>
      </c>
      <c r="D427" s="18" t="n">
        <v>5.07525887764779</v>
      </c>
      <c r="E427" s="18" t="n">
        <v>6.99999999995877</v>
      </c>
      <c r="F427" s="18" t="n">
        <v>8.35439274757384</v>
      </c>
      <c r="G427" s="18" t="n">
        <v>5.41078036566778</v>
      </c>
      <c r="H427" s="18" t="n">
        <v>5.34431362392136</v>
      </c>
      <c r="I427" s="18" t="n">
        <v>5.25000000000001</v>
      </c>
      <c r="J427" s="18" t="n">
        <v>5.20084512529826</v>
      </c>
    </row>
    <row r="428" customFormat="false" ht="15" hidden="false" customHeight="false" outlineLevel="0" collapsed="false">
      <c r="A428" s="28" t="n">
        <v>42304.9770561243</v>
      </c>
      <c r="B428" s="29" t="n">
        <v>7</v>
      </c>
      <c r="C428" s="18" t="n">
        <v>4.62699412681432</v>
      </c>
      <c r="D428" s="18" t="n">
        <v>6.65065789529736</v>
      </c>
      <c r="E428" s="18" t="n">
        <v>6.99999999996384</v>
      </c>
      <c r="F428" s="18" t="n">
        <v>5.59964329414511</v>
      </c>
      <c r="G428" s="18" t="n">
        <v>5.54089466332645</v>
      </c>
      <c r="H428" s="18" t="n">
        <v>5.32537831810412</v>
      </c>
      <c r="I428" s="18" t="n">
        <v>5.25000000000001</v>
      </c>
      <c r="J428" s="18" t="n">
        <v>5.27657873535339</v>
      </c>
    </row>
    <row r="429" customFormat="false" ht="15" hidden="false" customHeight="false" outlineLevel="0" collapsed="false">
      <c r="A429" s="28" t="n">
        <v>42404.9888222144</v>
      </c>
      <c r="B429" s="29" t="n">
        <v>7</v>
      </c>
      <c r="C429" s="18" t="n">
        <v>8.43467490276069</v>
      </c>
      <c r="D429" s="18" t="n">
        <v>8.92025130477186</v>
      </c>
      <c r="E429" s="18" t="n">
        <v>6.99999999996841</v>
      </c>
      <c r="F429" s="18" t="n">
        <v>5.43452560250047</v>
      </c>
      <c r="G429" s="18" t="n">
        <v>5.49758706144614</v>
      </c>
      <c r="H429" s="18" t="n">
        <v>5.16273563545464</v>
      </c>
      <c r="I429" s="18" t="n">
        <v>5.25000000000001</v>
      </c>
      <c r="J429" s="18" t="n">
        <v>5.30061657690637</v>
      </c>
    </row>
    <row r="430" customFormat="false" ht="15" hidden="false" customHeight="false" outlineLevel="0" collapsed="false">
      <c r="A430" s="28" t="n">
        <v>42505.0005883045</v>
      </c>
      <c r="B430" s="29" t="n">
        <v>7</v>
      </c>
      <c r="C430" s="18" t="n">
        <v>9.47298631466762</v>
      </c>
      <c r="D430" s="18" t="n">
        <v>8.39906247120353</v>
      </c>
      <c r="E430" s="18" t="n">
        <v>6.99999999997254</v>
      </c>
      <c r="F430" s="18" t="n">
        <v>7.95149372284404</v>
      </c>
      <c r="G430" s="18" t="n">
        <v>4.99334749302628</v>
      </c>
      <c r="H430" s="18" t="n">
        <v>5.16129428799722</v>
      </c>
      <c r="I430" s="18" t="n">
        <v>5.25000000000001</v>
      </c>
      <c r="J430" s="18" t="n">
        <v>5.27047793666497</v>
      </c>
    </row>
    <row r="431" customFormat="false" ht="15" hidden="false" customHeight="false" outlineLevel="0" collapsed="false">
      <c r="A431" s="28" t="n">
        <v>42605.0123543946</v>
      </c>
      <c r="B431" s="29" t="n">
        <v>7</v>
      </c>
      <c r="C431" s="18" t="n">
        <v>8.94620617923306</v>
      </c>
      <c r="D431" s="18" t="n">
        <v>5.17690640746771</v>
      </c>
      <c r="E431" s="18" t="n">
        <v>6.99999999997626</v>
      </c>
      <c r="F431" s="18" t="n">
        <v>8.68265961495938</v>
      </c>
      <c r="G431" s="18" t="n">
        <v>4.94917260642368</v>
      </c>
      <c r="H431" s="18" t="n">
        <v>5.32733541956674</v>
      </c>
      <c r="I431" s="18" t="n">
        <v>5.25000000000001</v>
      </c>
      <c r="J431" s="18" t="n">
        <v>5.2060385461857</v>
      </c>
    </row>
    <row r="432" customFormat="false" ht="15" hidden="false" customHeight="false" outlineLevel="0" collapsed="false">
      <c r="A432" s="28" t="n">
        <v>42705.0241204848</v>
      </c>
      <c r="B432" s="29" t="n">
        <v>7</v>
      </c>
      <c r="C432" s="18" t="n">
        <v>4.69800801295548</v>
      </c>
      <c r="D432" s="18" t="n">
        <v>5.32674749287866</v>
      </c>
      <c r="E432" s="18" t="n">
        <v>6.99999999997963</v>
      </c>
      <c r="F432" s="18" t="n">
        <v>8.12758755392057</v>
      </c>
      <c r="G432" s="18" t="n">
        <v>5.44963859181949</v>
      </c>
      <c r="H432" s="18" t="n">
        <v>5.34442084787733</v>
      </c>
      <c r="I432" s="18" t="n">
        <v>5.25000000000001</v>
      </c>
      <c r="J432" s="18" t="n">
        <v>5.20273577121133</v>
      </c>
    </row>
    <row r="433" customFormat="false" ht="15" hidden="false" customHeight="false" outlineLevel="0" collapsed="false">
      <c r="A433" s="28" t="n">
        <v>42805.0358865749</v>
      </c>
      <c r="B433" s="29" t="n">
        <v>7</v>
      </c>
      <c r="C433" s="18" t="n">
        <v>4.71748792671959</v>
      </c>
      <c r="D433" s="18" t="n">
        <v>8.66416188705309</v>
      </c>
      <c r="E433" s="18" t="n">
        <v>6.99999999998266</v>
      </c>
      <c r="F433" s="18" t="n">
        <v>5.46787877678762</v>
      </c>
      <c r="G433" s="18" t="n">
        <v>5.54837076142692</v>
      </c>
      <c r="H433" s="18" t="n">
        <v>5.18733864825834</v>
      </c>
      <c r="I433" s="18" t="n">
        <v>5.25000000000001</v>
      </c>
      <c r="J433" s="18" t="n">
        <v>5.28450101396967</v>
      </c>
    </row>
    <row r="434" customFormat="false" ht="15" hidden="false" customHeight="false" outlineLevel="0" collapsed="false">
      <c r="A434" s="28" t="n">
        <v>42905.047652665</v>
      </c>
      <c r="B434" s="29" t="n">
        <v>7</v>
      </c>
      <c r="C434" s="18" t="n">
        <v>8.93283010343327</v>
      </c>
      <c r="D434" s="18" t="n">
        <v>8.81501835803475</v>
      </c>
      <c r="E434" s="18" t="n">
        <v>6.9999999999854</v>
      </c>
      <c r="F434" s="18" t="n">
        <v>5.53525945407514</v>
      </c>
      <c r="G434" s="18" t="n">
        <v>5.15752726152102</v>
      </c>
      <c r="H434" s="18" t="n">
        <v>5.15352880839928</v>
      </c>
      <c r="I434" s="18" t="n">
        <v>5.25000000000001</v>
      </c>
      <c r="J434" s="18" t="n">
        <v>5.30108259215934</v>
      </c>
    </row>
    <row r="435" customFormat="false" ht="15" hidden="false" customHeight="false" outlineLevel="0" collapsed="false">
      <c r="A435" s="28" t="n">
        <v>43005.0594187552</v>
      </c>
      <c r="B435" s="29" t="n">
        <v>7</v>
      </c>
      <c r="C435" s="18" t="n">
        <v>9.43595732427679</v>
      </c>
      <c r="D435" s="18" t="n">
        <v>5.59084852616088</v>
      </c>
      <c r="E435" s="18" t="n">
        <v>6.99999999998787</v>
      </c>
      <c r="F435" s="18" t="n">
        <v>8.27601411935548</v>
      </c>
      <c r="G435" s="18" t="n">
        <v>4.9701907542536</v>
      </c>
      <c r="H435" s="18" t="n">
        <v>5.28061595760759</v>
      </c>
      <c r="I435" s="18" t="n">
        <v>5.25000000000001</v>
      </c>
      <c r="J435" s="18" t="n">
        <v>5.23511403608046</v>
      </c>
    </row>
    <row r="436" customFormat="false" ht="15" hidden="false" customHeight="false" outlineLevel="0" collapsed="false">
      <c r="A436" s="28" t="n">
        <v>43105.0711848453</v>
      </c>
      <c r="B436" s="29" t="n">
        <v>7</v>
      </c>
      <c r="C436" s="18" t="n">
        <v>8.49432630109486</v>
      </c>
      <c r="D436" s="18" t="n">
        <v>5.09836651837974</v>
      </c>
      <c r="E436" s="18" t="n">
        <v>6.9999999999901</v>
      </c>
      <c r="F436" s="18" t="n">
        <v>8.64553143772919</v>
      </c>
      <c r="G436" s="18" t="n">
        <v>4.96041356706234</v>
      </c>
      <c r="H436" s="18" t="n">
        <v>5.34600355432549</v>
      </c>
      <c r="I436" s="18" t="n">
        <v>5.25000000000001</v>
      </c>
      <c r="J436" s="18" t="n">
        <v>5.20256949083425</v>
      </c>
    </row>
    <row r="437" customFormat="false" ht="15" hidden="false" customHeight="false" outlineLevel="0" collapsed="false">
      <c r="A437" s="28" t="n">
        <v>43205.0829509354</v>
      </c>
      <c r="B437" s="29" t="n">
        <v>7</v>
      </c>
      <c r="C437" s="18" t="n">
        <v>4.59544079658278</v>
      </c>
      <c r="D437" s="18" t="n">
        <v>7.74495760571479</v>
      </c>
      <c r="E437" s="18" t="n">
        <v>6.99999999999211</v>
      </c>
      <c r="F437" s="18" t="n">
        <v>7.58729351368681</v>
      </c>
      <c r="G437" s="18" t="n">
        <v>5.48026370989006</v>
      </c>
      <c r="H437" s="18" t="n">
        <v>5.31724341761689</v>
      </c>
      <c r="I437" s="18" t="n">
        <v>5.25000000000001</v>
      </c>
      <c r="J437" s="18" t="n">
        <v>5.2076049304213</v>
      </c>
    </row>
    <row r="438" customFormat="false" ht="15" hidden="false" customHeight="false" outlineLevel="0" collapsed="false">
      <c r="A438" s="28" t="n">
        <v>43305.0947170255</v>
      </c>
      <c r="B438" s="29" t="n">
        <v>7</v>
      </c>
      <c r="C438" s="18" t="n">
        <v>4.84740948628355</v>
      </c>
      <c r="D438" s="18" t="n">
        <v>8.93904794069319</v>
      </c>
      <c r="E438" s="18" t="n">
        <v>6.99999999999393</v>
      </c>
      <c r="F438" s="18" t="n">
        <v>5.37869317364019</v>
      </c>
      <c r="G438" s="18" t="n">
        <v>5.55228558359804</v>
      </c>
      <c r="H438" s="18" t="n">
        <v>5.15982730976173</v>
      </c>
      <c r="I438" s="18" t="n">
        <v>5.25000000000001</v>
      </c>
      <c r="J438" s="18" t="n">
        <v>5.29051842353905</v>
      </c>
    </row>
    <row r="439" customFormat="false" ht="15" hidden="false" customHeight="false" outlineLevel="0" collapsed="false">
      <c r="A439" s="28" t="n">
        <v>43405.1064831157</v>
      </c>
      <c r="B439" s="29" t="n">
        <v>7</v>
      </c>
      <c r="C439" s="18" t="n">
        <v>9.15747816956275</v>
      </c>
      <c r="D439" s="18" t="n">
        <v>8.16857183033968</v>
      </c>
      <c r="E439" s="18" t="n">
        <v>6.99999999999557</v>
      </c>
      <c r="F439" s="18" t="n">
        <v>5.68806496877705</v>
      </c>
      <c r="G439" s="18" t="n">
        <v>5.0891858991958</v>
      </c>
      <c r="H439" s="18" t="n">
        <v>5.16588423905601</v>
      </c>
      <c r="I439" s="18" t="n">
        <v>5.25000000000001</v>
      </c>
      <c r="J439" s="18" t="n">
        <v>5.30046672196156</v>
      </c>
    </row>
    <row r="440" customFormat="false" ht="15" hidden="false" customHeight="false" outlineLevel="0" collapsed="false">
      <c r="A440" s="28" t="n">
        <v>43505.1182492058</v>
      </c>
      <c r="B440" s="29" t="n">
        <v>7</v>
      </c>
      <c r="C440" s="18" t="n">
        <v>9.3721307973174</v>
      </c>
      <c r="D440" s="18" t="n">
        <v>5.12756292610433</v>
      </c>
      <c r="E440" s="18" t="n">
        <v>6.99999999999705</v>
      </c>
      <c r="F440" s="18" t="n">
        <v>8.45530754805931</v>
      </c>
      <c r="G440" s="18" t="n">
        <v>4.95927595700269</v>
      </c>
      <c r="H440" s="18" t="n">
        <v>5.33261570955025</v>
      </c>
      <c r="I440" s="18" t="n">
        <v>5.25000000000001</v>
      </c>
      <c r="J440" s="18" t="n">
        <v>5.22399400715399</v>
      </c>
    </row>
    <row r="441" customFormat="false" ht="15" hidden="false" customHeight="false" outlineLevel="0" collapsed="false">
      <c r="A441" s="28" t="n">
        <v>43605.1300152959</v>
      </c>
      <c r="B441" s="29" t="n">
        <v>7</v>
      </c>
      <c r="C441" s="18" t="n">
        <v>5.56786602780044</v>
      </c>
      <c r="D441" s="18" t="n">
        <v>5.47173861719849</v>
      </c>
      <c r="E441" s="18" t="n">
        <v>6.99999999999839</v>
      </c>
      <c r="F441" s="18" t="n">
        <v>8.58123727368058</v>
      </c>
      <c r="G441" s="18" t="n">
        <v>5.00226995149068</v>
      </c>
      <c r="H441" s="18" t="n">
        <v>5.34129629109588</v>
      </c>
      <c r="I441" s="18" t="n">
        <v>5.25000000000001</v>
      </c>
      <c r="J441" s="18" t="n">
        <v>5.20107998354118</v>
      </c>
    </row>
    <row r="442" customFormat="false" ht="15" hidden="false" customHeight="false" outlineLevel="0" collapsed="false">
      <c r="A442" s="28" t="n">
        <v>43705.1417813861</v>
      </c>
      <c r="B442" s="29" t="n">
        <v>7</v>
      </c>
      <c r="C442" s="18" t="n">
        <v>4.52597270841474</v>
      </c>
      <c r="D442" s="18" t="n">
        <v>8.76762064869664</v>
      </c>
      <c r="E442" s="18" t="n">
        <v>6.9999999999996</v>
      </c>
      <c r="F442" s="18" t="n">
        <v>6.19517473904634</v>
      </c>
      <c r="G442" s="18" t="n">
        <v>5.50677654656961</v>
      </c>
      <c r="H442" s="18" t="n">
        <v>5.17728829720118</v>
      </c>
      <c r="I442" s="18" t="n">
        <v>5.25000000000001</v>
      </c>
      <c r="J442" s="18" t="n">
        <v>5.22253475943773</v>
      </c>
    </row>
    <row r="443" customFormat="false" ht="15" hidden="false" customHeight="false" outlineLevel="0" collapsed="false">
      <c r="A443" s="28" t="n">
        <v>43805.1535474762</v>
      </c>
      <c r="B443" s="29" t="n">
        <v>7</v>
      </c>
      <c r="C443" s="18" t="n">
        <v>5.05392782529481</v>
      </c>
      <c r="D443" s="18" t="n">
        <v>8.71199368104007</v>
      </c>
      <c r="E443" s="18" t="n">
        <v>7.00000000000068</v>
      </c>
      <c r="F443" s="18" t="n">
        <v>5.33301468307915</v>
      </c>
      <c r="G443" s="18" t="n">
        <v>5.55093431903034</v>
      </c>
      <c r="H443" s="18" t="n">
        <v>5.15510661241169</v>
      </c>
      <c r="I443" s="18" t="n">
        <v>5.25000000000001</v>
      </c>
      <c r="J443" s="18" t="n">
        <v>5.29545206008795</v>
      </c>
    </row>
    <row r="444" customFormat="false" ht="15" hidden="false" customHeight="false" outlineLevel="0" collapsed="false">
      <c r="A444" s="28" t="n">
        <v>43905.1653135663</v>
      </c>
      <c r="B444" s="29" t="n">
        <v>7</v>
      </c>
      <c r="C444" s="18" t="n">
        <v>9.30161027943659</v>
      </c>
      <c r="D444" s="18" t="n">
        <v>5.3884658448968</v>
      </c>
      <c r="E444" s="18" t="n">
        <v>7.00000000000167</v>
      </c>
      <c r="F444" s="18" t="n">
        <v>5.95543768925557</v>
      </c>
      <c r="G444" s="18" t="n">
        <v>5.05039388380429</v>
      </c>
      <c r="H444" s="18" t="n">
        <v>5.30773668162225</v>
      </c>
      <c r="I444" s="18" t="n">
        <v>5.25000000000001</v>
      </c>
      <c r="J444" s="18" t="n">
        <v>5.29817128212881</v>
      </c>
    </row>
    <row r="445" customFormat="false" ht="15" hidden="false" customHeight="false" outlineLevel="0" collapsed="false">
      <c r="A445" s="28" t="n">
        <v>44005.1770796564</v>
      </c>
      <c r="B445" s="29" t="n">
        <v>7</v>
      </c>
      <c r="C445" s="18" t="n">
        <v>9.28185370749851</v>
      </c>
      <c r="D445" s="18" t="n">
        <v>5.16969655656233</v>
      </c>
      <c r="E445" s="18" t="n">
        <v>7.00000000000255</v>
      </c>
      <c r="F445" s="18" t="n">
        <v>8.5744431915506</v>
      </c>
      <c r="G445" s="18" t="n">
        <v>4.95178855461581</v>
      </c>
      <c r="H445" s="18" t="n">
        <v>5.34639778541395</v>
      </c>
      <c r="I445" s="18" t="n">
        <v>5.25000000000001</v>
      </c>
      <c r="J445" s="18" t="n">
        <v>5.21664040415156</v>
      </c>
    </row>
    <row r="446" customFormat="false" ht="15" hidden="false" customHeight="false" outlineLevel="0" collapsed="false">
      <c r="A446" s="28" t="n">
        <v>44105.1888457466</v>
      </c>
      <c r="B446" s="29" t="n">
        <v>7</v>
      </c>
      <c r="C446" s="18" t="n">
        <v>5.06778089276997</v>
      </c>
      <c r="D446" s="18" t="n">
        <v>8.3447952935438</v>
      </c>
      <c r="E446" s="18" t="n">
        <v>7.00000000000335</v>
      </c>
      <c r="F446" s="18" t="n">
        <v>8.48718715134837</v>
      </c>
      <c r="G446" s="18" t="n">
        <v>5.3422244555067</v>
      </c>
      <c r="H446" s="18" t="n">
        <v>5.23458602715995</v>
      </c>
      <c r="I446" s="18" t="n">
        <v>5.25000000000001</v>
      </c>
      <c r="J446" s="18" t="n">
        <v>5.20047981809142</v>
      </c>
    </row>
    <row r="447" customFormat="false" ht="15" hidden="false" customHeight="false" outlineLevel="0" collapsed="false">
      <c r="A447" s="28" t="n">
        <v>44205.2006118367</v>
      </c>
      <c r="B447" s="29" t="n">
        <v>7</v>
      </c>
      <c r="C447" s="18" t="n">
        <v>4.56301971773708</v>
      </c>
      <c r="D447" s="18" t="n">
        <v>8.90828279919758</v>
      </c>
      <c r="E447" s="18" t="n">
        <v>7.00000000000408</v>
      </c>
      <c r="F447" s="18" t="n">
        <v>5.79487189830258</v>
      </c>
      <c r="G447" s="18" t="n">
        <v>5.52997556182174</v>
      </c>
      <c r="H447" s="18" t="n">
        <v>5.15481012535216</v>
      </c>
      <c r="I447" s="18" t="n">
        <v>5.25000000000001</v>
      </c>
      <c r="J447" s="18" t="n">
        <v>5.26374048365675</v>
      </c>
    </row>
    <row r="448" customFormat="false" ht="15" hidden="false" customHeight="false" outlineLevel="0" collapsed="false">
      <c r="A448" s="28" t="n">
        <v>44305.2123779268</v>
      </c>
      <c r="B448" s="29" t="n">
        <v>7</v>
      </c>
      <c r="C448" s="18" t="n">
        <v>5.50742315110446</v>
      </c>
      <c r="D448" s="18" t="n">
        <v>6.53895471477983</v>
      </c>
      <c r="E448" s="18" t="n">
        <v>7.00000000000473</v>
      </c>
      <c r="F448" s="18" t="n">
        <v>5.36866425548275</v>
      </c>
      <c r="G448" s="18" t="n">
        <v>5.53963705113113</v>
      </c>
      <c r="H448" s="18" t="n">
        <v>5.17916129349996</v>
      </c>
      <c r="I448" s="18" t="n">
        <v>5.25000000000001</v>
      </c>
      <c r="J448" s="18" t="n">
        <v>5.29921557461557</v>
      </c>
    </row>
    <row r="449" customFormat="false" ht="15" hidden="false" customHeight="false" outlineLevel="0" collapsed="false">
      <c r="A449" s="28" t="n">
        <v>44405.224144017</v>
      </c>
      <c r="B449" s="29" t="n">
        <v>7</v>
      </c>
      <c r="C449" s="18" t="n">
        <v>9.40383486695697</v>
      </c>
      <c r="D449" s="18" t="n">
        <v>5.06775098042874</v>
      </c>
      <c r="E449" s="18" t="n">
        <v>7.00000000000532</v>
      </c>
      <c r="F449" s="18" t="n">
        <v>6.79828505634022</v>
      </c>
      <c r="G449" s="18" t="n">
        <v>5.01981707642365</v>
      </c>
      <c r="H449" s="18" t="n">
        <v>5.33923804416799</v>
      </c>
      <c r="I449" s="18" t="n">
        <v>5.25000000000001</v>
      </c>
      <c r="J449" s="18" t="n">
        <v>5.29226645980593</v>
      </c>
    </row>
    <row r="450" customFormat="false" ht="15" hidden="false" customHeight="false" outlineLevel="0" collapsed="false">
      <c r="A450" s="28" t="n">
        <v>44505.2359101071</v>
      </c>
      <c r="B450" s="29" t="n">
        <v>7</v>
      </c>
      <c r="C450" s="18" t="n">
        <v>9.152234147272</v>
      </c>
      <c r="D450" s="18" t="n">
        <v>5.76247724917746</v>
      </c>
      <c r="E450" s="18" t="n">
        <v>7.00000000000585</v>
      </c>
      <c r="F450" s="18" t="n">
        <v>8.65502560000764</v>
      </c>
      <c r="G450" s="18" t="n">
        <v>4.94785329785876</v>
      </c>
      <c r="H450" s="18" t="n">
        <v>5.33536605515987</v>
      </c>
      <c r="I450" s="18" t="n">
        <v>5.25000000000001</v>
      </c>
      <c r="J450" s="18" t="n">
        <v>5.21078210914549</v>
      </c>
    </row>
    <row r="451" customFormat="false" ht="15" hidden="false" customHeight="false" outlineLevel="0" collapsed="false">
      <c r="A451" s="28" t="n">
        <v>44605.2476761972</v>
      </c>
      <c r="B451" s="29" t="n">
        <v>7</v>
      </c>
      <c r="C451" s="18" t="n">
        <v>4.8425462340108</v>
      </c>
      <c r="D451" s="18" t="n">
        <v>8.86044613204482</v>
      </c>
      <c r="E451" s="18" t="n">
        <v>7.00000000000633</v>
      </c>
      <c r="F451" s="18" t="n">
        <v>8.34765501106592</v>
      </c>
      <c r="G451" s="18" t="n">
        <v>5.41078036566775</v>
      </c>
      <c r="H451" s="18" t="n">
        <v>5.16857917954053</v>
      </c>
      <c r="I451" s="18" t="n">
        <v>5.25000000000001</v>
      </c>
      <c r="J451" s="18" t="n">
        <v>5.20089685023439</v>
      </c>
    </row>
    <row r="452" customFormat="false" ht="15" hidden="false" customHeight="false" outlineLevel="0" collapsed="false">
      <c r="A452" s="28" t="n">
        <v>44705.2594422873</v>
      </c>
      <c r="B452" s="29" t="n">
        <v>7</v>
      </c>
      <c r="C452" s="18" t="n">
        <v>4.62699412681434</v>
      </c>
      <c r="D452" s="18" t="n">
        <v>8.56137698199204</v>
      </c>
      <c r="E452" s="18" t="n">
        <v>7.00000000000676</v>
      </c>
      <c r="F452" s="18" t="n">
        <v>5.59368650919802</v>
      </c>
      <c r="G452" s="18" t="n">
        <v>5.54089466332645</v>
      </c>
      <c r="H452" s="18" t="n">
        <v>5.15801690669616</v>
      </c>
      <c r="I452" s="18" t="n">
        <v>5.25000000000001</v>
      </c>
      <c r="J452" s="18" t="n">
        <v>5.27692554292552</v>
      </c>
    </row>
    <row r="453" customFormat="false" ht="15" hidden="false" customHeight="false" outlineLevel="0" collapsed="false">
      <c r="A453" s="28" t="n">
        <v>44805.2712083775</v>
      </c>
      <c r="B453" s="29" t="n">
        <v>7</v>
      </c>
      <c r="C453" s="18" t="n">
        <v>8.43467490276066</v>
      </c>
      <c r="D453" s="18" t="n">
        <v>5.25119747459939</v>
      </c>
      <c r="E453" s="18" t="n">
        <v>7.00000000000715</v>
      </c>
      <c r="F453" s="18" t="n">
        <v>5.43695750258221</v>
      </c>
      <c r="G453" s="18" t="n">
        <v>5.49758706144614</v>
      </c>
      <c r="H453" s="18" t="n">
        <v>5.32084720525603</v>
      </c>
      <c r="I453" s="18" t="n">
        <v>5.25000000000001</v>
      </c>
      <c r="J453" s="18" t="n">
        <v>5.30065770226848</v>
      </c>
    </row>
    <row r="454" customFormat="false" ht="15" hidden="false" customHeight="false" outlineLevel="0" collapsed="false">
      <c r="A454" s="28" t="n">
        <v>44905.2829744676</v>
      </c>
      <c r="B454" s="29" t="n">
        <v>7</v>
      </c>
      <c r="C454" s="18" t="n">
        <v>9.47298631466762</v>
      </c>
      <c r="D454" s="18" t="n">
        <v>5.26025143526696</v>
      </c>
      <c r="E454" s="18" t="n">
        <v>7.0000000000075</v>
      </c>
      <c r="F454" s="18" t="n">
        <v>7.96655737102321</v>
      </c>
      <c r="G454" s="18" t="n">
        <v>4.99334749302651</v>
      </c>
      <c r="H454" s="18" t="n">
        <v>5.34541553658041</v>
      </c>
      <c r="I454" s="18" t="n">
        <v>5.25000000000001</v>
      </c>
      <c r="J454" s="18" t="n">
        <v>5.26872197106348</v>
      </c>
    </row>
    <row r="455" customFormat="false" ht="15" hidden="false" customHeight="false" outlineLevel="0" collapsed="false">
      <c r="A455" s="28" t="n">
        <v>45005.2947405577</v>
      </c>
      <c r="B455" s="29" t="n">
        <v>7</v>
      </c>
      <c r="C455" s="18" t="n">
        <v>8.94620617923306</v>
      </c>
      <c r="D455" s="18" t="n">
        <v>8.57231705748594</v>
      </c>
      <c r="E455" s="18" t="n">
        <v>7.00000000000782</v>
      </c>
      <c r="F455" s="18" t="n">
        <v>8.6814075652017</v>
      </c>
      <c r="G455" s="18" t="n">
        <v>4.94917260642361</v>
      </c>
      <c r="H455" s="18" t="n">
        <v>5.19674439428623</v>
      </c>
      <c r="I455" s="18" t="n">
        <v>5.25000000000001</v>
      </c>
      <c r="J455" s="18" t="n">
        <v>5.20588230498645</v>
      </c>
    </row>
    <row r="456" customFormat="false" ht="15" hidden="false" customHeight="false" outlineLevel="0" collapsed="false">
      <c r="A456" s="28" t="n">
        <v>45105.3065066478</v>
      </c>
      <c r="B456" s="29" t="n">
        <v>7</v>
      </c>
      <c r="C456" s="18" t="n">
        <v>4.69800801295548</v>
      </c>
      <c r="D456" s="18" t="n">
        <v>8.862389763216</v>
      </c>
      <c r="E456" s="18" t="n">
        <v>7.00000000000811</v>
      </c>
      <c r="F456" s="18" t="n">
        <v>8.11527460986653</v>
      </c>
      <c r="G456" s="18" t="n">
        <v>5.44963859181948</v>
      </c>
      <c r="H456" s="18" t="n">
        <v>5.15324993774195</v>
      </c>
      <c r="I456" s="18" t="n">
        <v>5.25000000000001</v>
      </c>
      <c r="J456" s="18" t="n">
        <v>5.20286615307905</v>
      </c>
    </row>
    <row r="457" customFormat="false" ht="15" hidden="false" customHeight="false" outlineLevel="0" collapsed="false">
      <c r="A457" s="28" t="n">
        <v>45205.318272738</v>
      </c>
      <c r="B457" s="29" t="n">
        <v>7</v>
      </c>
      <c r="C457" s="18" t="n">
        <v>4.71748792671952</v>
      </c>
      <c r="D457" s="18" t="n">
        <v>5.79413868225252</v>
      </c>
      <c r="E457" s="18" t="n">
        <v>7.00000000000837</v>
      </c>
      <c r="F457" s="18" t="n">
        <v>5.46384127303713</v>
      </c>
      <c r="G457" s="18" t="n">
        <v>5.54837076142692</v>
      </c>
      <c r="H457" s="18" t="n">
        <v>5.21204906277476</v>
      </c>
      <c r="I457" s="18" t="n">
        <v>5.25000000000001</v>
      </c>
      <c r="J457" s="18" t="n">
        <v>5.28474566744803</v>
      </c>
    </row>
    <row r="458" customFormat="false" ht="15" hidden="false" customHeight="false" outlineLevel="0" collapsed="false">
      <c r="A458" s="28" t="n">
        <v>45305.3300388281</v>
      </c>
      <c r="B458" s="29" t="n">
        <v>7</v>
      </c>
      <c r="C458" s="18" t="n">
        <v>8.93283010343327</v>
      </c>
      <c r="D458" s="18" t="n">
        <v>5.05392815897476</v>
      </c>
      <c r="E458" s="18" t="n">
        <v>7.0000000000086</v>
      </c>
      <c r="F458" s="18" t="n">
        <v>5.53907877480513</v>
      </c>
      <c r="G458" s="18" t="n">
        <v>5.15752726152107</v>
      </c>
      <c r="H458" s="18" t="n">
        <v>5.34303778746688</v>
      </c>
      <c r="I458" s="18" t="n">
        <v>5.25000000000001</v>
      </c>
      <c r="J458" s="18" t="n">
        <v>5.30109125171269</v>
      </c>
    </row>
    <row r="459" customFormat="false" ht="15" hidden="false" customHeight="false" outlineLevel="0" collapsed="false">
      <c r="A459" s="28" t="n">
        <v>45405.3418049182</v>
      </c>
      <c r="B459" s="29" t="n">
        <v>7</v>
      </c>
      <c r="C459" s="18" t="n">
        <v>9.43595732427679</v>
      </c>
      <c r="D459" s="18" t="n">
        <v>6.09548741000723</v>
      </c>
      <c r="E459" s="18" t="n">
        <v>7.00000000000881</v>
      </c>
      <c r="F459" s="18" t="n">
        <v>8.28332398147899</v>
      </c>
      <c r="G459" s="18" t="n">
        <v>4.97019075425335</v>
      </c>
      <c r="H459" s="18" t="n">
        <v>5.33027204539812</v>
      </c>
      <c r="I459" s="18" t="n">
        <v>5.25000000000001</v>
      </c>
      <c r="J459" s="18" t="n">
        <v>5.23460989223761</v>
      </c>
    </row>
    <row r="460" customFormat="false" ht="15" hidden="false" customHeight="false" outlineLevel="0" collapsed="false">
      <c r="A460" s="28" t="n">
        <v>45505.3535710084</v>
      </c>
      <c r="B460" s="29" t="n">
        <v>7</v>
      </c>
      <c r="C460" s="18" t="n">
        <v>8.49432630109471</v>
      </c>
      <c r="D460" s="18" t="n">
        <v>8.90080409714317</v>
      </c>
      <c r="E460" s="18" t="n">
        <v>7.000000000009</v>
      </c>
      <c r="F460" s="18" t="n">
        <v>8.64312094332623</v>
      </c>
      <c r="G460" s="18" t="n">
        <v>4.96041356706234</v>
      </c>
      <c r="H460" s="18" t="n">
        <v>5.16490052877632</v>
      </c>
      <c r="I460" s="18" t="n">
        <v>5.25000000000001</v>
      </c>
      <c r="J460" s="18" t="n">
        <v>5.20250961982362</v>
      </c>
    </row>
    <row r="461" customFormat="false" ht="15" hidden="false" customHeight="false" outlineLevel="0" collapsed="false">
      <c r="A461" s="28" t="n">
        <v>45605.3653370985</v>
      </c>
      <c r="B461" s="29" t="n">
        <v>7</v>
      </c>
      <c r="C461" s="18" t="n">
        <v>4.59544079658276</v>
      </c>
      <c r="D461" s="18" t="n">
        <v>8.48114224483042</v>
      </c>
      <c r="E461" s="18" t="n">
        <v>7.00000000000917</v>
      </c>
      <c r="F461" s="18" t="n">
        <v>7.54382365472639</v>
      </c>
      <c r="G461" s="18" t="n">
        <v>5.48026370989006</v>
      </c>
      <c r="H461" s="18" t="n">
        <v>5.15957972548212</v>
      </c>
      <c r="I461" s="18" t="n">
        <v>5.25000000000001</v>
      </c>
      <c r="J461" s="18" t="n">
        <v>5.20792768846721</v>
      </c>
    </row>
    <row r="462" customFormat="false" ht="15" hidden="false" customHeight="false" outlineLevel="0" collapsed="false">
      <c r="A462" s="28" t="n">
        <v>45705.3771031886</v>
      </c>
      <c r="B462" s="29" t="n">
        <v>7</v>
      </c>
      <c r="C462" s="18" t="n">
        <v>4.84740948628354</v>
      </c>
      <c r="D462" s="18" t="n">
        <v>5.20722058208591</v>
      </c>
      <c r="E462" s="18" t="n">
        <v>7.00000000000933</v>
      </c>
      <c r="F462" s="18" t="n">
        <v>5.37601357208476</v>
      </c>
      <c r="G462" s="18" t="n">
        <v>5.55228558359804</v>
      </c>
      <c r="H462" s="18" t="n">
        <v>5.32481063109688</v>
      </c>
      <c r="I462" s="18" t="n">
        <v>5.25</v>
      </c>
      <c r="J462" s="18" t="n">
        <v>5.29072051634863</v>
      </c>
    </row>
    <row r="463" customFormat="false" ht="15" hidden="false" customHeight="false" outlineLevel="0" collapsed="false">
      <c r="A463" s="28" t="n">
        <v>45805.3888692787</v>
      </c>
      <c r="B463" s="29" t="n">
        <v>7</v>
      </c>
      <c r="C463" s="18" t="n">
        <v>9.15747816956328</v>
      </c>
      <c r="D463" s="18" t="n">
        <v>5.30495060159661</v>
      </c>
      <c r="E463" s="18" t="n">
        <v>7.00000000000919</v>
      </c>
      <c r="F463" s="18" t="n">
        <v>5.69452882168109</v>
      </c>
      <c r="G463" s="18" t="n">
        <v>5.0891858991958</v>
      </c>
      <c r="H463" s="18" t="n">
        <v>5.3447028835962</v>
      </c>
      <c r="I463" s="18" t="n">
        <v>5.25</v>
      </c>
      <c r="J463" s="18" t="n">
        <v>5.30043069428124</v>
      </c>
    </row>
    <row r="464" customFormat="false" ht="15" hidden="false" customHeight="false" outlineLevel="0" collapsed="false">
      <c r="A464" s="28" t="n">
        <v>45905.4006353689</v>
      </c>
      <c r="B464" s="29" t="n">
        <v>7</v>
      </c>
      <c r="C464" s="18" t="n">
        <v>9.3721307973174</v>
      </c>
      <c r="D464" s="18" t="n">
        <v>8.6364340846859</v>
      </c>
      <c r="E464" s="18" t="n">
        <v>7.00000000000899</v>
      </c>
      <c r="F464" s="18" t="n">
        <v>8.46018757831898</v>
      </c>
      <c r="G464" s="18" t="n">
        <v>4.95927595700243</v>
      </c>
      <c r="H464" s="18" t="n">
        <v>5.18984570013004</v>
      </c>
      <c r="I464" s="18" t="n">
        <v>5.25</v>
      </c>
      <c r="J464" s="18" t="n">
        <v>5.223687049145</v>
      </c>
    </row>
    <row r="465" customFormat="false" ht="15" hidden="false" customHeight="false" outlineLevel="0" collapsed="false">
      <c r="A465" s="28" t="n">
        <v>46005.412401459</v>
      </c>
      <c r="B465" s="29" t="n">
        <v>7</v>
      </c>
      <c r="C465" s="18" t="n">
        <v>5.56786602779788</v>
      </c>
      <c r="D465" s="18" t="n">
        <v>8.82130368812138</v>
      </c>
      <c r="E465" s="18" t="n">
        <v>7.00000000000881</v>
      </c>
      <c r="F465" s="18" t="n">
        <v>8.57759652289872</v>
      </c>
      <c r="G465" s="18" t="n">
        <v>5.00226995149082</v>
      </c>
      <c r="H465" s="18" t="n">
        <v>5.15361127316765</v>
      </c>
      <c r="I465" s="18" t="n">
        <v>5.25</v>
      </c>
      <c r="J465" s="18" t="n">
        <v>5.20105423070839</v>
      </c>
    </row>
    <row r="466" customFormat="false" ht="15" hidden="false" customHeight="false" outlineLevel="0" collapsed="false">
      <c r="A466" s="28" t="n">
        <v>46105.4241675491</v>
      </c>
      <c r="B466" s="29" t="n">
        <v>7</v>
      </c>
      <c r="C466" s="18" t="n">
        <v>4.52597270841452</v>
      </c>
      <c r="D466" s="18" t="n">
        <v>5.61904487074722</v>
      </c>
      <c r="E466" s="18" t="n">
        <v>7.00000000000866</v>
      </c>
      <c r="F466" s="18" t="n">
        <v>6.16822978044407</v>
      </c>
      <c r="G466" s="18" t="n">
        <v>5.50677654656964</v>
      </c>
      <c r="H466" s="18" t="n">
        <v>5.27490758722272</v>
      </c>
      <c r="I466" s="18" t="n">
        <v>5.25</v>
      </c>
      <c r="J466" s="18" t="n">
        <v>5.22391958903332</v>
      </c>
    </row>
    <row r="467" customFormat="false" ht="15" hidden="false" customHeight="false" outlineLevel="0" collapsed="false">
      <c r="A467" s="28" t="n">
        <v>46205.4359336393</v>
      </c>
      <c r="B467" s="29" t="n">
        <v>7</v>
      </c>
      <c r="C467" s="18" t="n">
        <v>5.05392782529458</v>
      </c>
      <c r="D467" s="18" t="n">
        <v>5.09640699515209</v>
      </c>
      <c r="E467" s="18" t="n">
        <v>7.00000000000851</v>
      </c>
      <c r="F467" s="18" t="n">
        <v>5.33306604818162</v>
      </c>
      <c r="G467" s="18" t="n">
        <v>5.55093431903036</v>
      </c>
      <c r="H467" s="18" t="n">
        <v>5.34567873697059</v>
      </c>
      <c r="I467" s="18" t="n">
        <v>5.25</v>
      </c>
      <c r="J467" s="18" t="n">
        <v>5.29562676795829</v>
      </c>
    </row>
    <row r="468" customFormat="false" ht="15" hidden="false" customHeight="false" outlineLevel="0" collapsed="false">
      <c r="A468" s="28" t="n">
        <v>46305.4476997294</v>
      </c>
      <c r="B468" s="29" t="n">
        <v>7</v>
      </c>
      <c r="C468" s="18" t="n">
        <v>9.30161027943659</v>
      </c>
      <c r="D468" s="18" t="n">
        <v>7.65920202837531</v>
      </c>
      <c r="E468" s="18" t="n">
        <v>7.00000000000838</v>
      </c>
      <c r="F468" s="18" t="n">
        <v>5.96950339806801</v>
      </c>
      <c r="G468" s="18" t="n">
        <v>5.0503938838043</v>
      </c>
      <c r="H468" s="18" t="n">
        <v>5.3186302361412</v>
      </c>
      <c r="I468" s="18" t="n">
        <v>5.25</v>
      </c>
      <c r="J468" s="18" t="n">
        <v>5.29804774377341</v>
      </c>
    </row>
    <row r="469" customFormat="false" ht="15" hidden="false" customHeight="false" outlineLevel="0" collapsed="false">
      <c r="A469" s="28" t="n">
        <v>46405.4594658195</v>
      </c>
      <c r="B469" s="29" t="n">
        <v>7</v>
      </c>
      <c r="C469" s="18" t="n">
        <v>9.28185370749851</v>
      </c>
      <c r="D469" s="18" t="n">
        <v>8.93647312292461</v>
      </c>
      <c r="E469" s="18" t="n">
        <v>7.00000000000826</v>
      </c>
      <c r="F469" s="18" t="n">
        <v>8.57807992441495</v>
      </c>
      <c r="G469" s="18" t="n">
        <v>4.95178855461583</v>
      </c>
      <c r="H469" s="18" t="n">
        <v>5.1601527700342</v>
      </c>
      <c r="I469" s="18" t="n">
        <v>5.25</v>
      </c>
      <c r="J469" s="18" t="n">
        <v>5.21638322510365</v>
      </c>
    </row>
    <row r="470" customFormat="false" ht="15" hidden="false" customHeight="false" outlineLevel="0" collapsed="false">
      <c r="A470" s="28" t="n">
        <v>46505.4712319096</v>
      </c>
      <c r="B470" s="29" t="n">
        <v>7</v>
      </c>
      <c r="C470" s="18" t="n">
        <v>5.06778089277033</v>
      </c>
      <c r="D470" s="18" t="n">
        <v>8.18997221142957</v>
      </c>
      <c r="E470" s="18" t="n">
        <v>7.00000000000816</v>
      </c>
      <c r="F470" s="18" t="n">
        <v>8.4815813519771</v>
      </c>
      <c r="G470" s="18" t="n">
        <v>5.34222445550658</v>
      </c>
      <c r="H470" s="18" t="n">
        <v>5.1655175512383</v>
      </c>
      <c r="I470" s="18" t="n">
        <v>5.25</v>
      </c>
      <c r="J470" s="18" t="n">
        <v>5.20049215977103</v>
      </c>
    </row>
    <row r="471" customFormat="false" ht="15" hidden="false" customHeight="false" outlineLevel="0" collapsed="false">
      <c r="A471" s="28" t="n">
        <v>46605.4829979998</v>
      </c>
      <c r="B471" s="29" t="n">
        <v>7</v>
      </c>
      <c r="C471" s="18" t="n">
        <v>4.56301971773714</v>
      </c>
      <c r="D471" s="18" t="n">
        <v>5.13105868697284</v>
      </c>
      <c r="E471" s="18" t="n">
        <v>7.00000000000806</v>
      </c>
      <c r="F471" s="18" t="n">
        <v>5.7830139708391</v>
      </c>
      <c r="G471" s="18" t="n">
        <v>5.52997556182173</v>
      </c>
      <c r="H471" s="18" t="n">
        <v>5.33228877535141</v>
      </c>
      <c r="I471" s="18" t="n">
        <v>5.25</v>
      </c>
      <c r="J471" s="18" t="n">
        <v>5.2646397087661</v>
      </c>
    </row>
    <row r="472" customFormat="false" ht="15" hidden="false" customHeight="false" outlineLevel="0" collapsed="false">
      <c r="A472" s="28" t="n">
        <v>46705.4947640899</v>
      </c>
      <c r="B472" s="29" t="n">
        <v>7</v>
      </c>
      <c r="C472" s="18" t="n">
        <v>5.50742315110469</v>
      </c>
      <c r="D472" s="18" t="n">
        <v>5.46392684253593</v>
      </c>
      <c r="E472" s="18" t="n">
        <v>7.00000000000798</v>
      </c>
      <c r="F472" s="18" t="n">
        <v>5.37061804446309</v>
      </c>
      <c r="G472" s="18" t="n">
        <v>5.53963705113112</v>
      </c>
      <c r="H472" s="18" t="n">
        <v>5.34145388844417</v>
      </c>
      <c r="I472" s="18" t="n">
        <v>5.25</v>
      </c>
      <c r="J472" s="18" t="n">
        <v>5.29931708734093</v>
      </c>
    </row>
    <row r="473" customFormat="false" ht="15" hidden="false" customHeight="false" outlineLevel="0" collapsed="false">
      <c r="A473" s="28" t="n">
        <v>46805.50653018</v>
      </c>
      <c r="B473" s="29" t="n">
        <v>7</v>
      </c>
      <c r="C473" s="18" t="n">
        <v>9.40383486695884</v>
      </c>
      <c r="D473" s="18" t="n">
        <v>8.76324768464781</v>
      </c>
      <c r="E473" s="18" t="n">
        <v>7.0000000000079</v>
      </c>
      <c r="F473" s="18" t="n">
        <v>6.88101486538483</v>
      </c>
      <c r="G473" s="18" t="n">
        <v>5.01981707642364</v>
      </c>
      <c r="H473" s="18" t="n">
        <v>5.17768768869886</v>
      </c>
      <c r="I473" s="18" t="n">
        <v>5.25</v>
      </c>
      <c r="J473" s="18" t="n">
        <v>5.29188337780494</v>
      </c>
    </row>
    <row r="474" customFormat="false" ht="15" hidden="false" customHeight="false" outlineLevel="0" collapsed="false">
      <c r="A474" s="28" t="n">
        <v>46905.5182962702</v>
      </c>
      <c r="B474" s="29" t="n">
        <v>7</v>
      </c>
      <c r="C474" s="18" t="n">
        <v>9.15223414727252</v>
      </c>
      <c r="D474" s="18" t="n">
        <v>8.71665863233828</v>
      </c>
      <c r="E474" s="18" t="n">
        <v>7.00000000000783</v>
      </c>
      <c r="F474" s="18" t="n">
        <v>8.65757938255701</v>
      </c>
      <c r="G474" s="18" t="n">
        <v>4.94785329785873</v>
      </c>
      <c r="H474" s="18" t="n">
        <v>5.15503055983721</v>
      </c>
      <c r="I474" s="18" t="n">
        <v>5.25</v>
      </c>
      <c r="J474" s="18" t="n">
        <v>5.21053862866686</v>
      </c>
    </row>
    <row r="475" customFormat="false" ht="15" hidden="false" customHeight="false" outlineLevel="0" collapsed="false">
      <c r="A475" s="28" t="n">
        <v>47005.5300623603</v>
      </c>
      <c r="B475" s="29" t="n">
        <v>7</v>
      </c>
      <c r="C475" s="18" t="n">
        <v>4.84254623401045</v>
      </c>
      <c r="D475" s="18" t="n">
        <v>5.39502135187173</v>
      </c>
      <c r="E475" s="18" t="n">
        <v>7.00000000000777</v>
      </c>
      <c r="F475" s="18" t="n">
        <v>8.33810856098579</v>
      </c>
      <c r="G475" s="18" t="n">
        <v>5.4107803656678</v>
      </c>
      <c r="H475" s="18" t="n">
        <v>5.30705283912322</v>
      </c>
      <c r="I475" s="18" t="n">
        <v>5.25</v>
      </c>
      <c r="J475" s="18" t="n">
        <v>5.20097435364429</v>
      </c>
    </row>
    <row r="476" customFormat="false" ht="15" hidden="false" customHeight="false" outlineLevel="0" collapsed="false">
      <c r="A476" s="28" t="n">
        <v>47105.5418284504</v>
      </c>
      <c r="B476" s="29" t="n">
        <v>7</v>
      </c>
      <c r="C476" s="18" t="n">
        <v>4.62699412681423</v>
      </c>
      <c r="D476" s="18" t="n">
        <v>5.16615602872801</v>
      </c>
      <c r="E476" s="18" t="n">
        <v>7.00000000000771</v>
      </c>
      <c r="F476" s="18" t="n">
        <v>5.58564944053158</v>
      </c>
      <c r="G476" s="18" t="n">
        <v>5.54089466332645</v>
      </c>
      <c r="H476" s="18" t="n">
        <v>5.34642105814274</v>
      </c>
      <c r="I476" s="18" t="n">
        <v>5.25</v>
      </c>
      <c r="J476" s="18" t="n">
        <v>5.27739996937825</v>
      </c>
    </row>
    <row r="477" customFormat="false" ht="15" hidden="false" customHeight="false" outlineLevel="0" collapsed="false">
      <c r="A477" s="28" t="n">
        <v>47205.5535945405</v>
      </c>
      <c r="B477" s="29" t="n">
        <v>7</v>
      </c>
      <c r="C477" s="18" t="n">
        <v>8.43467490276009</v>
      </c>
      <c r="D477" s="18" t="n">
        <v>8.33083779310629</v>
      </c>
      <c r="E477" s="18" t="n">
        <v>7.00000000000766</v>
      </c>
      <c r="F477" s="18" t="n">
        <v>5.44070625696162</v>
      </c>
      <c r="G477" s="18" t="n">
        <v>5.4975870614462</v>
      </c>
      <c r="H477" s="18" t="n">
        <v>5.23923657471944</v>
      </c>
      <c r="I477" s="18" t="n">
        <v>5.25</v>
      </c>
      <c r="J477" s="18" t="n">
        <v>5.3007107252487</v>
      </c>
    </row>
    <row r="478" customFormat="false" ht="15" hidden="false" customHeight="false" outlineLevel="0" collapsed="false">
      <c r="A478" s="28" t="n">
        <v>47305.5653606307</v>
      </c>
      <c r="B478" s="29" t="n">
        <v>7</v>
      </c>
      <c r="C478" s="18" t="n">
        <v>9.4729863146698</v>
      </c>
      <c r="D478" s="18" t="n">
        <v>8.91130804612923</v>
      </c>
      <c r="E478" s="18" t="n">
        <v>7.00000000000761</v>
      </c>
      <c r="F478" s="18" t="n">
        <v>7.98777417678333</v>
      </c>
      <c r="G478" s="18" t="n">
        <v>4.99334749302629</v>
      </c>
      <c r="H478" s="18" t="n">
        <v>5.15501385570515</v>
      </c>
      <c r="I478" s="18" t="n">
        <v>5.25</v>
      </c>
      <c r="J478" s="18" t="n">
        <v>5.26594061768607</v>
      </c>
    </row>
    <row r="479" customFormat="false" ht="15" hidden="false" customHeight="false" outlineLevel="0" collapsed="false">
      <c r="A479" s="28" t="n">
        <v>47405.5771267208</v>
      </c>
      <c r="B479" s="29" t="n">
        <v>7</v>
      </c>
      <c r="C479" s="18" t="n">
        <v>8.94620617923306</v>
      </c>
      <c r="D479" s="18" t="n">
        <v>6.67326603904475</v>
      </c>
      <c r="E479" s="18" t="n">
        <v>7.00000000000757</v>
      </c>
      <c r="F479" s="18" t="n">
        <v>8.67911061067693</v>
      </c>
      <c r="G479" s="18" t="n">
        <v>4.94917260642367</v>
      </c>
      <c r="H479" s="18" t="n">
        <v>5.17813769464502</v>
      </c>
      <c r="I479" s="18" t="n">
        <v>5.25</v>
      </c>
      <c r="J479" s="18" t="n">
        <v>5.20564424813755</v>
      </c>
    </row>
    <row r="480" customFormat="false" ht="15" hidden="false" customHeight="false" outlineLevel="0" collapsed="false">
      <c r="A480" s="28" t="n">
        <v>47505.5888928109</v>
      </c>
      <c r="B480" s="29" t="n">
        <v>7</v>
      </c>
      <c r="C480" s="18" t="n">
        <v>4.69800801295539</v>
      </c>
      <c r="D480" s="18" t="n">
        <v>5.07006015661279</v>
      </c>
      <c r="E480" s="18" t="n">
        <v>7.00000000000753</v>
      </c>
      <c r="F480" s="18" t="n">
        <v>8.09486396242387</v>
      </c>
      <c r="G480" s="18" t="n">
        <v>5.44963859181951</v>
      </c>
      <c r="H480" s="18" t="n">
        <v>5.33887978854731</v>
      </c>
      <c r="I480" s="18" t="n">
        <v>5.25</v>
      </c>
      <c r="J480" s="18" t="n">
        <v>5.20308476818925</v>
      </c>
    </row>
    <row r="481" customFormat="false" ht="15" hidden="false" customHeight="false" outlineLevel="0" collapsed="false">
      <c r="A481" s="28" t="n">
        <v>47605.6006589011</v>
      </c>
      <c r="B481" s="29" t="n">
        <v>7</v>
      </c>
      <c r="C481" s="18" t="n">
        <v>4.71748792671958</v>
      </c>
      <c r="D481" s="18" t="n">
        <v>5.73177072660581</v>
      </c>
      <c r="E481" s="18" t="n">
        <v>7.0000000000075</v>
      </c>
      <c r="F481" s="18" t="n">
        <v>5.45756534050531</v>
      </c>
      <c r="G481" s="18" t="n">
        <v>5.54837076142692</v>
      </c>
      <c r="H481" s="18" t="n">
        <v>5.3359636954199</v>
      </c>
      <c r="I481" s="18" t="n">
        <v>5.25</v>
      </c>
      <c r="J481" s="18" t="n">
        <v>5.28513820104551</v>
      </c>
    </row>
    <row r="482" customFormat="false" ht="15" hidden="false" customHeight="false" outlineLevel="0" collapsed="false">
      <c r="A482" s="28" t="n">
        <v>47705.6124249912</v>
      </c>
      <c r="B482" s="29" t="n">
        <v>7</v>
      </c>
      <c r="C482" s="18" t="n">
        <v>8.93283010343327</v>
      </c>
      <c r="D482" s="18" t="n">
        <v>8.85460880398096</v>
      </c>
      <c r="E482" s="18" t="n">
        <v>7.00000000000746</v>
      </c>
      <c r="F482" s="18" t="n">
        <v>5.5458608561906</v>
      </c>
      <c r="G482" s="18" t="n">
        <v>5.15752726152101</v>
      </c>
      <c r="H482" s="18" t="n">
        <v>5.16927939452671</v>
      </c>
      <c r="I482" s="18" t="n">
        <v>5.25</v>
      </c>
      <c r="J482" s="18" t="n">
        <v>5.30109715893271</v>
      </c>
    </row>
    <row r="483" customFormat="false" ht="15" hidden="false" customHeight="false" outlineLevel="0" collapsed="false">
      <c r="A483" s="28" t="n">
        <v>47805.6241910813</v>
      </c>
      <c r="B483" s="29" t="n">
        <v>7</v>
      </c>
      <c r="C483" s="18" t="n">
        <v>9.43595732427679</v>
      </c>
      <c r="D483" s="18" t="n">
        <v>8.58673197368418</v>
      </c>
      <c r="E483" s="18" t="n">
        <v>7.00000000000744</v>
      </c>
      <c r="F483" s="18" t="n">
        <v>8.29549330849863</v>
      </c>
      <c r="G483" s="18" t="n">
        <v>4.97019075425335</v>
      </c>
      <c r="H483" s="18" t="n">
        <v>5.15744655561799</v>
      </c>
      <c r="I483" s="18" t="n">
        <v>5.25</v>
      </c>
      <c r="J483" s="18" t="n">
        <v>5.2337656298456</v>
      </c>
    </row>
    <row r="484" customFormat="false" ht="15" hidden="false" customHeight="false" outlineLevel="0" collapsed="false">
      <c r="A484" s="28" t="n">
        <v>47905.6359571714</v>
      </c>
      <c r="B484" s="29" t="n">
        <v>7</v>
      </c>
      <c r="C484" s="18" t="n">
        <v>8.49432630109445</v>
      </c>
      <c r="D484" s="18" t="n">
        <v>5.266685479799</v>
      </c>
      <c r="E484" s="18" t="n">
        <v>7.00000000000741</v>
      </c>
      <c r="F484" s="18" t="n">
        <v>8.63839066557514</v>
      </c>
      <c r="G484" s="18" t="n">
        <v>4.96041356706234</v>
      </c>
      <c r="H484" s="18" t="n">
        <v>5.31909438706588</v>
      </c>
      <c r="I484" s="18" t="n">
        <v>5.25</v>
      </c>
      <c r="J484" s="18" t="n">
        <v>5.20241010615752</v>
      </c>
    </row>
    <row r="485" customFormat="false" ht="15" hidden="false" customHeight="false" outlineLevel="0" collapsed="false">
      <c r="A485" s="28" t="n">
        <v>48005.6477232616</v>
      </c>
      <c r="B485" s="29" t="n">
        <v>7</v>
      </c>
      <c r="C485" s="18" t="n">
        <v>4.59544079658272</v>
      </c>
      <c r="D485" s="18" t="n">
        <v>5.22748295024818</v>
      </c>
      <c r="E485" s="18" t="n">
        <v>7.00000000000739</v>
      </c>
      <c r="F485" s="18" t="n">
        <v>7.45184119495312</v>
      </c>
      <c r="G485" s="18" t="n">
        <v>5.48026370989007</v>
      </c>
      <c r="H485" s="18" t="n">
        <v>5.34606245470024</v>
      </c>
      <c r="I485" s="18" t="n">
        <v>5.25</v>
      </c>
      <c r="J485" s="18" t="n">
        <v>5.2085647229297</v>
      </c>
    </row>
    <row r="486" customFormat="false" ht="15" hidden="false" customHeight="false" outlineLevel="0" collapsed="false">
      <c r="A486" s="28" t="n">
        <v>48105.6594893517</v>
      </c>
      <c r="B486" s="29" t="n">
        <v>7</v>
      </c>
      <c r="C486" s="18" t="n">
        <v>4.84740948628353</v>
      </c>
      <c r="D486" s="18" t="n">
        <v>8.51907210502318</v>
      </c>
      <c r="E486" s="18" t="n">
        <v>7.00000000000737</v>
      </c>
      <c r="F486" s="18" t="n">
        <v>5.37123037313415</v>
      </c>
      <c r="G486" s="18" t="n">
        <v>5.55228558359804</v>
      </c>
      <c r="H486" s="18" t="n">
        <v>5.20322038232835</v>
      </c>
      <c r="I486" s="18" t="n">
        <v>5.25</v>
      </c>
      <c r="J486" s="18" t="n">
        <v>5.29110424773138</v>
      </c>
    </row>
    <row r="487" customFormat="false" ht="15" hidden="false" customHeight="false" outlineLevel="0" collapsed="false">
      <c r="A487" s="28" t="n">
        <v>48205.6712554418</v>
      </c>
      <c r="B487" s="29" t="n">
        <v>7</v>
      </c>
      <c r="C487" s="18" t="n">
        <v>9.15747816956328</v>
      </c>
      <c r="D487" s="18" t="n">
        <v>8.8912925878665</v>
      </c>
      <c r="E487" s="18" t="n">
        <v>7.00000000000735</v>
      </c>
      <c r="F487" s="18" t="n">
        <v>5.70816240627037</v>
      </c>
      <c r="G487" s="18" t="n">
        <v>5.0891858991958</v>
      </c>
      <c r="H487" s="18" t="n">
        <v>5.15310614984759</v>
      </c>
      <c r="I487" s="18" t="n">
        <v>5.25</v>
      </c>
      <c r="J487" s="18" t="n">
        <v>5.3003435118908</v>
      </c>
    </row>
    <row r="488" customFormat="false" ht="15" hidden="false" customHeight="false" outlineLevel="0" collapsed="false">
      <c r="A488" s="28" t="n">
        <v>48305.6830215319</v>
      </c>
      <c r="B488" s="29" t="n">
        <v>7</v>
      </c>
      <c r="C488" s="18" t="n">
        <v>9.3721307973174</v>
      </c>
      <c r="D488" s="18" t="n">
        <v>6.00416170541251</v>
      </c>
      <c r="E488" s="18" t="n">
        <v>7.00000000000733</v>
      </c>
      <c r="F488" s="18" t="n">
        <v>8.46981572579568</v>
      </c>
      <c r="G488" s="18" t="n">
        <v>4.95927595700245</v>
      </c>
      <c r="H488" s="18" t="n">
        <v>5.19037397095007</v>
      </c>
      <c r="I488" s="18" t="n">
        <v>5.25</v>
      </c>
      <c r="J488" s="18" t="n">
        <v>5.22305819461255</v>
      </c>
    </row>
    <row r="489" customFormat="false" ht="15" hidden="false" customHeight="false" outlineLevel="0" collapsed="false">
      <c r="A489" s="28" t="n">
        <v>48405.6947876221</v>
      </c>
      <c r="B489" s="29" t="n">
        <v>7</v>
      </c>
      <c r="C489" s="18" t="n">
        <v>5.56786602779959</v>
      </c>
      <c r="D489" s="18" t="n">
        <v>5.05196716824075</v>
      </c>
      <c r="E489" s="18" t="n">
        <v>7.00000000000732</v>
      </c>
      <c r="F489" s="18" t="n">
        <v>8.56923670366734</v>
      </c>
      <c r="G489" s="18" t="n">
        <v>5.00226995149068</v>
      </c>
      <c r="H489" s="18" t="n">
        <v>5.34141481502171</v>
      </c>
      <c r="I489" s="18" t="n">
        <v>5.25</v>
      </c>
      <c r="J489" s="18" t="n">
        <v>5.20100841753695</v>
      </c>
    </row>
    <row r="490" customFormat="false" ht="15" hidden="false" customHeight="false" outlineLevel="0" collapsed="false">
      <c r="A490" s="28" t="n">
        <v>48505.7065537122</v>
      </c>
      <c r="B490" s="29" t="n">
        <v>7</v>
      </c>
      <c r="C490" s="18" t="n">
        <v>4.52597270841466</v>
      </c>
      <c r="D490" s="18" t="n">
        <v>5.90670758157912</v>
      </c>
      <c r="E490" s="18" t="n">
        <v>7.0000000000073</v>
      </c>
      <c r="F490" s="18" t="n">
        <v>6.113971906974</v>
      </c>
      <c r="G490" s="18" t="n">
        <v>5.50677654656962</v>
      </c>
      <c r="H490" s="18" t="n">
        <v>5.33294066938606</v>
      </c>
      <c r="I490" s="18" t="n">
        <v>5.25</v>
      </c>
      <c r="J490" s="18" t="n">
        <v>5.22752732559089</v>
      </c>
    </row>
    <row r="491" customFormat="false" ht="15" hidden="false" customHeight="false" outlineLevel="0" collapsed="false">
      <c r="A491" s="28" t="n">
        <v>48605.7183198023</v>
      </c>
      <c r="B491" s="29" t="n">
        <v>7</v>
      </c>
      <c r="C491" s="18" t="n">
        <v>5.0539278252947</v>
      </c>
      <c r="D491" s="18" t="n">
        <v>8.88321975450143</v>
      </c>
      <c r="E491" s="18" t="n">
        <v>7.00000000000729</v>
      </c>
      <c r="F491" s="18" t="n">
        <v>5.33439934263191</v>
      </c>
      <c r="G491" s="18" t="n">
        <v>5.55093431903035</v>
      </c>
      <c r="H491" s="18" t="n">
        <v>5.1664380517785</v>
      </c>
      <c r="I491" s="18" t="n">
        <v>5.25</v>
      </c>
      <c r="J491" s="18" t="n">
        <v>5.29602656773072</v>
      </c>
    </row>
    <row r="492" customFormat="false" ht="15" hidden="false" customHeight="false" outlineLevel="0" collapsed="false">
      <c r="A492" s="28" t="n">
        <v>48705.7300858925</v>
      </c>
      <c r="B492" s="29" t="n">
        <v>7</v>
      </c>
      <c r="C492" s="18" t="n">
        <v>9.30161027943659</v>
      </c>
      <c r="D492" s="18" t="n">
        <v>8.50987791699604</v>
      </c>
      <c r="E492" s="18" t="n">
        <v>7.00000000000728</v>
      </c>
      <c r="F492" s="18" t="n">
        <v>6.00664704598302</v>
      </c>
      <c r="G492" s="18" t="n">
        <v>5.05039388380436</v>
      </c>
      <c r="H492" s="18" t="n">
        <v>5.15905850310654</v>
      </c>
      <c r="I492" s="18" t="n">
        <v>5.25</v>
      </c>
      <c r="J492" s="18" t="n">
        <v>5.29771113382362</v>
      </c>
    </row>
    <row r="493" customFormat="false" ht="15" hidden="false" customHeight="false" outlineLevel="0" collapsed="false">
      <c r="A493" s="28" t="n">
        <v>48805.7418519826</v>
      </c>
      <c r="B493" s="29" t="n">
        <v>7</v>
      </c>
      <c r="C493" s="18" t="n">
        <v>9.28185370749851</v>
      </c>
      <c r="D493" s="18" t="n">
        <v>5.22200519298641</v>
      </c>
      <c r="E493" s="18" t="n">
        <v>7.00000000000727</v>
      </c>
      <c r="F493" s="18" t="n">
        <v>8.58672595272591</v>
      </c>
      <c r="G493" s="18" t="n">
        <v>4.95178855461584</v>
      </c>
      <c r="H493" s="18" t="n">
        <v>5.32359962526785</v>
      </c>
      <c r="I493" s="18" t="n">
        <v>5.25</v>
      </c>
      <c r="J493" s="18" t="n">
        <v>5.21573376917569</v>
      </c>
    </row>
    <row r="494" customFormat="false" ht="15" hidden="false" customHeight="false" outlineLevel="0" collapsed="false">
      <c r="A494" s="28" t="n">
        <v>48905.7536180727</v>
      </c>
      <c r="B494" s="29" t="n">
        <v>7</v>
      </c>
      <c r="C494" s="18" t="n">
        <v>5.06778089277056</v>
      </c>
      <c r="D494" s="18" t="n">
        <v>5.29614016561299</v>
      </c>
      <c r="E494" s="18" t="n">
        <v>7.00000000000726</v>
      </c>
      <c r="F494" s="18" t="n">
        <v>8.4659265667369</v>
      </c>
      <c r="G494" s="18" t="n">
        <v>5.34222445550651</v>
      </c>
      <c r="H494" s="18" t="n">
        <v>5.34479463954259</v>
      </c>
      <c r="I494" s="18" t="n">
        <v>5.25</v>
      </c>
      <c r="J494" s="18" t="n">
        <v>5.20054105614284</v>
      </c>
    </row>
    <row r="495" customFormat="false" ht="15" hidden="false" customHeight="false" outlineLevel="0" collapsed="false">
      <c r="A495" s="28" t="n">
        <v>49005.7653841628</v>
      </c>
      <c r="B495" s="29" t="n">
        <v>7</v>
      </c>
      <c r="C495" s="18" t="n">
        <v>4.56301971773716</v>
      </c>
      <c r="D495" s="18" t="n">
        <v>8.62345744469805</v>
      </c>
      <c r="E495" s="18" t="n">
        <v>7.00000000000725</v>
      </c>
      <c r="F495" s="18" t="n">
        <v>5.75281881128991</v>
      </c>
      <c r="G495" s="18" t="n">
        <v>5.52997556182172</v>
      </c>
      <c r="H495" s="18" t="n">
        <v>5.19107083510632</v>
      </c>
      <c r="I495" s="18" t="n">
        <v>5.25</v>
      </c>
      <c r="J495" s="18" t="n">
        <v>5.26686223977836</v>
      </c>
    </row>
    <row r="496" customFormat="false" ht="15" hidden="false" customHeight="false" outlineLevel="0" collapsed="false">
      <c r="A496" s="28" t="n">
        <v>49105.777150253</v>
      </c>
      <c r="B496" s="29" t="n">
        <v>7</v>
      </c>
      <c r="C496" s="18" t="n">
        <v>5.5074231511047</v>
      </c>
      <c r="D496" s="18" t="n">
        <v>8.82509938966311</v>
      </c>
      <c r="E496" s="18" t="n">
        <v>7.00000000000725</v>
      </c>
      <c r="F496" s="18" t="n">
        <v>5.37784032214501</v>
      </c>
      <c r="G496" s="18" t="n">
        <v>5.53963705113112</v>
      </c>
      <c r="H496" s="18" t="n">
        <v>5.15363249311783</v>
      </c>
      <c r="I496" s="18" t="n">
        <v>5.25</v>
      </c>
      <c r="J496" s="18" t="n">
        <v>5.29956676611773</v>
      </c>
    </row>
    <row r="497" customFormat="false" ht="15" hidden="false" customHeight="false" outlineLevel="0" collapsed="false">
      <c r="A497" s="28" t="n">
        <v>49205.7889163431</v>
      </c>
      <c r="B497" s="29" t="n">
        <v>7</v>
      </c>
      <c r="C497" s="18" t="n">
        <v>9.40383486695884</v>
      </c>
      <c r="D497" s="18" t="n">
        <v>5.63543818762217</v>
      </c>
      <c r="E497" s="18" t="n">
        <v>7.00000000000724</v>
      </c>
      <c r="F497" s="18" t="n">
        <v>7.15284241847949</v>
      </c>
      <c r="G497" s="18" t="n">
        <v>5.01981707642364</v>
      </c>
      <c r="H497" s="18" t="n">
        <v>5.2709838043413</v>
      </c>
      <c r="I497" s="18" t="n">
        <v>5.25</v>
      </c>
      <c r="J497" s="18" t="n">
        <v>5.29053725538669</v>
      </c>
    </row>
    <row r="498" customFormat="false" ht="15" hidden="false" customHeight="false" outlineLevel="0" collapsed="false">
      <c r="A498" s="28" t="n">
        <v>49305.8006824332</v>
      </c>
      <c r="B498" s="29" t="n">
        <v>7</v>
      </c>
      <c r="C498" s="18" t="n">
        <v>9.152234147272</v>
      </c>
      <c r="D498" s="18" t="n">
        <v>5.09459148676991</v>
      </c>
      <c r="E498" s="18" t="n">
        <v>7.00000000000723</v>
      </c>
      <c r="F498" s="18" t="n">
        <v>8.66486092182458</v>
      </c>
      <c r="G498" s="18" t="n">
        <v>4.94785329785873</v>
      </c>
      <c r="H498" s="18" t="n">
        <v>5.34547465287684</v>
      </c>
      <c r="I498" s="18" t="n">
        <v>5.25</v>
      </c>
      <c r="J498" s="18" t="n">
        <v>5.20976251840541</v>
      </c>
    </row>
    <row r="499" customFormat="false" ht="15" hidden="false" customHeight="false" outlineLevel="0" collapsed="false">
      <c r="A499" s="28" t="n">
        <v>49405.8124485234</v>
      </c>
      <c r="B499" s="29" t="n">
        <v>7</v>
      </c>
      <c r="C499" s="18" t="n">
        <v>4.84254623401039</v>
      </c>
      <c r="D499" s="18" t="n">
        <v>7.58845096083619</v>
      </c>
      <c r="E499" s="18" t="n">
        <v>7.00000000000723</v>
      </c>
      <c r="F499" s="18" t="n">
        <v>8.304267789298</v>
      </c>
      <c r="G499" s="18" t="n">
        <v>5.41078036566782</v>
      </c>
      <c r="H499" s="18" t="n">
        <v>5.31955174323234</v>
      </c>
      <c r="I499" s="18" t="n">
        <v>5.25</v>
      </c>
      <c r="J499" s="18" t="n">
        <v>5.20126617084868</v>
      </c>
    </row>
    <row r="500" customFormat="false" ht="15" hidden="false" customHeight="false" outlineLevel="0" collapsed="false">
      <c r="A500" s="28" t="n">
        <v>49505.8242146135</v>
      </c>
      <c r="B500" s="29" t="n">
        <v>7</v>
      </c>
      <c r="C500" s="18" t="n">
        <v>4.62699412681428</v>
      </c>
      <c r="D500" s="18" t="n">
        <v>8.93465802533419</v>
      </c>
      <c r="E500" s="18" t="n">
        <v>7.00000000000722</v>
      </c>
      <c r="F500" s="18" t="n">
        <v>5.56000494518799</v>
      </c>
      <c r="G500" s="18" t="n">
        <v>5.54089466332646</v>
      </c>
      <c r="H500" s="18" t="n">
        <v>5.16039331395973</v>
      </c>
      <c r="I500" s="18" t="n">
        <v>5.25</v>
      </c>
      <c r="J500" s="18" t="n">
        <v>5.27899362400747</v>
      </c>
    </row>
    <row r="501" customFormat="false" ht="15" hidden="false" customHeight="false" outlineLevel="0" collapsed="false">
      <c r="A501" s="28" t="n">
        <v>49605.8359807036</v>
      </c>
      <c r="B501" s="29" t="n">
        <v>7</v>
      </c>
      <c r="C501" s="18" t="n">
        <v>8.43467490276069</v>
      </c>
      <c r="D501" s="18" t="n">
        <v>8.20737558251309</v>
      </c>
      <c r="E501" s="18" t="n">
        <v>7.00000000000722</v>
      </c>
      <c r="F501" s="18" t="n">
        <v>5.45818292596296</v>
      </c>
      <c r="G501" s="18" t="n">
        <v>5.49758706144615</v>
      </c>
      <c r="H501" s="18" t="n">
        <v>5.16520671730636</v>
      </c>
      <c r="I501" s="18" t="n">
        <v>5.25</v>
      </c>
      <c r="J501" s="18" t="n">
        <v>5.30084482299285</v>
      </c>
    </row>
    <row r="502" customFormat="false" ht="15" hidden="false" customHeight="false" outlineLevel="0" collapsed="false">
      <c r="A502" s="28" t="n">
        <v>49705.8477467937</v>
      </c>
      <c r="B502" s="29" t="n">
        <v>7</v>
      </c>
      <c r="C502" s="18" t="n">
        <v>9.4729863146698</v>
      </c>
      <c r="D502" s="18" t="n">
        <v>5.13399592896878</v>
      </c>
      <c r="E502" s="18" t="n">
        <v>7.00000000000722</v>
      </c>
      <c r="F502" s="18" t="n">
        <v>8.06562212223932</v>
      </c>
      <c r="G502" s="18" t="n">
        <v>4.99334749302629</v>
      </c>
      <c r="H502" s="18" t="n">
        <v>5.33199930136615</v>
      </c>
      <c r="I502" s="18" t="n">
        <v>5.25</v>
      </c>
      <c r="J502" s="18" t="n">
        <v>5.25445219157482</v>
      </c>
    </row>
    <row r="503" customFormat="false" ht="15" hidden="false" customHeight="false" outlineLevel="0" collapsed="false">
      <c r="A503" s="28" t="n">
        <v>49805.8595128839</v>
      </c>
      <c r="B503" s="29" t="n">
        <v>7</v>
      </c>
      <c r="C503" s="18" t="n">
        <v>8.94620617923306</v>
      </c>
      <c r="D503" s="18" t="n">
        <v>5.45615992856539</v>
      </c>
      <c r="E503" s="18" t="n">
        <v>7.00000000000721</v>
      </c>
      <c r="F503" s="18" t="n">
        <v>8.66826069872815</v>
      </c>
      <c r="G503" s="18" t="n">
        <v>4.94917260642361</v>
      </c>
      <c r="H503" s="18" t="n">
        <v>5.34161580255597</v>
      </c>
      <c r="I503" s="18" t="n">
        <v>5.25</v>
      </c>
      <c r="J503" s="18" t="n">
        <v>5.20467933311004</v>
      </c>
    </row>
    <row r="504" customFormat="false" ht="15" hidden="false" customHeight="false" outlineLevel="0" collapsed="false">
      <c r="A504" s="28" t="n">
        <v>49905.871278974</v>
      </c>
      <c r="B504" s="29" t="n">
        <v>7</v>
      </c>
      <c r="C504" s="18" t="n">
        <v>4.69800801295539</v>
      </c>
      <c r="D504" s="18" t="n">
        <v>8.75887145841988</v>
      </c>
      <c r="E504" s="18" t="n">
        <v>7.00000000000721</v>
      </c>
      <c r="F504" s="18" t="n">
        <v>7.99636529590884</v>
      </c>
      <c r="G504" s="18" t="n">
        <v>5.4496385918195</v>
      </c>
      <c r="H504" s="18" t="n">
        <v>5.17810398111064</v>
      </c>
      <c r="I504" s="18" t="n">
        <v>5.25</v>
      </c>
      <c r="J504" s="18" t="n">
        <v>5.20411913596631</v>
      </c>
    </row>
    <row r="505" customFormat="false" ht="15" hidden="false" customHeight="false" outlineLevel="0" collapsed="false">
      <c r="A505" s="28" t="n">
        <v>50005.8830450641</v>
      </c>
      <c r="B505" s="29" t="n">
        <v>7</v>
      </c>
      <c r="C505" s="18" t="n">
        <v>4.71748792671955</v>
      </c>
      <c r="D505" s="18" t="n">
        <v>8.72220920819566</v>
      </c>
      <c r="E505" s="18" t="n">
        <v>7.00000000000721</v>
      </c>
      <c r="F505" s="18" t="n">
        <v>5.43253528264776</v>
      </c>
      <c r="G505" s="18" t="n">
        <v>5.54837076142692</v>
      </c>
      <c r="H505" s="18" t="n">
        <v>5.15493329116379</v>
      </c>
      <c r="I505" s="18" t="n">
        <v>5.25</v>
      </c>
      <c r="J505" s="18" t="n">
        <v>5.28691324676312</v>
      </c>
    </row>
    <row r="506" customFormat="false" ht="15" hidden="false" customHeight="false" outlineLevel="0" collapsed="false">
      <c r="A506" s="28" t="n">
        <v>50105.8948111543</v>
      </c>
      <c r="B506" s="29" t="n">
        <v>7</v>
      </c>
      <c r="C506" s="18" t="n">
        <v>8.93283010343327</v>
      </c>
      <c r="D506" s="18" t="n">
        <v>5.40281237455957</v>
      </c>
      <c r="E506" s="18" t="n">
        <v>7.0000000000072</v>
      </c>
      <c r="F506" s="18" t="n">
        <v>5.5895350020826</v>
      </c>
      <c r="G506" s="18" t="n">
        <v>5.15752726152104</v>
      </c>
      <c r="H506" s="18" t="n">
        <v>5.30620696600851</v>
      </c>
      <c r="I506" s="18" t="n">
        <v>5.25</v>
      </c>
      <c r="J506" s="18" t="n">
        <v>5.30095131326441</v>
      </c>
    </row>
    <row r="507" customFormat="false" ht="15" hidden="false" customHeight="false" outlineLevel="0" collapsed="false">
      <c r="A507" s="28" t="n">
        <v>50205.9065772444</v>
      </c>
      <c r="B507" s="29" t="n">
        <v>7</v>
      </c>
      <c r="C507" s="18" t="n">
        <v>9.43595732427679</v>
      </c>
      <c r="D507" s="18" t="n">
        <v>5.16098928116734</v>
      </c>
      <c r="E507" s="18" t="n">
        <v>7.0000000000072</v>
      </c>
      <c r="F507" s="18" t="n">
        <v>8.35758508968251</v>
      </c>
      <c r="G507" s="18" t="n">
        <v>4.97019075425362</v>
      </c>
      <c r="H507" s="18" t="n">
        <v>5.34646892402831</v>
      </c>
      <c r="I507" s="18" t="n">
        <v>5.25</v>
      </c>
      <c r="J507" s="18" t="n">
        <v>5.22965581572413</v>
      </c>
    </row>
    <row r="508" customFormat="false" ht="15" hidden="false" customHeight="false" outlineLevel="0" collapsed="false">
      <c r="A508" s="28" t="n">
        <v>50305.9183433345</v>
      </c>
      <c r="B508" s="29" t="n">
        <v>7</v>
      </c>
      <c r="C508" s="18" t="n">
        <v>8.49432630109557</v>
      </c>
      <c r="D508" s="18" t="n">
        <v>8.31040934703448</v>
      </c>
      <c r="E508" s="18" t="n">
        <v>7.0000000000072</v>
      </c>
      <c r="F508" s="18" t="n">
        <v>8.61382865170907</v>
      </c>
      <c r="G508" s="18" t="n">
        <v>4.96041356706232</v>
      </c>
      <c r="H508" s="18" t="n">
        <v>5.24738572805306</v>
      </c>
      <c r="I508" s="18" t="n">
        <v>5.25</v>
      </c>
      <c r="J508" s="18" t="n">
        <v>5.20188087585171</v>
      </c>
    </row>
    <row r="509" customFormat="false" ht="15" hidden="false" customHeight="false" outlineLevel="0" collapsed="false">
      <c r="A509" s="28" t="n">
        <v>50405.9301094246</v>
      </c>
      <c r="B509" s="29" t="n">
        <v>7</v>
      </c>
      <c r="C509" s="18" t="n">
        <v>4.59544079658286</v>
      </c>
      <c r="D509" s="18" t="n">
        <v>8.91715581422424</v>
      </c>
      <c r="E509" s="18" t="n">
        <v>7.0000000000072</v>
      </c>
      <c r="F509" s="18" t="n">
        <v>6.7412543214289</v>
      </c>
      <c r="G509" s="18" t="n">
        <v>5.48026370989004</v>
      </c>
      <c r="H509" s="18" t="n">
        <v>5.15534445061231</v>
      </c>
      <c r="I509" s="18" t="n">
        <v>5.25</v>
      </c>
      <c r="J509" s="18" t="n">
        <v>5.21264385859433</v>
      </c>
    </row>
    <row r="510" customFormat="false" ht="15" hidden="false" customHeight="false" outlineLevel="0" collapsed="false">
      <c r="A510" s="28" t="n">
        <v>50505.9418755148</v>
      </c>
      <c r="B510" s="29" t="n">
        <v>7</v>
      </c>
      <c r="C510" s="18" t="n">
        <v>4.84740948628355</v>
      </c>
      <c r="D510" s="18" t="n">
        <v>6.9860952272718</v>
      </c>
      <c r="E510" s="18" t="n">
        <v>7.00000000000719</v>
      </c>
      <c r="F510" s="18" t="n">
        <v>5.3497704490645</v>
      </c>
      <c r="G510" s="18" t="n">
        <v>5.55228558359803</v>
      </c>
      <c r="H510" s="18" t="n">
        <v>5.17644108075612</v>
      </c>
      <c r="I510" s="18" t="n">
        <v>5.25</v>
      </c>
      <c r="J510" s="18" t="n">
        <v>5.29328037412561</v>
      </c>
    </row>
    <row r="511" customFormat="false" ht="15" hidden="false" customHeight="false" outlineLevel="0" collapsed="false">
      <c r="A511" s="28" t="n">
        <v>50605.9536416049</v>
      </c>
      <c r="B511" s="29" t="n">
        <v>7</v>
      </c>
      <c r="C511" s="18" t="n">
        <v>9.15747816956328</v>
      </c>
      <c r="D511" s="18" t="n">
        <v>5.07428487890951</v>
      </c>
      <c r="E511" s="18" t="n">
        <v>7.00000000000719</v>
      </c>
      <c r="F511" s="18" t="n">
        <v>5.82395242187798</v>
      </c>
      <c r="G511" s="18" t="n">
        <v>5.0891858991958</v>
      </c>
      <c r="H511" s="18" t="n">
        <v>5.33814517586464</v>
      </c>
      <c r="I511" s="18" t="n">
        <v>5.25</v>
      </c>
      <c r="J511" s="18" t="n">
        <v>5.29931345453554</v>
      </c>
    </row>
    <row r="512" customFormat="false" ht="15" hidden="false" customHeight="false" outlineLevel="0" collapsed="false">
      <c r="A512" s="28" t="n">
        <v>50705.965407695</v>
      </c>
      <c r="B512" s="29" t="n">
        <v>7</v>
      </c>
      <c r="C512" s="18" t="n">
        <v>9.3721307973174</v>
      </c>
      <c r="D512" s="18" t="n">
        <v>5.66651348026432</v>
      </c>
      <c r="E512" s="18" t="n">
        <v>7.00000000000719</v>
      </c>
      <c r="F512" s="18" t="n">
        <v>8.52956446861089</v>
      </c>
      <c r="G512" s="18" t="n">
        <v>4.95927595700242</v>
      </c>
      <c r="H512" s="18" t="n">
        <v>5.33730555661735</v>
      </c>
      <c r="I512" s="18" t="n">
        <v>5.25</v>
      </c>
      <c r="J512" s="18" t="n">
        <v>5.21933072036275</v>
      </c>
    </row>
    <row r="513" customFormat="false" ht="15" hidden="false" customHeight="false" outlineLevel="0" collapsed="false">
      <c r="A513" s="28" t="n">
        <v>50805.9771737852</v>
      </c>
      <c r="B513" s="29" t="n">
        <v>7</v>
      </c>
      <c r="C513" s="18" t="n">
        <v>5.56786602779772</v>
      </c>
      <c r="D513" s="18" t="n">
        <v>8.84046202839723</v>
      </c>
      <c r="E513" s="18" t="n">
        <v>7.00000000000719</v>
      </c>
      <c r="F513" s="18" t="n">
        <v>8.52373625099179</v>
      </c>
      <c r="G513" s="18" t="n">
        <v>5.00226995149084</v>
      </c>
      <c r="H513" s="18" t="n">
        <v>5.17100010770295</v>
      </c>
      <c r="I513" s="18" t="n">
        <v>5.25</v>
      </c>
      <c r="J513" s="18" t="n">
        <v>5.2006560795034</v>
      </c>
    </row>
    <row r="514" customFormat="false" ht="15" hidden="false" customHeight="false" outlineLevel="0" collapsed="false">
      <c r="A514" s="28" t="n">
        <v>50905.9889398753</v>
      </c>
      <c r="B514" s="29" t="n">
        <v>7</v>
      </c>
      <c r="C514" s="18" t="n">
        <v>4.52597270841453</v>
      </c>
      <c r="D514" s="18" t="n">
        <v>8.6440506287739</v>
      </c>
      <c r="E514" s="18" t="n">
        <v>7.00000000000719</v>
      </c>
      <c r="F514" s="18" t="n">
        <v>5.90079938138529</v>
      </c>
      <c r="G514" s="18" t="n">
        <v>5.50677654656964</v>
      </c>
      <c r="H514" s="18" t="n">
        <v>5.15615841984324</v>
      </c>
      <c r="I514" s="18" t="n">
        <v>5.25</v>
      </c>
      <c r="J514" s="18" t="n">
        <v>5.2542771856939</v>
      </c>
    </row>
    <row r="515" customFormat="false" ht="15" hidden="false" customHeight="false" outlineLevel="0" collapsed="false">
      <c r="A515" s="28" t="n">
        <v>51006.0007059654</v>
      </c>
      <c r="B515" s="29" t="n">
        <v>7</v>
      </c>
      <c r="C515" s="18" t="n">
        <v>5.05392782529464</v>
      </c>
      <c r="D515" s="18" t="n">
        <v>5.30819319219129</v>
      </c>
      <c r="E515" s="18" t="n">
        <v>7.00000000000719</v>
      </c>
      <c r="F515" s="18" t="n">
        <v>5.35956551621522</v>
      </c>
      <c r="G515" s="18" t="n">
        <v>5.55093431903036</v>
      </c>
      <c r="H515" s="18" t="n">
        <v>5.31511935410314</v>
      </c>
      <c r="I515" s="18" t="n">
        <v>5.25</v>
      </c>
      <c r="J515" s="18" t="n">
        <v>5.29826598243893</v>
      </c>
    </row>
    <row r="516" customFormat="false" ht="15" hidden="false" customHeight="false" outlineLevel="0" collapsed="false">
      <c r="A516" s="28" t="n">
        <v>51106.0124720555</v>
      </c>
      <c r="B516" s="29" t="n">
        <v>7</v>
      </c>
      <c r="C516" s="18" t="n">
        <v>9.30161027943659</v>
      </c>
      <c r="D516" s="18" t="n">
        <v>5.19271270230713</v>
      </c>
      <c r="E516" s="18" t="n">
        <v>7.00000000000719</v>
      </c>
      <c r="F516" s="18" t="n">
        <v>6.40656227160615</v>
      </c>
      <c r="G516" s="18" t="n">
        <v>5.0503938838043</v>
      </c>
      <c r="H516" s="18" t="n">
        <v>5.34652985686887</v>
      </c>
      <c r="I516" s="18" t="n">
        <v>5.25</v>
      </c>
      <c r="J516" s="18" t="n">
        <v>5.294380678232</v>
      </c>
    </row>
    <row r="517" customFormat="false" ht="15" hidden="false" customHeight="false" outlineLevel="0" collapsed="false">
      <c r="A517" s="28" t="n">
        <v>51206.0242381457</v>
      </c>
      <c r="B517" s="29" t="n">
        <v>7</v>
      </c>
      <c r="C517" s="18" t="n">
        <v>9.28185370749851</v>
      </c>
      <c r="D517" s="18" t="n">
        <v>8.43883631605881</v>
      </c>
      <c r="E517" s="18" t="n">
        <v>7.00000000000719</v>
      </c>
      <c r="F517" s="18" t="n">
        <v>8.63601958964306</v>
      </c>
      <c r="G517" s="18" t="n">
        <v>4.95178855461583</v>
      </c>
      <c r="H517" s="18" t="n">
        <v>5.21430388409372</v>
      </c>
      <c r="I517" s="18" t="n">
        <v>5.25</v>
      </c>
      <c r="J517" s="18" t="n">
        <v>5.21223263167884</v>
      </c>
    </row>
    <row r="518" customFormat="false" ht="15" hidden="false" customHeight="false" outlineLevel="0" collapsed="false">
      <c r="A518" s="28" t="n">
        <v>51306.0360042358</v>
      </c>
      <c r="B518" s="29" t="n">
        <v>7</v>
      </c>
      <c r="C518" s="18" t="n">
        <v>5.06778089277036</v>
      </c>
      <c r="D518" s="18" t="n">
        <v>8.89985785591182</v>
      </c>
      <c r="E518" s="18" t="n">
        <v>7.00000000000719</v>
      </c>
      <c r="F518" s="18" t="n">
        <v>8.38911517710708</v>
      </c>
      <c r="G518" s="18" t="n">
        <v>5.34222445550657</v>
      </c>
      <c r="H518" s="18" t="n">
        <v>5.15370965718873</v>
      </c>
      <c r="I518" s="18" t="n">
        <v>5.25</v>
      </c>
      <c r="J518" s="18" t="n">
        <v>5.20066854458257</v>
      </c>
    </row>
    <row r="519" customFormat="false" ht="15" hidden="false" customHeight="false" outlineLevel="0" collapsed="false">
      <c r="A519" s="28" t="n">
        <v>51406.0477703259</v>
      </c>
      <c r="B519" s="29" t="n">
        <v>7</v>
      </c>
      <c r="C519" s="18" t="n">
        <v>4.56301971773713</v>
      </c>
      <c r="D519" s="18" t="n">
        <v>6.18722935129226</v>
      </c>
      <c r="E519" s="18" t="n">
        <v>7.00000000000718</v>
      </c>
      <c r="F519" s="18" t="n">
        <v>5.63595154620326</v>
      </c>
      <c r="G519" s="18" t="n">
        <v>5.52997556182173</v>
      </c>
      <c r="H519" s="18" t="n">
        <v>5.18415716497156</v>
      </c>
      <c r="I519" s="18" t="n">
        <v>5.25</v>
      </c>
      <c r="J519" s="18" t="n">
        <v>5.2745240245167</v>
      </c>
    </row>
    <row r="520" customFormat="false" ht="15" hidden="false" customHeight="false" outlineLevel="0" collapsed="false">
      <c r="A520" s="28" t="n">
        <v>51506.0595364161</v>
      </c>
      <c r="B520" s="29" t="n">
        <v>7</v>
      </c>
      <c r="C520" s="18" t="n">
        <v>5.50742315110457</v>
      </c>
      <c r="D520" s="18" t="n">
        <v>5.05831284592031</v>
      </c>
      <c r="E520" s="18" t="n">
        <v>7.00000000000718</v>
      </c>
      <c r="F520" s="18" t="n">
        <v>5.42355150874052</v>
      </c>
      <c r="G520" s="18" t="n">
        <v>5.53963705113113</v>
      </c>
      <c r="H520" s="18" t="n">
        <v>5.34047857453732</v>
      </c>
      <c r="I520" s="18" t="n">
        <v>5.25</v>
      </c>
      <c r="J520" s="18" t="n">
        <v>5.30036238878744</v>
      </c>
    </row>
    <row r="521" customFormat="false" ht="15" hidden="false" customHeight="false" outlineLevel="0" collapsed="false">
      <c r="A521" s="28" t="n">
        <v>51606.0713025062</v>
      </c>
      <c r="B521" s="29" t="n">
        <v>7</v>
      </c>
      <c r="C521" s="18" t="n">
        <v>9.40383486695884</v>
      </c>
      <c r="D521" s="18" t="n">
        <v>5.84924258023169</v>
      </c>
      <c r="E521" s="18" t="n">
        <v>7.00000000000718</v>
      </c>
      <c r="F521" s="18" t="n">
        <v>7.86602207723993</v>
      </c>
      <c r="G521" s="18" t="n">
        <v>5.01981707642364</v>
      </c>
      <c r="H521" s="18" t="n">
        <v>5.33383486807231</v>
      </c>
      <c r="I521" s="18" t="n">
        <v>5.25</v>
      </c>
      <c r="J521" s="18" t="n">
        <v>5.27751251817727</v>
      </c>
    </row>
    <row r="522" customFormat="false" ht="15" hidden="false" customHeight="false" outlineLevel="0" collapsed="false">
      <c r="A522" s="28" t="n">
        <v>51706.0830685963</v>
      </c>
      <c r="B522" s="29" t="n">
        <v>7</v>
      </c>
      <c r="C522" s="18" t="n">
        <v>9.152234147272</v>
      </c>
      <c r="D522" s="18" t="n">
        <v>8.87501537897836</v>
      </c>
      <c r="E522" s="18" t="n">
        <v>7.00000000000718</v>
      </c>
      <c r="F522" s="18" t="n">
        <v>8.68510108534562</v>
      </c>
      <c r="G522" s="18" t="n">
        <v>4.94785329785873</v>
      </c>
      <c r="H522" s="18" t="n">
        <v>5.16714391598085</v>
      </c>
      <c r="I522" s="18" t="n">
        <v>5.25</v>
      </c>
      <c r="J522" s="18" t="n">
        <v>5.20676234802019</v>
      </c>
    </row>
    <row r="523" customFormat="false" ht="15" hidden="false" customHeight="false" outlineLevel="0" collapsed="false">
      <c r="A523" s="28" t="n">
        <v>51806.0948346864</v>
      </c>
      <c r="B523" s="29" t="n">
        <v>7</v>
      </c>
      <c r="C523" s="18" t="n">
        <v>4.84254623401041</v>
      </c>
      <c r="D523" s="18" t="n">
        <v>8.52288590292123</v>
      </c>
      <c r="E523" s="18" t="n">
        <v>7.00000000000718</v>
      </c>
      <c r="F523" s="18" t="n">
        <v>8.17360990492999</v>
      </c>
      <c r="G523" s="18" t="n">
        <v>5.41078036566782</v>
      </c>
      <c r="H523" s="18" t="n">
        <v>5.15882081117305</v>
      </c>
      <c r="I523" s="18" t="n">
        <v>5.25</v>
      </c>
      <c r="J523" s="18" t="n">
        <v>5.20228058582204</v>
      </c>
    </row>
    <row r="524" customFormat="false" ht="15" hidden="false" customHeight="false" outlineLevel="0" collapsed="false">
      <c r="A524" s="28" t="n">
        <v>51906.1066007766</v>
      </c>
      <c r="B524" s="29" t="n">
        <v>7</v>
      </c>
      <c r="C524" s="18" t="n">
        <v>4.62699412681427</v>
      </c>
      <c r="D524" s="18" t="n">
        <v>5.22930034756642</v>
      </c>
      <c r="E524" s="18" t="n">
        <v>7.00000000000718</v>
      </c>
      <c r="F524" s="18" t="n">
        <v>5.48522775014659</v>
      </c>
      <c r="G524" s="18" t="n">
        <v>5.54089466332646</v>
      </c>
      <c r="H524" s="18" t="n">
        <v>5.32297780101198</v>
      </c>
      <c r="I524" s="18" t="n">
        <v>5.25</v>
      </c>
      <c r="J524" s="18" t="n">
        <v>5.28350543707494</v>
      </c>
    </row>
    <row r="525" customFormat="false" ht="15" hidden="false" customHeight="false" outlineLevel="0" collapsed="false">
      <c r="A525" s="28" t="n">
        <v>52006.1183668667</v>
      </c>
      <c r="B525" s="29" t="n">
        <v>7</v>
      </c>
      <c r="C525" s="18" t="n">
        <v>8.43467490276056</v>
      </c>
      <c r="D525" s="18" t="n">
        <v>5.29056466060169</v>
      </c>
      <c r="E525" s="18" t="n">
        <v>7.00000000000718</v>
      </c>
      <c r="F525" s="18" t="n">
        <v>5.52208505129973</v>
      </c>
      <c r="G525" s="18" t="n">
        <v>5.49758706144616</v>
      </c>
      <c r="H525" s="18" t="n">
        <v>5.34486959912717</v>
      </c>
      <c r="I525" s="18" t="n">
        <v>5.25</v>
      </c>
      <c r="J525" s="18" t="n">
        <v>5.30102371026568</v>
      </c>
    </row>
    <row r="526" customFormat="false" ht="15" hidden="false" customHeight="false" outlineLevel="0" collapsed="false">
      <c r="A526" s="28" t="n">
        <v>52106.1301329568</v>
      </c>
      <c r="B526" s="29" t="n">
        <v>7</v>
      </c>
      <c r="C526" s="18" t="n">
        <v>9.47298631466762</v>
      </c>
      <c r="D526" s="18" t="n">
        <v>8.61543116258743</v>
      </c>
      <c r="E526" s="18" t="n">
        <v>7.00000000000718</v>
      </c>
      <c r="F526" s="18" t="n">
        <v>8.24781494048312</v>
      </c>
      <c r="G526" s="18" t="n">
        <v>4.99334749302629</v>
      </c>
      <c r="H526" s="18" t="n">
        <v>5.19186306654319</v>
      </c>
      <c r="I526" s="18" t="n">
        <v>5.25</v>
      </c>
      <c r="J526" s="18" t="n">
        <v>5.23705337016984</v>
      </c>
    </row>
    <row r="527" customFormat="false" ht="15" hidden="false" customHeight="false" outlineLevel="0" collapsed="false">
      <c r="A527" s="28" t="n">
        <v>52206.141899047</v>
      </c>
      <c r="B527" s="29" t="n">
        <v>7</v>
      </c>
      <c r="C527" s="18" t="n">
        <v>8.94620617923306</v>
      </c>
      <c r="D527" s="18" t="n">
        <v>8.82823256594957</v>
      </c>
      <c r="E527" s="18" t="n">
        <v>7.00000000000718</v>
      </c>
      <c r="F527" s="18" t="n">
        <v>8.65196791467538</v>
      </c>
      <c r="G527" s="18" t="n">
        <v>4.94917260642362</v>
      </c>
      <c r="H527" s="18" t="n">
        <v>5.15362975850437</v>
      </c>
      <c r="I527" s="18" t="n">
        <v>5.25</v>
      </c>
      <c r="J527" s="18" t="n">
        <v>5.20280465201789</v>
      </c>
    </row>
    <row r="528" customFormat="false" ht="15" hidden="false" customHeight="false" outlineLevel="0" collapsed="false">
      <c r="A528" s="28" t="n">
        <v>52306.1536651371</v>
      </c>
      <c r="B528" s="29" t="n">
        <v>7</v>
      </c>
      <c r="C528" s="18" t="n">
        <v>4.69800801295548</v>
      </c>
      <c r="D528" s="18" t="n">
        <v>5.64821057539155</v>
      </c>
      <c r="E528" s="18" t="n">
        <v>7.00000000000718</v>
      </c>
      <c r="F528" s="18" t="n">
        <v>7.70064386788686</v>
      </c>
      <c r="G528" s="18" t="n">
        <v>5.44963859181949</v>
      </c>
      <c r="H528" s="18" t="n">
        <v>5.26750641553209</v>
      </c>
      <c r="I528" s="18" t="n">
        <v>5.25</v>
      </c>
      <c r="J528" s="18" t="n">
        <v>5.20670396316213</v>
      </c>
    </row>
    <row r="529" customFormat="false" ht="15" hidden="false" customHeight="false" outlineLevel="0" collapsed="false">
      <c r="A529" s="28" t="n">
        <v>52406.1654312272</v>
      </c>
      <c r="B529" s="29" t="n">
        <v>7</v>
      </c>
      <c r="C529" s="18" t="n">
        <v>4.71748792671956</v>
      </c>
      <c r="D529" s="18" t="n">
        <v>5.09268548278862</v>
      </c>
      <c r="E529" s="18" t="n">
        <v>7.00000000000718</v>
      </c>
      <c r="F529" s="18" t="n">
        <v>5.38748983366598</v>
      </c>
      <c r="G529" s="18" t="n">
        <v>5.54837076142692</v>
      </c>
      <c r="H529" s="18" t="n">
        <v>5.34530665172421</v>
      </c>
      <c r="I529" s="18" t="n">
        <v>5.25</v>
      </c>
      <c r="J529" s="18" t="n">
        <v>5.28990486383806</v>
      </c>
    </row>
    <row r="530" customFormat="false" ht="15" hidden="false" customHeight="false" outlineLevel="0" collapsed="false">
      <c r="A530" s="28" t="n">
        <v>52506.1771973173</v>
      </c>
      <c r="B530" s="29" t="n">
        <v>7</v>
      </c>
      <c r="C530" s="18" t="n">
        <v>8.93283010343327</v>
      </c>
      <c r="D530" s="18" t="n">
        <v>7.51452773816655</v>
      </c>
      <c r="E530" s="18" t="n">
        <v>7.00000000000718</v>
      </c>
      <c r="F530" s="18" t="n">
        <v>5.67077715950435</v>
      </c>
      <c r="G530" s="18" t="n">
        <v>5.15752726152103</v>
      </c>
      <c r="H530" s="18" t="n">
        <v>5.32035310078164</v>
      </c>
      <c r="I530" s="18" t="n">
        <v>5.25</v>
      </c>
      <c r="J530" s="18" t="n">
        <v>5.300546056749</v>
      </c>
    </row>
    <row r="531" customFormat="false" ht="15" hidden="false" customHeight="false" outlineLevel="0" collapsed="false">
      <c r="A531" s="28" t="n">
        <v>52606.1889634075</v>
      </c>
      <c r="B531" s="29" t="n">
        <v>7</v>
      </c>
      <c r="C531" s="18" t="n">
        <v>9.43595732427679</v>
      </c>
      <c r="D531" s="18" t="n">
        <v>8.93300959006677</v>
      </c>
      <c r="E531" s="18" t="n">
        <v>7.00000000000718</v>
      </c>
      <c r="F531" s="18" t="n">
        <v>8.44112464567779</v>
      </c>
      <c r="G531" s="18" t="n">
        <v>4.97019075425361</v>
      </c>
      <c r="H531" s="18" t="n">
        <v>5.16062365318825</v>
      </c>
      <c r="I531" s="18" t="n">
        <v>5.25</v>
      </c>
      <c r="J531" s="18" t="n">
        <v>5.2248397418465</v>
      </c>
    </row>
    <row r="532" customFormat="false" ht="15" hidden="false" customHeight="false" outlineLevel="0" collapsed="false">
      <c r="A532" s="28" t="n">
        <v>52706.2007294976</v>
      </c>
      <c r="B532" s="29" t="n">
        <v>7</v>
      </c>
      <c r="C532" s="18" t="n">
        <v>8.49432630109546</v>
      </c>
      <c r="D532" s="18" t="n">
        <v>8.2252400938012</v>
      </c>
      <c r="E532" s="18" t="n">
        <v>7.00000000000718</v>
      </c>
      <c r="F532" s="18" t="n">
        <v>8.58944292417976</v>
      </c>
      <c r="G532" s="18" t="n">
        <v>4.96041356706235</v>
      </c>
      <c r="H532" s="18" t="n">
        <v>5.16487779839453</v>
      </c>
      <c r="I532" s="18" t="n">
        <v>5.25</v>
      </c>
      <c r="J532" s="18" t="n">
        <v>5.20116579318606</v>
      </c>
    </row>
    <row r="533" customFormat="false" ht="15" hidden="false" customHeight="false" outlineLevel="0" collapsed="false">
      <c r="A533" s="28" t="n">
        <v>52806.2124955877</v>
      </c>
      <c r="B533" s="29" t="n">
        <v>7</v>
      </c>
      <c r="C533" s="18" t="n">
        <v>4.59544079658286</v>
      </c>
      <c r="D533" s="18" t="n">
        <v>5.13712122130353</v>
      </c>
      <c r="E533" s="18" t="n">
        <v>7.00000000000718</v>
      </c>
      <c r="F533" s="18" t="n">
        <v>6.26775699170461</v>
      </c>
      <c r="G533" s="18" t="n">
        <v>5.48026370989004</v>
      </c>
      <c r="H533" s="18" t="n">
        <v>5.33167445346059</v>
      </c>
      <c r="I533" s="18" t="n">
        <v>5.25</v>
      </c>
      <c r="J533" s="18" t="n">
        <v>5.21968659061965</v>
      </c>
    </row>
    <row r="534" customFormat="false" ht="15" hidden="false" customHeight="false" outlineLevel="0" collapsed="false">
      <c r="A534" s="28" t="n">
        <v>52906.2242616779</v>
      </c>
      <c r="B534" s="29" t="n">
        <v>7</v>
      </c>
      <c r="C534" s="18" t="n">
        <v>4.84740948628357</v>
      </c>
      <c r="D534" s="18" t="n">
        <v>5.44647232340663</v>
      </c>
      <c r="E534" s="18" t="n">
        <v>7.00000000000718</v>
      </c>
      <c r="F534" s="18" t="n">
        <v>5.33408229872258</v>
      </c>
      <c r="G534" s="18" t="n">
        <v>5.55228558359803</v>
      </c>
      <c r="H534" s="18" t="n">
        <v>5.34182391446799</v>
      </c>
      <c r="I534" s="18" t="n">
        <v>5.25</v>
      </c>
      <c r="J534" s="18" t="n">
        <v>5.29503767005971</v>
      </c>
    </row>
    <row r="535" customFormat="false" ht="15" hidden="false" customHeight="false" outlineLevel="0" collapsed="false">
      <c r="A535" s="28" t="n">
        <v>53006.236027768</v>
      </c>
      <c r="B535" s="29" t="n">
        <v>7</v>
      </c>
      <c r="C535" s="18" t="n">
        <v>9.15747816956328</v>
      </c>
      <c r="D535" s="18" t="n">
        <v>8.75333957837957</v>
      </c>
      <c r="E535" s="18" t="n">
        <v>7.00000000000718</v>
      </c>
      <c r="F535" s="18" t="n">
        <v>5.92611258226587</v>
      </c>
      <c r="G535" s="18" t="n">
        <v>5.0891858991958</v>
      </c>
      <c r="H535" s="18" t="n">
        <v>5.17865980687872</v>
      </c>
      <c r="I535" s="18" t="n">
        <v>5.25</v>
      </c>
      <c r="J535" s="18" t="n">
        <v>5.29842026771707</v>
      </c>
    </row>
    <row r="536" customFormat="false" ht="15" hidden="false" customHeight="false" outlineLevel="0" collapsed="false">
      <c r="A536" s="28" t="n">
        <v>53106.2477938581</v>
      </c>
      <c r="B536" s="29" t="n">
        <v>7</v>
      </c>
      <c r="C536" s="18" t="n">
        <v>9.3721307973174</v>
      </c>
      <c r="D536" s="18" t="n">
        <v>8.73078079673141</v>
      </c>
      <c r="E536" s="18" t="n">
        <v>7.00000000000718</v>
      </c>
      <c r="F536" s="18" t="n">
        <v>8.56612064669591</v>
      </c>
      <c r="G536" s="18" t="n">
        <v>4.95927595700267</v>
      </c>
      <c r="H536" s="18" t="n">
        <v>5.15477385129978</v>
      </c>
      <c r="I536" s="18" t="n">
        <v>5.25</v>
      </c>
      <c r="J536" s="18" t="n">
        <v>5.2171875333165</v>
      </c>
    </row>
    <row r="537" customFormat="false" ht="15" hidden="false" customHeight="false" outlineLevel="0" collapsed="false">
      <c r="A537" s="28" t="n">
        <v>53206.2595599482</v>
      </c>
      <c r="B537" s="29" t="n">
        <v>7</v>
      </c>
      <c r="C537" s="18" t="n">
        <v>5.56786602779926</v>
      </c>
      <c r="D537" s="18" t="n">
        <v>5.41497723597255</v>
      </c>
      <c r="E537" s="18" t="n">
        <v>7.00000000000718</v>
      </c>
      <c r="F537" s="18" t="n">
        <v>8.49754565788654</v>
      </c>
      <c r="G537" s="18" t="n">
        <v>5.00226995149078</v>
      </c>
      <c r="H537" s="18" t="n">
        <v>5.30480526599866</v>
      </c>
      <c r="I537" s="18" t="n">
        <v>5.25</v>
      </c>
      <c r="J537" s="18" t="n">
        <v>5.20047254687513</v>
      </c>
    </row>
    <row r="538" customFormat="false" ht="15" hidden="false" customHeight="false" outlineLevel="0" collapsed="false">
      <c r="A538" s="28" t="n">
        <v>53306.2713260384</v>
      </c>
      <c r="B538" s="29" t="n">
        <v>7</v>
      </c>
      <c r="C538" s="18" t="n">
        <v>4.52597270841467</v>
      </c>
      <c r="D538" s="18" t="n">
        <v>5.15047178055166</v>
      </c>
      <c r="E538" s="18" t="n">
        <v>7.00000000000718</v>
      </c>
      <c r="F538" s="18" t="n">
        <v>5.81889793164408</v>
      </c>
      <c r="G538" s="18" t="n">
        <v>5.50677654656962</v>
      </c>
      <c r="H538" s="18" t="n">
        <v>5.3465956222569</v>
      </c>
      <c r="I538" s="18" t="n">
        <v>5.25</v>
      </c>
      <c r="J538" s="18" t="n">
        <v>5.26184895989931</v>
      </c>
    </row>
    <row r="539" customFormat="false" ht="15" hidden="false" customHeight="false" outlineLevel="0" collapsed="false">
      <c r="A539" s="28" t="n">
        <v>53406.2830921285</v>
      </c>
      <c r="B539" s="29" t="n">
        <v>7</v>
      </c>
      <c r="C539" s="18" t="n">
        <v>5.05392782529478</v>
      </c>
      <c r="D539" s="18" t="n">
        <v>8.2670900184562</v>
      </c>
      <c r="E539" s="18" t="n">
        <v>7.00000000000718</v>
      </c>
      <c r="F539" s="18" t="n">
        <v>5.36566788293052</v>
      </c>
      <c r="G539" s="18" t="n">
        <v>5.55093431903035</v>
      </c>
      <c r="H539" s="18" t="n">
        <v>5.2681870593848</v>
      </c>
      <c r="I539" s="18" t="n">
        <v>5.25</v>
      </c>
      <c r="J539" s="18" t="n">
        <v>5.29900555262975</v>
      </c>
    </row>
    <row r="540" customFormat="false" ht="15" hidden="false" customHeight="false" outlineLevel="0" collapsed="false">
      <c r="A540" s="28" t="n">
        <v>53506.2948582186</v>
      </c>
      <c r="B540" s="29" t="n">
        <v>7</v>
      </c>
      <c r="C540" s="18" t="n">
        <v>9.30161027943659</v>
      </c>
      <c r="D540" s="18" t="n">
        <v>8.93305565214995</v>
      </c>
      <c r="E540" s="18" t="n">
        <v>7.00000000000718</v>
      </c>
      <c r="F540" s="18" t="n">
        <v>6.66746020480253</v>
      </c>
      <c r="G540" s="18" t="n">
        <v>5.05039388380429</v>
      </c>
      <c r="H540" s="18" t="n">
        <v>5.15612936555621</v>
      </c>
      <c r="I540" s="18" t="n">
        <v>5.25</v>
      </c>
      <c r="J540" s="18" t="n">
        <v>5.29289487136943</v>
      </c>
    </row>
    <row r="541" customFormat="false" ht="15" hidden="false" customHeight="false" outlineLevel="0" collapsed="false">
      <c r="A541" s="28" t="n">
        <v>53606.3066243088</v>
      </c>
      <c r="B541" s="29" t="n">
        <v>7</v>
      </c>
      <c r="C541" s="18" t="n">
        <v>9.28185370749851</v>
      </c>
      <c r="D541" s="18" t="n">
        <v>7.63029742943785</v>
      </c>
      <c r="E541" s="18" t="n">
        <v>7.00000000000718</v>
      </c>
      <c r="F541" s="18" t="n">
        <v>8.65024304262751</v>
      </c>
      <c r="G541" s="18" t="n">
        <v>4.95178855461583</v>
      </c>
      <c r="H541" s="18" t="n">
        <v>5.17265996735858</v>
      </c>
      <c r="I541" s="18" t="n">
        <v>5.25</v>
      </c>
      <c r="J541" s="18" t="n">
        <v>5.21119336233727</v>
      </c>
    </row>
    <row r="542" customFormat="false" ht="15" hidden="false" customHeight="false" outlineLevel="0" collapsed="false">
      <c r="A542" s="28" t="n">
        <v>53706.3183903989</v>
      </c>
      <c r="B542" s="29" t="n">
        <v>7</v>
      </c>
      <c r="C542" s="18" t="n">
        <v>5.06778089277049</v>
      </c>
      <c r="D542" s="18" t="n">
        <v>5.08614870526248</v>
      </c>
      <c r="E542" s="18" t="n">
        <v>7.00000000000718</v>
      </c>
      <c r="F542" s="18" t="n">
        <v>8.36199810332636</v>
      </c>
      <c r="G542" s="18" t="n">
        <v>5.34222445550653</v>
      </c>
      <c r="H542" s="18" t="n">
        <v>5.3364138699832</v>
      </c>
      <c r="I542" s="18" t="n">
        <v>5.25</v>
      </c>
      <c r="J542" s="18" t="n">
        <v>5.20079097747379</v>
      </c>
    </row>
    <row r="543" customFormat="false" ht="15" hidden="false" customHeight="false" outlineLevel="0" collapsed="false">
      <c r="A543" s="28" t="n">
        <v>53806.330156489</v>
      </c>
      <c r="B543" s="29" t="n">
        <v>7</v>
      </c>
      <c r="C543" s="18" t="n">
        <v>4.56301971773717</v>
      </c>
      <c r="D543" s="18" t="n">
        <v>5.5573732335929</v>
      </c>
      <c r="E543" s="18" t="n">
        <v>7.00000000000718</v>
      </c>
      <c r="F543" s="18" t="n">
        <v>5.6067028064133</v>
      </c>
      <c r="G543" s="18" t="n">
        <v>5.52997556182172</v>
      </c>
      <c r="H543" s="18" t="n">
        <v>5.33965560205849</v>
      </c>
      <c r="I543" s="18" t="n">
        <v>5.25</v>
      </c>
      <c r="J543" s="18" t="n">
        <v>5.27617186270061</v>
      </c>
    </row>
    <row r="544" customFormat="false" ht="15" hidden="false" customHeight="false" outlineLevel="0" collapsed="false">
      <c r="A544" s="28" t="n">
        <v>53906.3419225791</v>
      </c>
      <c r="B544" s="29" t="n">
        <v>7</v>
      </c>
      <c r="C544" s="18" t="n">
        <v>5.50742315110476</v>
      </c>
      <c r="D544" s="18" t="n">
        <v>8.80852745311829</v>
      </c>
      <c r="E544" s="18" t="n">
        <v>7.00000000000718</v>
      </c>
      <c r="F544" s="18" t="n">
        <v>5.43194646946481</v>
      </c>
      <c r="G544" s="18" t="n">
        <v>5.53963705113112</v>
      </c>
      <c r="H544" s="18" t="n">
        <v>5.17389729387908</v>
      </c>
      <c r="I544" s="18" t="n">
        <v>5.25</v>
      </c>
      <c r="J544" s="18" t="n">
        <v>5.30056652493511</v>
      </c>
    </row>
    <row r="545" customFormat="false" ht="15" hidden="false" customHeight="false" outlineLevel="0" collapsed="false">
      <c r="A545" s="28" t="n">
        <v>54006.3536886693</v>
      </c>
      <c r="B545" s="29" t="n">
        <v>7</v>
      </c>
      <c r="C545" s="18" t="n">
        <v>9.40383486695697</v>
      </c>
      <c r="D545" s="18" t="n">
        <v>8.68528543889573</v>
      </c>
      <c r="E545" s="18" t="n">
        <v>7.00000000000718</v>
      </c>
      <c r="F545" s="18" t="n">
        <v>7.93419127939532</v>
      </c>
      <c r="G545" s="18" t="n">
        <v>5.01981707642363</v>
      </c>
      <c r="H545" s="18" t="n">
        <v>5.15541934750966</v>
      </c>
      <c r="I545" s="18" t="n">
        <v>5.25</v>
      </c>
      <c r="J545" s="18" t="n">
        <v>5.27227301596057</v>
      </c>
    </row>
    <row r="546" customFormat="false" ht="15" hidden="false" customHeight="false" outlineLevel="0" collapsed="false">
      <c r="A546" s="28" t="n">
        <v>54106.3654547594</v>
      </c>
      <c r="B546" s="29" t="n">
        <v>7</v>
      </c>
      <c r="C546" s="18" t="n">
        <v>9.152234147272</v>
      </c>
      <c r="D546" s="18" t="n">
        <v>5.35031998767594</v>
      </c>
      <c r="E546" s="18" t="n">
        <v>7.00000000000718</v>
      </c>
      <c r="F546" s="18" t="n">
        <v>8.68372510840994</v>
      </c>
      <c r="G546" s="18" t="n">
        <v>4.94785329785875</v>
      </c>
      <c r="H546" s="18" t="n">
        <v>5.31135994169241</v>
      </c>
      <c r="I546" s="18" t="n">
        <v>5.25</v>
      </c>
      <c r="J546" s="18" t="n">
        <v>5.2062052697829</v>
      </c>
    </row>
    <row r="547" customFormat="false" ht="15" hidden="false" customHeight="false" outlineLevel="0" collapsed="false">
      <c r="A547" s="28" t="n">
        <v>54206.3772208495</v>
      </c>
      <c r="B547" s="29" t="n">
        <v>7</v>
      </c>
      <c r="C547" s="18" t="n">
        <v>4.8425462340107</v>
      </c>
      <c r="D547" s="18" t="n">
        <v>5.18153384842492</v>
      </c>
      <c r="E547" s="18" t="n">
        <v>7.00000000000718</v>
      </c>
      <c r="F547" s="18" t="n">
        <v>8.13975040410557</v>
      </c>
      <c r="G547" s="18" t="n">
        <v>5.41078036566776</v>
      </c>
      <c r="H547" s="18" t="n">
        <v>5.34644764184189</v>
      </c>
      <c r="I547" s="18" t="n">
        <v>5.25</v>
      </c>
      <c r="J547" s="18" t="n">
        <v>5.20260908369816</v>
      </c>
    </row>
    <row r="548" customFormat="false" ht="15" hidden="false" customHeight="false" outlineLevel="0" collapsed="false">
      <c r="A548" s="28" t="n">
        <v>54306.3889869396</v>
      </c>
      <c r="B548" s="29" t="n">
        <v>7</v>
      </c>
      <c r="C548" s="18" t="n">
        <v>4.62699412681433</v>
      </c>
      <c r="D548" s="18" t="n">
        <v>8.39514649815494</v>
      </c>
      <c r="E548" s="18" t="n">
        <v>7.00000000000718</v>
      </c>
      <c r="F548" s="18" t="n">
        <v>5.47208229604699</v>
      </c>
      <c r="G548" s="18" t="n">
        <v>5.54089466332645</v>
      </c>
      <c r="H548" s="18" t="n">
        <v>5.22208144948749</v>
      </c>
      <c r="I548" s="18" t="n">
        <v>5.25</v>
      </c>
      <c r="J548" s="18" t="n">
        <v>5.28425179676344</v>
      </c>
    </row>
    <row r="549" customFormat="false" ht="15" hidden="false" customHeight="false" outlineLevel="0" collapsed="false">
      <c r="A549" s="28" t="n">
        <v>54406.4007530298</v>
      </c>
      <c r="B549" s="29" t="n">
        <v>7</v>
      </c>
      <c r="C549" s="18" t="n">
        <v>8.43467490276064</v>
      </c>
      <c r="D549" s="18" t="n">
        <v>8.90219130478946</v>
      </c>
      <c r="E549" s="18" t="n">
        <v>7.00000000000718</v>
      </c>
      <c r="F549" s="18" t="n">
        <v>5.53164054390613</v>
      </c>
      <c r="G549" s="18" t="n">
        <v>5.49758706144614</v>
      </c>
      <c r="H549" s="18" t="n">
        <v>5.1541752661451</v>
      </c>
      <c r="I549" s="18" t="n">
        <v>5.25</v>
      </c>
      <c r="J549" s="18" t="n">
        <v>5.3010706266242</v>
      </c>
    </row>
    <row r="550" customFormat="false" ht="15" hidden="false" customHeight="false" outlineLevel="0" collapsed="false">
      <c r="A550" s="28" t="n">
        <v>54506.4125191199</v>
      </c>
      <c r="B550" s="29" t="n">
        <v>7</v>
      </c>
      <c r="C550" s="18" t="n">
        <v>9.47298631466762</v>
      </c>
      <c r="D550" s="18" t="n">
        <v>6.29547096075646</v>
      </c>
      <c r="E550" s="18" t="n">
        <v>7.00000000000718</v>
      </c>
      <c r="F550" s="18" t="n">
        <v>8.26874873642295</v>
      </c>
      <c r="G550" s="18" t="n">
        <v>4.99334749302628</v>
      </c>
      <c r="H550" s="18" t="n">
        <v>5.18207198577244</v>
      </c>
      <c r="I550" s="18" t="n">
        <v>5.25</v>
      </c>
      <c r="J550" s="18" t="n">
        <v>5.23561306395808</v>
      </c>
    </row>
    <row r="551" customFormat="false" ht="15" hidden="false" customHeight="false" outlineLevel="0" collapsed="false">
      <c r="A551" s="28" t="n">
        <v>54606.42428521</v>
      </c>
      <c r="B551" s="29" t="n">
        <v>7</v>
      </c>
      <c r="C551" s="18" t="n">
        <v>8.94620617923306</v>
      </c>
      <c r="D551" s="18" t="n">
        <v>5.0619079769552</v>
      </c>
      <c r="E551" s="18" t="n">
        <v>7.00000000000718</v>
      </c>
      <c r="F551" s="18" t="n">
        <v>8.6475947452263</v>
      </c>
      <c r="G551" s="18" t="n">
        <v>4.94917260642366</v>
      </c>
      <c r="H551" s="18" t="n">
        <v>5.34003239808736</v>
      </c>
      <c r="I551" s="18" t="n">
        <v>5.25</v>
      </c>
      <c r="J551" s="18" t="n">
        <v>5.20262918090698</v>
      </c>
    </row>
    <row r="552" customFormat="false" ht="15" hidden="false" customHeight="false" outlineLevel="0" collapsed="false">
      <c r="A552" s="28" t="n">
        <v>54706.4360513002</v>
      </c>
      <c r="B552" s="29" t="n">
        <v>7</v>
      </c>
      <c r="C552" s="18" t="n">
        <v>4.69800801295536</v>
      </c>
      <c r="D552" s="18" t="n">
        <v>5.82176716961261</v>
      </c>
      <c r="E552" s="18" t="n">
        <v>7.00000000000718</v>
      </c>
      <c r="F552" s="18" t="n">
        <v>7.62349933068752</v>
      </c>
      <c r="G552" s="18" t="n">
        <v>5.44963859181951</v>
      </c>
      <c r="H552" s="18" t="n">
        <v>5.33429130401625</v>
      </c>
      <c r="I552" s="18" t="n">
        <v>5.25</v>
      </c>
      <c r="J552" s="18" t="n">
        <v>5.20732563987208</v>
      </c>
    </row>
    <row r="553" customFormat="false" ht="15" hidden="false" customHeight="false" outlineLevel="0" collapsed="false">
      <c r="A553" s="28" t="n">
        <v>54806.4478173903</v>
      </c>
      <c r="B553" s="29" t="n">
        <v>7</v>
      </c>
      <c r="C553" s="18" t="n">
        <v>4.71748792671952</v>
      </c>
      <c r="D553" s="18" t="n">
        <v>8.87064587504954</v>
      </c>
      <c r="E553" s="18" t="n">
        <v>7.00000000000718</v>
      </c>
      <c r="F553" s="18" t="n">
        <v>5.38118319810271</v>
      </c>
      <c r="G553" s="18" t="n">
        <v>5.54837076142692</v>
      </c>
      <c r="H553" s="18" t="n">
        <v>5.16754018004419</v>
      </c>
      <c r="I553" s="18" t="n">
        <v>5.25</v>
      </c>
      <c r="J553" s="18" t="n">
        <v>5.29033744940305</v>
      </c>
    </row>
    <row r="554" customFormat="false" ht="15" hidden="false" customHeight="false" outlineLevel="0" collapsed="false">
      <c r="A554" s="28" t="n">
        <v>54906.4595834804</v>
      </c>
      <c r="B554" s="29" t="n">
        <v>7</v>
      </c>
      <c r="C554" s="18" t="n">
        <v>8.93283010343327</v>
      </c>
      <c r="D554" s="18" t="n">
        <v>8.53157590195694</v>
      </c>
      <c r="E554" s="18" t="n">
        <v>7.00000000000718</v>
      </c>
      <c r="F554" s="18" t="n">
        <v>5.68263277553563</v>
      </c>
      <c r="G554" s="18" t="n">
        <v>5.15752726152106</v>
      </c>
      <c r="H554" s="18" t="n">
        <v>5.1586507731877</v>
      </c>
      <c r="I554" s="18" t="n">
        <v>5.25</v>
      </c>
      <c r="J554" s="18" t="n">
        <v>5.30049419176811</v>
      </c>
    </row>
    <row r="555" customFormat="false" ht="15" hidden="false" customHeight="false" outlineLevel="0" collapsed="false">
      <c r="A555" s="28" t="n">
        <v>55006.4713495705</v>
      </c>
      <c r="B555" s="29" t="n">
        <v>7</v>
      </c>
      <c r="C555" s="18" t="n">
        <v>9.43595732427679</v>
      </c>
      <c r="D555" s="18" t="n">
        <v>5.23417449434183</v>
      </c>
      <c r="E555" s="18" t="n">
        <v>7.00000000000718</v>
      </c>
      <c r="F555" s="18" t="n">
        <v>8.45103381411329</v>
      </c>
      <c r="G555" s="18" t="n">
        <v>4.97019075425362</v>
      </c>
      <c r="H555" s="18" t="n">
        <v>5.32254330808725</v>
      </c>
      <c r="I555" s="18" t="n">
        <v>5.25</v>
      </c>
      <c r="J555" s="18" t="n">
        <v>5.22425558915695</v>
      </c>
    </row>
    <row r="556" customFormat="false" ht="15" hidden="false" customHeight="false" outlineLevel="0" collapsed="false">
      <c r="A556" s="28" t="n">
        <v>55106.4831156607</v>
      </c>
      <c r="B556" s="29" t="n">
        <v>7</v>
      </c>
      <c r="C556" s="18" t="n">
        <v>8.49432630109554</v>
      </c>
      <c r="D556" s="18" t="n">
        <v>5.28588842012463</v>
      </c>
      <c r="E556" s="18" t="n">
        <v>7.00000000000718</v>
      </c>
      <c r="F556" s="18" t="n">
        <v>8.58406310934437</v>
      </c>
      <c r="G556" s="18" t="n">
        <v>4.96041356706232</v>
      </c>
      <c r="H556" s="18" t="n">
        <v>5.34494229591056</v>
      </c>
      <c r="I556" s="18" t="n">
        <v>5.25</v>
      </c>
      <c r="J556" s="18" t="n">
        <v>5.20110410439662</v>
      </c>
    </row>
    <row r="557" customFormat="false" ht="15" hidden="false" customHeight="false" outlineLevel="0" collapsed="false">
      <c r="A557" s="28" t="n">
        <v>55206.4948817508</v>
      </c>
      <c r="B557" s="29" t="n">
        <v>7</v>
      </c>
      <c r="C557" s="18" t="n">
        <v>4.59544079658287</v>
      </c>
      <c r="D557" s="18" t="n">
        <v>8.6088387941936</v>
      </c>
      <c r="E557" s="18" t="n">
        <v>7.00000000000718</v>
      </c>
      <c r="F557" s="18" t="n">
        <v>6.21799315550936</v>
      </c>
      <c r="G557" s="18" t="n">
        <v>5.48026370989004</v>
      </c>
      <c r="H557" s="18" t="n">
        <v>5.19253736743948</v>
      </c>
      <c r="I557" s="18" t="n">
        <v>5.25</v>
      </c>
      <c r="J557" s="18" t="n">
        <v>5.22151818871011</v>
      </c>
    </row>
    <row r="558" customFormat="false" ht="15" hidden="false" customHeight="false" outlineLevel="0" collapsed="false">
      <c r="A558" s="28" t="n">
        <v>55306.5066478409</v>
      </c>
      <c r="B558" s="29" t="n">
        <v>7</v>
      </c>
      <c r="C558" s="18" t="n">
        <v>4.84740948628356</v>
      </c>
      <c r="D558" s="18" t="n">
        <v>8.83141260440018</v>
      </c>
      <c r="E558" s="18" t="n">
        <v>7.00000000000718</v>
      </c>
      <c r="F558" s="18" t="n">
        <v>5.3331903992006</v>
      </c>
      <c r="G558" s="18" t="n">
        <v>5.55228558359803</v>
      </c>
      <c r="H558" s="18" t="n">
        <v>5.15361469479722</v>
      </c>
      <c r="I558" s="18" t="n">
        <v>5.25</v>
      </c>
      <c r="J558" s="18" t="n">
        <v>5.29531376820243</v>
      </c>
    </row>
    <row r="559" customFormat="false" ht="15" hidden="false" customHeight="false" outlineLevel="0" collapsed="false">
      <c r="A559" s="28" t="n">
        <v>55406.5184139311</v>
      </c>
      <c r="B559" s="29" t="n">
        <v>7</v>
      </c>
      <c r="C559" s="18" t="n">
        <v>9.15747816956328</v>
      </c>
      <c r="D559" s="18" t="n">
        <v>5.66084970168098</v>
      </c>
      <c r="E559" s="18" t="n">
        <v>7.00000000000718</v>
      </c>
      <c r="F559" s="18" t="n">
        <v>5.94507606393788</v>
      </c>
      <c r="G559" s="18" t="n">
        <v>5.0891858991958</v>
      </c>
      <c r="H559" s="18" t="n">
        <v>5.26361437131757</v>
      </c>
      <c r="I559" s="18" t="n">
        <v>5.25</v>
      </c>
      <c r="J559" s="18" t="n">
        <v>5.29826056759818</v>
      </c>
    </row>
    <row r="560" customFormat="false" ht="15" hidden="false" customHeight="false" outlineLevel="0" collapsed="false">
      <c r="A560" s="28" t="n">
        <v>55506.5301800212</v>
      </c>
      <c r="B560" s="29" t="n">
        <v>7</v>
      </c>
      <c r="C560" s="18" t="n">
        <v>9.3721307973174</v>
      </c>
      <c r="D560" s="18" t="n">
        <v>5.09029278408656</v>
      </c>
      <c r="E560" s="18" t="n">
        <v>7.00000000000718</v>
      </c>
      <c r="F560" s="18" t="n">
        <v>8.57162097553891</v>
      </c>
      <c r="G560" s="18" t="n">
        <v>4.95927595700268</v>
      </c>
      <c r="H560" s="18" t="n">
        <v>5.34512983747374</v>
      </c>
      <c r="I560" s="18" t="n">
        <v>5.25</v>
      </c>
      <c r="J560" s="18" t="n">
        <v>5.21683210343143</v>
      </c>
    </row>
    <row r="561" customFormat="false" ht="15" hidden="false" customHeight="false" outlineLevel="0" collapsed="false">
      <c r="A561" s="28" t="n">
        <v>55606.5419461113</v>
      </c>
      <c r="B561" s="29" t="n">
        <v>7</v>
      </c>
      <c r="C561" s="18" t="n">
        <v>5.56786602780008</v>
      </c>
      <c r="D561" s="18" t="n">
        <v>7.41578160186725</v>
      </c>
      <c r="E561" s="18" t="n">
        <v>7.00000000000718</v>
      </c>
      <c r="F561" s="18" t="n">
        <v>8.49106801990885</v>
      </c>
      <c r="G561" s="18" t="n">
        <v>5.00226995149071</v>
      </c>
      <c r="H561" s="18" t="n">
        <v>5.32122764029026</v>
      </c>
      <c r="I561" s="18" t="n">
        <v>5.25</v>
      </c>
      <c r="J561" s="18" t="n">
        <v>5.20047418682538</v>
      </c>
    </row>
    <row r="562" customFormat="false" ht="15" hidden="false" customHeight="false" outlineLevel="0" collapsed="false">
      <c r="A562" s="28" t="n">
        <v>55706.5537122014</v>
      </c>
      <c r="B562" s="29" t="n">
        <v>7</v>
      </c>
      <c r="C562" s="18" t="n">
        <v>4.52597270841473</v>
      </c>
      <c r="D562" s="18" t="n">
        <v>8.93111529184448</v>
      </c>
      <c r="E562" s="18" t="n">
        <v>7.00000000000718</v>
      </c>
      <c r="F562" s="18" t="n">
        <v>5.80350943497182</v>
      </c>
      <c r="G562" s="18" t="n">
        <v>5.50677654656961</v>
      </c>
      <c r="H562" s="18" t="n">
        <v>5.16090436031531</v>
      </c>
      <c r="I562" s="18" t="n">
        <v>5.25</v>
      </c>
      <c r="J562" s="18" t="n">
        <v>5.2630722191582</v>
      </c>
    </row>
    <row r="563" customFormat="false" ht="15" hidden="false" customHeight="false" outlineLevel="0" collapsed="false">
      <c r="A563" s="28" t="n">
        <v>55806.5654782916</v>
      </c>
      <c r="B563" s="29" t="n">
        <v>7</v>
      </c>
      <c r="C563" s="18" t="n">
        <v>5.05392782529482</v>
      </c>
      <c r="D563" s="18" t="n">
        <v>8.24841067384761</v>
      </c>
      <c r="E563" s="18" t="n">
        <v>7.00000000000718</v>
      </c>
      <c r="F563" s="18" t="n">
        <v>5.36745906012452</v>
      </c>
      <c r="G563" s="18" t="n">
        <v>5.55093431903034</v>
      </c>
      <c r="H563" s="18" t="n">
        <v>5.16443711929842</v>
      </c>
      <c r="I563" s="18" t="n">
        <v>5.25</v>
      </c>
      <c r="J563" s="18" t="n">
        <v>5.29914066587547</v>
      </c>
    </row>
    <row r="564" customFormat="false" ht="15" hidden="false" customHeight="false" outlineLevel="0" collapsed="false">
      <c r="A564" s="28" t="n">
        <v>55906.5772443817</v>
      </c>
      <c r="B564" s="29" t="n">
        <v>7</v>
      </c>
      <c r="C564" s="18" t="n">
        <v>9.30161027943659</v>
      </c>
      <c r="D564" s="18" t="n">
        <v>5.14136522171146</v>
      </c>
      <c r="E564" s="18" t="n">
        <v>7.00000000000718</v>
      </c>
      <c r="F564" s="18" t="n">
        <v>6.74619714602719</v>
      </c>
      <c r="G564" s="18" t="n">
        <v>5.05039388380435</v>
      </c>
      <c r="H564" s="18" t="n">
        <v>5.33119790832694</v>
      </c>
      <c r="I564" s="18" t="n">
        <v>5.25</v>
      </c>
      <c r="J564" s="18" t="n">
        <v>5.29251174628895</v>
      </c>
    </row>
    <row r="565" customFormat="false" ht="15" hidden="false" customHeight="false" outlineLevel="0" collapsed="false">
      <c r="A565" s="28" t="n">
        <v>56006.5890104718</v>
      </c>
      <c r="B565" s="29" t="n">
        <v>7</v>
      </c>
      <c r="C565" s="18" t="n">
        <v>9.28185370749851</v>
      </c>
      <c r="D565" s="18" t="n">
        <v>5.43046841424488</v>
      </c>
      <c r="E565" s="18" t="n">
        <v>7.00000000000718</v>
      </c>
      <c r="F565" s="18" t="n">
        <v>8.65325164872621</v>
      </c>
      <c r="G565" s="18" t="n">
        <v>4.95178855461582</v>
      </c>
      <c r="H565" s="18" t="n">
        <v>5.34217775476926</v>
      </c>
      <c r="I565" s="18" t="n">
        <v>5.25</v>
      </c>
      <c r="J565" s="18" t="n">
        <v>5.21094104737287</v>
      </c>
    </row>
    <row r="566" customFormat="false" ht="15" hidden="false" customHeight="false" outlineLevel="0" collapsed="false">
      <c r="A566" s="28" t="n">
        <v>56106.600776562</v>
      </c>
      <c r="B566" s="29" t="n">
        <v>7</v>
      </c>
      <c r="C566" s="18" t="n">
        <v>5.06778089277027</v>
      </c>
      <c r="D566" s="18" t="n">
        <v>8.74393109340014</v>
      </c>
      <c r="E566" s="18" t="n">
        <v>7.00000000000718</v>
      </c>
      <c r="F566" s="18" t="n">
        <v>8.35347625173272</v>
      </c>
      <c r="G566" s="18" t="n">
        <v>5.3422244555066</v>
      </c>
      <c r="H566" s="18" t="n">
        <v>5.1796906070255</v>
      </c>
      <c r="I566" s="18" t="n">
        <v>5.25</v>
      </c>
      <c r="J566" s="18" t="n">
        <v>5.20085198128389</v>
      </c>
    </row>
    <row r="567" customFormat="false" ht="15" hidden="false" customHeight="false" outlineLevel="0" collapsed="false">
      <c r="A567" s="28" t="n">
        <v>56206.6125426521</v>
      </c>
      <c r="B567" s="29" t="n">
        <v>7</v>
      </c>
      <c r="C567" s="18" t="n">
        <v>4.56301971773711</v>
      </c>
      <c r="D567" s="18" t="n">
        <v>8.74974450358615</v>
      </c>
      <c r="E567" s="18" t="n">
        <v>7.00000000000718</v>
      </c>
      <c r="F567" s="18" t="n">
        <v>5.59881768717563</v>
      </c>
      <c r="G567" s="18" t="n">
        <v>5.52997556182173</v>
      </c>
      <c r="H567" s="18" t="n">
        <v>5.15440008255991</v>
      </c>
      <c r="I567" s="18" t="n">
        <v>5.25</v>
      </c>
      <c r="J567" s="18" t="n">
        <v>5.27662659658563</v>
      </c>
    </row>
    <row r="568" customFormat="false" ht="15" hidden="false" customHeight="false" outlineLevel="0" collapsed="false">
      <c r="A568" s="28" t="n">
        <v>56306.6243087422</v>
      </c>
      <c r="B568" s="29" t="n">
        <v>7</v>
      </c>
      <c r="C568" s="18" t="n">
        <v>5.50742315110441</v>
      </c>
      <c r="D568" s="18" t="n">
        <v>5.44321441592619</v>
      </c>
      <c r="E568" s="18" t="n">
        <v>7.00000000000718</v>
      </c>
      <c r="F568" s="18" t="n">
        <v>5.43484750968534</v>
      </c>
      <c r="G568" s="18" t="n">
        <v>5.53963705113113</v>
      </c>
      <c r="H568" s="18" t="n">
        <v>5.30134153456335</v>
      </c>
      <c r="I568" s="18" t="n">
        <v>5.25</v>
      </c>
      <c r="J568" s="18" t="n">
        <v>5.30062234979743</v>
      </c>
    </row>
    <row r="569" customFormat="false" ht="15" hidden="false" customHeight="false" outlineLevel="0" collapsed="false">
      <c r="A569" s="28" t="n">
        <v>56406.6360748323</v>
      </c>
      <c r="B569" s="29" t="n">
        <v>7</v>
      </c>
      <c r="C569" s="18" t="n">
        <v>9.40383486695884</v>
      </c>
      <c r="D569" s="18" t="n">
        <v>5.12383674993289</v>
      </c>
      <c r="E569" s="18" t="n">
        <v>7.00000000000718</v>
      </c>
      <c r="F569" s="18" t="n">
        <v>7.95355347267892</v>
      </c>
      <c r="G569" s="18" t="n">
        <v>5.01981707642364</v>
      </c>
      <c r="H569" s="18" t="n">
        <v>5.34692464249358</v>
      </c>
      <c r="I569" s="18" t="n">
        <v>5.25</v>
      </c>
      <c r="J569" s="18" t="n">
        <v>5.27024869734552</v>
      </c>
    </row>
    <row r="570" customFormat="false" ht="15" hidden="false" customHeight="false" outlineLevel="0" collapsed="false">
      <c r="A570" s="28" t="n">
        <v>56506.6478409225</v>
      </c>
      <c r="B570" s="29" t="n">
        <v>7</v>
      </c>
      <c r="C570" s="18" t="n">
        <v>9.152234147272</v>
      </c>
      <c r="D570" s="18" t="n">
        <v>8.12932493721285</v>
      </c>
      <c r="E570" s="18" t="n">
        <v>7.00000000000718</v>
      </c>
      <c r="F570" s="18" t="n">
        <v>8.68250688151786</v>
      </c>
      <c r="G570" s="18" t="n">
        <v>4.94785329785874</v>
      </c>
      <c r="H570" s="18" t="n">
        <v>5.29977942359647</v>
      </c>
      <c r="I570" s="18" t="n">
        <v>5.25</v>
      </c>
      <c r="J570" s="18" t="n">
        <v>5.20601780907723</v>
      </c>
    </row>
    <row r="571" customFormat="false" ht="15" hidden="false" customHeight="false" outlineLevel="0" collapsed="false">
      <c r="A571" s="28" t="n">
        <v>56606.6596070126</v>
      </c>
      <c r="B571" s="29" t="n">
        <v>7</v>
      </c>
      <c r="C571" s="18" t="n">
        <v>4.84254623401061</v>
      </c>
      <c r="D571" s="18" t="n">
        <v>8.94958343789966</v>
      </c>
      <c r="E571" s="18" t="n">
        <v>7.00000000000718</v>
      </c>
      <c r="F571" s="18" t="n">
        <v>8.12600415003174</v>
      </c>
      <c r="G571" s="18" t="n">
        <v>5.41078036566778</v>
      </c>
      <c r="H571" s="18" t="n">
        <v>5.15769674957383</v>
      </c>
      <c r="I571" s="18" t="n">
        <v>5.25</v>
      </c>
      <c r="J571" s="18" t="n">
        <v>5.20275243820561</v>
      </c>
    </row>
    <row r="572" customFormat="false" ht="15" hidden="false" customHeight="false" outlineLevel="0" collapsed="false">
      <c r="A572" s="28" t="n">
        <v>56706.6713731027</v>
      </c>
      <c r="B572" s="29" t="n">
        <v>7</v>
      </c>
      <c r="C572" s="18" t="n">
        <v>4.62699412681431</v>
      </c>
      <c r="D572" s="18" t="n">
        <v>8.01472176645185</v>
      </c>
      <c r="E572" s="18" t="n">
        <v>7.00000000000718</v>
      </c>
      <c r="F572" s="18" t="n">
        <v>5.46734787316429</v>
      </c>
      <c r="G572" s="18" t="n">
        <v>5.54089466332645</v>
      </c>
      <c r="H572" s="18" t="n">
        <v>5.16823521780543</v>
      </c>
      <c r="I572" s="18" t="n">
        <v>5.25</v>
      </c>
      <c r="J572" s="18" t="n">
        <v>5.28453287307759</v>
      </c>
    </row>
    <row r="573" customFormat="false" ht="15" hidden="false" customHeight="false" outlineLevel="0" collapsed="false">
      <c r="A573" s="28" t="n">
        <v>56806.6831391929</v>
      </c>
      <c r="B573" s="29" t="n">
        <v>7</v>
      </c>
      <c r="C573" s="18" t="n">
        <v>8.43467490276066</v>
      </c>
      <c r="D573" s="18" t="n">
        <v>5.10776440799463</v>
      </c>
      <c r="E573" s="18" t="n">
        <v>7.00000000000718</v>
      </c>
      <c r="F573" s="18" t="n">
        <v>5.53574099191173</v>
      </c>
      <c r="G573" s="18" t="n">
        <v>5.49758706144614</v>
      </c>
      <c r="H573" s="18" t="n">
        <v>5.33432423381115</v>
      </c>
      <c r="I573" s="18" t="n">
        <v>5.25</v>
      </c>
      <c r="J573" s="18" t="n">
        <v>5.30108390682984</v>
      </c>
    </row>
    <row r="574" customFormat="false" ht="15" hidden="false" customHeight="false" outlineLevel="0" collapsed="false">
      <c r="A574" s="28" t="n">
        <v>56906.694905283</v>
      </c>
      <c r="B574" s="29" t="n">
        <v>7</v>
      </c>
      <c r="C574" s="18" t="n">
        <v>9.47298631466762</v>
      </c>
      <c r="D574" s="18" t="n">
        <v>5.50322945854604</v>
      </c>
      <c r="E574" s="18" t="n">
        <v>7.00000000000718</v>
      </c>
      <c r="F574" s="18" t="n">
        <v>8.2769553904228</v>
      </c>
      <c r="G574" s="18" t="n">
        <v>4.99334749302628</v>
      </c>
      <c r="H574" s="18" t="n">
        <v>5.34072137237682</v>
      </c>
      <c r="I574" s="18" t="n">
        <v>5.25</v>
      </c>
      <c r="J574" s="18" t="n">
        <v>5.2350492512597</v>
      </c>
    </row>
    <row r="575" customFormat="false" ht="15" hidden="false" customHeight="false" outlineLevel="0" collapsed="false">
      <c r="A575" s="28" t="n">
        <v>57006.7066713731</v>
      </c>
      <c r="B575" s="29" t="n">
        <v>7</v>
      </c>
      <c r="C575" s="18" t="n">
        <v>8.94620617923306</v>
      </c>
      <c r="D575" s="18" t="n">
        <v>8.78497498368725</v>
      </c>
      <c r="E575" s="18" t="n">
        <v>7.00000000000718</v>
      </c>
      <c r="F575" s="18" t="n">
        <v>8.64524013048299</v>
      </c>
      <c r="G575" s="18" t="n">
        <v>4.94917260642368</v>
      </c>
      <c r="H575" s="18" t="n">
        <v>5.1758187838017</v>
      </c>
      <c r="I575" s="18" t="n">
        <v>5.25</v>
      </c>
      <c r="J575" s="18" t="n">
        <v>5.2025617727319</v>
      </c>
    </row>
    <row r="576" customFormat="false" ht="15" hidden="false" customHeight="false" outlineLevel="0" collapsed="false">
      <c r="A576" s="28" t="n">
        <v>57106.7184374632</v>
      </c>
      <c r="B576" s="29" t="n">
        <v>7</v>
      </c>
      <c r="C576" s="18" t="n">
        <v>4.69800801295549</v>
      </c>
      <c r="D576" s="18" t="n">
        <v>8.69927126649372</v>
      </c>
      <c r="E576" s="18" t="n">
        <v>7.00000000000718</v>
      </c>
      <c r="F576" s="18" t="n">
        <v>7.58212310570908</v>
      </c>
      <c r="G576" s="18" t="n">
        <v>5.44963859181949</v>
      </c>
      <c r="H576" s="18" t="n">
        <v>5.15527114999418</v>
      </c>
      <c r="I576" s="18" t="n">
        <v>5.25</v>
      </c>
      <c r="J576" s="18" t="n">
        <v>5.20764404962987</v>
      </c>
    </row>
    <row r="577" customFormat="false" ht="15" hidden="false" customHeight="false" outlineLevel="0" collapsed="false">
      <c r="A577" s="28" t="n">
        <v>57206.7302035534</v>
      </c>
      <c r="B577" s="29" t="n">
        <v>7</v>
      </c>
      <c r="C577" s="18" t="n">
        <v>4.71748792671959</v>
      </c>
      <c r="D577" s="18" t="n">
        <v>5.37003621693348</v>
      </c>
      <c r="E577" s="18" t="n">
        <v>7.00000000000718</v>
      </c>
      <c r="F577" s="18" t="n">
        <v>5.37835775961193</v>
      </c>
      <c r="G577" s="18" t="n">
        <v>5.54837076142692</v>
      </c>
      <c r="H577" s="18" t="n">
        <v>5.30954598294587</v>
      </c>
      <c r="I577" s="18" t="n">
        <v>5.25</v>
      </c>
      <c r="J577" s="18" t="n">
        <v>5.29054328174039</v>
      </c>
    </row>
    <row r="578" customFormat="false" ht="15" hidden="false" customHeight="false" outlineLevel="0" collapsed="false">
      <c r="A578" s="28" t="n">
        <v>57306.7419696435</v>
      </c>
      <c r="B578" s="29" t="n">
        <v>7</v>
      </c>
      <c r="C578" s="18" t="n">
        <v>8.93283010343327</v>
      </c>
      <c r="D578" s="18" t="n">
        <v>5.1767069871972</v>
      </c>
      <c r="E578" s="18" t="n">
        <v>7.00000000000718</v>
      </c>
      <c r="F578" s="18" t="n">
        <v>5.68883633267764</v>
      </c>
      <c r="G578" s="18" t="n">
        <v>5.15752726152101</v>
      </c>
      <c r="H578" s="18" t="n">
        <v>5.34639461021217</v>
      </c>
      <c r="I578" s="18" t="n">
        <v>5.25</v>
      </c>
      <c r="J578" s="18" t="n">
        <v>5.30046261244883</v>
      </c>
    </row>
    <row r="579" customFormat="false" ht="15" hidden="false" customHeight="false" outlineLevel="0" collapsed="false">
      <c r="A579" s="28" t="n">
        <v>57406.7537357336</v>
      </c>
      <c r="B579" s="29" t="n">
        <v>7</v>
      </c>
      <c r="C579" s="18" t="n">
        <v>9.43595732427679</v>
      </c>
      <c r="D579" s="18" t="n">
        <v>8.37349429013436</v>
      </c>
      <c r="E579" s="18" t="n">
        <v>7.00000000000718</v>
      </c>
      <c r="F579" s="18" t="n">
        <v>8.45590138650472</v>
      </c>
      <c r="G579" s="18" t="n">
        <v>4.97019075425362</v>
      </c>
      <c r="H579" s="18" t="n">
        <v>5.22680864306538</v>
      </c>
      <c r="I579" s="18" t="n">
        <v>5.25</v>
      </c>
      <c r="J579" s="18" t="n">
        <v>5.22395712836984</v>
      </c>
    </row>
    <row r="580" customFormat="false" ht="15" hidden="false" customHeight="false" outlineLevel="0" collapsed="false">
      <c r="A580" s="28" t="n">
        <v>57506.7655018237</v>
      </c>
      <c r="B580" s="29" t="n">
        <v>7</v>
      </c>
      <c r="C580" s="18" t="n">
        <v>8.49432630109572</v>
      </c>
      <c r="D580" s="18" t="n">
        <v>8.90404992188746</v>
      </c>
      <c r="E580" s="18" t="n">
        <v>7.00000000000718</v>
      </c>
      <c r="F580" s="18" t="n">
        <v>8.58081797221169</v>
      </c>
      <c r="G580" s="18" t="n">
        <v>4.96041356706232</v>
      </c>
      <c r="H580" s="18" t="n">
        <v>5.154433148093</v>
      </c>
      <c r="I580" s="18" t="n">
        <v>5.25</v>
      </c>
      <c r="J580" s="18" t="n">
        <v>5.20107674739396</v>
      </c>
    </row>
    <row r="581" customFormat="false" ht="15" hidden="false" customHeight="false" outlineLevel="0" collapsed="false">
      <c r="A581" s="28" t="n">
        <v>57606.7772679139</v>
      </c>
      <c r="B581" s="29" t="n">
        <v>7</v>
      </c>
      <c r="C581" s="18" t="n">
        <v>4.59544079658288</v>
      </c>
      <c r="D581" s="18" t="n">
        <v>6.37222824629682</v>
      </c>
      <c r="E581" s="18" t="n">
        <v>7.00000000000718</v>
      </c>
      <c r="F581" s="18" t="n">
        <v>6.19194170023843</v>
      </c>
      <c r="G581" s="18" t="n">
        <v>5.48026370989004</v>
      </c>
      <c r="H581" s="18" t="n">
        <v>5.18095065635779</v>
      </c>
      <c r="I581" s="18" t="n">
        <v>5.25</v>
      </c>
      <c r="J581" s="18" t="n">
        <v>5.22268962853894</v>
      </c>
    </row>
    <row r="582" customFormat="false" ht="15" hidden="false" customHeight="false" outlineLevel="0" collapsed="false">
      <c r="A582" s="28" t="n">
        <v>57706.789034004</v>
      </c>
      <c r="B582" s="29" t="n">
        <v>7</v>
      </c>
      <c r="C582" s="18" t="n">
        <v>4.84740948628356</v>
      </c>
      <c r="D582" s="18" t="n">
        <v>5.06405380086388</v>
      </c>
      <c r="E582" s="18" t="n">
        <v>7.00000000000718</v>
      </c>
      <c r="F582" s="18" t="n">
        <v>5.33300473892959</v>
      </c>
      <c r="G582" s="18" t="n">
        <v>5.55228558359803</v>
      </c>
      <c r="H582" s="18" t="n">
        <v>5.33975504494811</v>
      </c>
      <c r="I582" s="18" t="n">
        <v>5.25</v>
      </c>
      <c r="J582" s="18" t="n">
        <v>5.29547233379106</v>
      </c>
    </row>
    <row r="583" customFormat="false" ht="15" hidden="false" customHeight="false" outlineLevel="0" collapsed="false">
      <c r="A583" s="28" t="n">
        <v>57806.8008000941</v>
      </c>
      <c r="B583" s="29" t="n">
        <v>7</v>
      </c>
      <c r="C583" s="18" t="n">
        <v>9.15747816956328</v>
      </c>
      <c r="D583" s="18" t="n">
        <v>5.80267820528512</v>
      </c>
      <c r="E583" s="18" t="n">
        <v>7.00000000000718</v>
      </c>
      <c r="F583" s="18" t="n">
        <v>5.95701155240998</v>
      </c>
      <c r="G583" s="18" t="n">
        <v>5.0891858991958</v>
      </c>
      <c r="H583" s="18" t="n">
        <v>5.33462426980182</v>
      </c>
      <c r="I583" s="18" t="n">
        <v>5.25</v>
      </c>
      <c r="J583" s="18" t="n">
        <v>5.2981575894025</v>
      </c>
    </row>
    <row r="584" customFormat="false" ht="15" hidden="false" customHeight="false" outlineLevel="0" collapsed="false">
      <c r="A584" s="28" t="n">
        <v>57906.8125661843</v>
      </c>
      <c r="B584" s="29" t="n">
        <v>7</v>
      </c>
      <c r="C584" s="18" t="n">
        <v>9.3721307973174</v>
      </c>
      <c r="D584" s="18" t="n">
        <v>8.86748820904643</v>
      </c>
      <c r="E584" s="18" t="n">
        <v>7.00000000000718</v>
      </c>
      <c r="F584" s="18" t="n">
        <v>8.57486100939104</v>
      </c>
      <c r="G584" s="18" t="n">
        <v>4.95927595700243</v>
      </c>
      <c r="H584" s="18" t="n">
        <v>5.16784154417033</v>
      </c>
      <c r="I584" s="18" t="n">
        <v>5.25</v>
      </c>
      <c r="J584" s="18" t="n">
        <v>5.21661143901258</v>
      </c>
    </row>
    <row r="585" customFormat="false" ht="15" hidden="false" customHeight="false" outlineLevel="0" collapsed="false">
      <c r="A585" s="28" t="n">
        <v>58006.8243322744</v>
      </c>
      <c r="B585" s="29" t="n">
        <v>7</v>
      </c>
      <c r="C585" s="18" t="n">
        <v>5.56786602779848</v>
      </c>
      <c r="D585" s="18" t="n">
        <v>8.53914636929451</v>
      </c>
      <c r="E585" s="18" t="n">
        <v>7.00000000000718</v>
      </c>
      <c r="F585" s="18" t="n">
        <v>8.48657789436815</v>
      </c>
      <c r="G585" s="18" t="n">
        <v>5.00226995149077</v>
      </c>
      <c r="H585" s="18" t="n">
        <v>5.15849547391701</v>
      </c>
      <c r="I585" s="18" t="n">
        <v>5.25</v>
      </c>
      <c r="J585" s="18" t="n">
        <v>5.20048094351325</v>
      </c>
    </row>
    <row r="586" customFormat="false" ht="15" hidden="false" customHeight="false" outlineLevel="0" collapsed="false">
      <c r="A586" s="28" t="n">
        <v>58106.8360983645</v>
      </c>
      <c r="B586" s="29" t="n">
        <v>7</v>
      </c>
      <c r="C586" s="18" t="n">
        <v>4.52597270841459</v>
      </c>
      <c r="D586" s="18" t="n">
        <v>5.23842593560664</v>
      </c>
      <c r="E586" s="18" t="n">
        <v>7.00000000000718</v>
      </c>
      <c r="F586" s="18" t="n">
        <v>5.79354974233737</v>
      </c>
      <c r="G586" s="18" t="n">
        <v>5.50677654656963</v>
      </c>
      <c r="H586" s="18" t="n">
        <v>5.32214809543479</v>
      </c>
      <c r="I586" s="18" t="n">
        <v>5.25</v>
      </c>
      <c r="J586" s="18" t="n">
        <v>5.26384173375089</v>
      </c>
    </row>
    <row r="587" customFormat="false" ht="15" hidden="false" customHeight="false" outlineLevel="0" collapsed="false">
      <c r="A587" s="28" t="n">
        <v>58206.8478644546</v>
      </c>
      <c r="B587" s="29" t="n">
        <v>7</v>
      </c>
      <c r="C587" s="18" t="n">
        <v>5.05392782529467</v>
      </c>
      <c r="D587" s="18" t="n">
        <v>5.28099602448469</v>
      </c>
      <c r="E587" s="18" t="n">
        <v>7.00000000000718</v>
      </c>
      <c r="F587" s="18" t="n">
        <v>5.3688637511497</v>
      </c>
      <c r="G587" s="18" t="n">
        <v>5.55093431903036</v>
      </c>
      <c r="H587" s="18" t="n">
        <v>5.34502456722497</v>
      </c>
      <c r="I587" s="18" t="n">
        <v>5.25</v>
      </c>
      <c r="J587" s="18" t="n">
        <v>5.29922697236474</v>
      </c>
    </row>
    <row r="588" customFormat="false" ht="15" hidden="false" customHeight="false" outlineLevel="0" collapsed="false">
      <c r="A588" s="28" t="n">
        <v>58306.8596305448</v>
      </c>
      <c r="B588" s="29" t="n">
        <v>7</v>
      </c>
      <c r="C588" s="18" t="n">
        <v>9.30161027943659</v>
      </c>
      <c r="D588" s="18" t="n">
        <v>8.60198503049565</v>
      </c>
      <c r="E588" s="18" t="n">
        <v>7.00000000000718</v>
      </c>
      <c r="F588" s="18" t="n">
        <v>6.80683663679473</v>
      </c>
      <c r="G588" s="18" t="n">
        <v>5.0503938838043</v>
      </c>
      <c r="H588" s="18" t="n">
        <v>5.19326304150142</v>
      </c>
      <c r="I588" s="18" t="n">
        <v>5.25</v>
      </c>
      <c r="J588" s="18" t="n">
        <v>5.29222660825082</v>
      </c>
    </row>
    <row r="589" customFormat="false" ht="15" hidden="false" customHeight="false" outlineLevel="0" collapsed="false">
      <c r="A589" s="28" t="n">
        <v>58406.8713966349</v>
      </c>
      <c r="B589" s="29" t="n">
        <v>7</v>
      </c>
      <c r="C589" s="18" t="n">
        <v>9.28185370749851</v>
      </c>
      <c r="D589" s="18" t="n">
        <v>8.83541682971888</v>
      </c>
      <c r="E589" s="18" t="n">
        <v>7.00000000000718</v>
      </c>
      <c r="F589" s="18" t="n">
        <v>8.65530321431235</v>
      </c>
      <c r="G589" s="18" t="n">
        <v>4.95178855461581</v>
      </c>
      <c r="H589" s="18" t="n">
        <v>5.15358383787188</v>
      </c>
      <c r="I589" s="18" t="n">
        <v>5.25</v>
      </c>
      <c r="J589" s="18" t="n">
        <v>5.21075649172947</v>
      </c>
    </row>
    <row r="590" customFormat="false" ht="15" hidden="false" customHeight="false" outlineLevel="0" collapsed="false">
      <c r="A590" s="28" t="n">
        <v>58506.883162725</v>
      </c>
      <c r="B590" s="29" t="n">
        <v>7</v>
      </c>
      <c r="C590" s="18" t="n">
        <v>5.06778089277005</v>
      </c>
      <c r="D590" s="18" t="n">
        <v>5.67664709802776</v>
      </c>
      <c r="E590" s="18" t="n">
        <v>7.00000000000718</v>
      </c>
      <c r="F590" s="18" t="n">
        <v>8.34668521005573</v>
      </c>
      <c r="G590" s="18" t="n">
        <v>5.34222445550668</v>
      </c>
      <c r="H590" s="18" t="n">
        <v>5.2579769040863</v>
      </c>
      <c r="I590" s="18" t="n">
        <v>5.25</v>
      </c>
      <c r="J590" s="18" t="n">
        <v>5.20090452454218</v>
      </c>
    </row>
    <row r="591" customFormat="false" ht="15" hidden="false" customHeight="false" outlineLevel="0" collapsed="false">
      <c r="A591" s="28" t="n">
        <v>58606.8949288152</v>
      </c>
      <c r="B591" s="29" t="n">
        <v>7</v>
      </c>
      <c r="C591" s="18" t="n">
        <v>4.56301971773708</v>
      </c>
      <c r="D591" s="18" t="n">
        <v>5.08646435625562</v>
      </c>
      <c r="E591" s="18" t="n">
        <v>7.00000000000718</v>
      </c>
      <c r="F591" s="18" t="n">
        <v>5.59284961144952</v>
      </c>
      <c r="G591" s="18" t="n">
        <v>5.52997556182174</v>
      </c>
      <c r="H591" s="18" t="n">
        <v>5.34489001749314</v>
      </c>
      <c r="I591" s="18" t="n">
        <v>5.25</v>
      </c>
      <c r="J591" s="18" t="n">
        <v>5.27697456705482</v>
      </c>
    </row>
    <row r="592" customFormat="false" ht="15" hidden="false" customHeight="false" outlineLevel="0" collapsed="false">
      <c r="A592" s="28" t="n">
        <v>58706.9066949053</v>
      </c>
      <c r="B592" s="29" t="n">
        <v>7</v>
      </c>
      <c r="C592" s="18" t="n">
        <v>5.50742315110445</v>
      </c>
      <c r="D592" s="18" t="n">
        <v>7.23406015306057</v>
      </c>
      <c r="E592" s="18" t="n">
        <v>7.00000000000718</v>
      </c>
      <c r="F592" s="18" t="n">
        <v>5.43732093096995</v>
      </c>
      <c r="G592" s="18" t="n">
        <v>5.53963705113113</v>
      </c>
      <c r="H592" s="18" t="n">
        <v>5.32244646567965</v>
      </c>
      <c r="I592" s="18" t="n">
        <v>5.25</v>
      </c>
      <c r="J592" s="18" t="n">
        <v>5.30066337088358</v>
      </c>
    </row>
    <row r="593" customFormat="false" ht="15" hidden="false" customHeight="false" outlineLevel="0" collapsed="false">
      <c r="A593" s="28" t="n">
        <v>58806.9184609954</v>
      </c>
      <c r="B593" s="29" t="n">
        <v>7</v>
      </c>
      <c r="C593" s="18" t="n">
        <v>9.40383486695697</v>
      </c>
      <c r="D593" s="18" t="n">
        <v>8.92827679403265</v>
      </c>
      <c r="E593" s="18" t="n">
        <v>7.00000000000718</v>
      </c>
      <c r="F593" s="18" t="n">
        <v>7.96871474844468</v>
      </c>
      <c r="G593" s="18" t="n">
        <v>5.01981707642364</v>
      </c>
      <c r="H593" s="18" t="n">
        <v>5.1613643889159</v>
      </c>
      <c r="I593" s="18" t="n">
        <v>5.25</v>
      </c>
      <c r="J593" s="18" t="n">
        <v>5.26845533940747</v>
      </c>
    </row>
    <row r="594" customFormat="false" ht="15" hidden="false" customHeight="false" outlineLevel="0" collapsed="false">
      <c r="A594" s="28" t="n">
        <v>58906.9302270855</v>
      </c>
      <c r="B594" s="29" t="n">
        <v>7</v>
      </c>
      <c r="C594" s="18" t="n">
        <v>9.152234147272</v>
      </c>
      <c r="D594" s="18" t="n">
        <v>8.28877882485124</v>
      </c>
      <c r="E594" s="18" t="n">
        <v>7.00000000000718</v>
      </c>
      <c r="F594" s="18" t="n">
        <v>8.68120228748618</v>
      </c>
      <c r="G594" s="18" t="n">
        <v>4.94785329785876</v>
      </c>
      <c r="H594" s="18" t="n">
        <v>5.16363564689415</v>
      </c>
      <c r="I594" s="18" t="n">
        <v>5.25</v>
      </c>
      <c r="J594" s="18" t="n">
        <v>5.20585905092012</v>
      </c>
    </row>
    <row r="595" customFormat="false" ht="15" hidden="false" customHeight="false" outlineLevel="0" collapsed="false">
      <c r="A595" s="28" t="n">
        <v>59006.9419931757</v>
      </c>
      <c r="B595" s="29" t="n">
        <v>7</v>
      </c>
      <c r="C595" s="18" t="n">
        <v>4.84254623401078</v>
      </c>
      <c r="D595" s="18" t="n">
        <v>5.14937032602604</v>
      </c>
      <c r="E595" s="18" t="n">
        <v>7.00000000000718</v>
      </c>
      <c r="F595" s="18" t="n">
        <v>8.11336716245313</v>
      </c>
      <c r="G595" s="18" t="n">
        <v>5.41078036566775</v>
      </c>
      <c r="H595" s="18" t="n">
        <v>5.33019053858609</v>
      </c>
      <c r="I595" s="18" t="n">
        <v>5.25</v>
      </c>
      <c r="J595" s="18" t="n">
        <v>5.20288648438119</v>
      </c>
    </row>
    <row r="596" customFormat="false" ht="15" hidden="false" customHeight="false" outlineLevel="0" collapsed="false">
      <c r="A596" s="28" t="n">
        <v>59106.9537592658</v>
      </c>
      <c r="B596" s="29" t="n">
        <v>7</v>
      </c>
      <c r="C596" s="18" t="n">
        <v>4.62699412681433</v>
      </c>
      <c r="D596" s="18" t="n">
        <v>5.39272064490871</v>
      </c>
      <c r="E596" s="18" t="n">
        <v>7.00000000000718</v>
      </c>
      <c r="F596" s="18" t="n">
        <v>5.46323371418279</v>
      </c>
      <c r="G596" s="18" t="n">
        <v>5.54089466332644</v>
      </c>
      <c r="H596" s="18" t="n">
        <v>5.34303584571584</v>
      </c>
      <c r="I596" s="18" t="n">
        <v>5.25</v>
      </c>
      <c r="J596" s="18" t="n">
        <v>5.2847829782495</v>
      </c>
    </row>
    <row r="597" customFormat="false" ht="15" hidden="false" customHeight="false" outlineLevel="0" collapsed="false">
      <c r="A597" s="28" t="n">
        <v>59206.9655253559</v>
      </c>
      <c r="B597" s="29" t="n">
        <v>7</v>
      </c>
      <c r="C597" s="18" t="n">
        <v>8.43467490276061</v>
      </c>
      <c r="D597" s="18" t="n">
        <v>8.71973307585179</v>
      </c>
      <c r="E597" s="18" t="n">
        <v>7.00000000000718</v>
      </c>
      <c r="F597" s="18" t="n">
        <v>5.53968700442331</v>
      </c>
      <c r="G597" s="18" t="n">
        <v>5.49758706144614</v>
      </c>
      <c r="H597" s="18" t="n">
        <v>5.18229659443711</v>
      </c>
      <c r="I597" s="18" t="n">
        <v>5.25</v>
      </c>
      <c r="J597" s="18" t="n">
        <v>5.30109226302608</v>
      </c>
    </row>
    <row r="598" customFormat="false" ht="15" hidden="false" customHeight="false" outlineLevel="0" collapsed="false">
      <c r="A598" s="28" t="n">
        <v>59306.9772914461</v>
      </c>
      <c r="B598" s="29" t="n">
        <v>7</v>
      </c>
      <c r="C598" s="18" t="n">
        <v>9.47298631466762</v>
      </c>
      <c r="D598" s="18" t="n">
        <v>8.7902573009463</v>
      </c>
      <c r="E598" s="18" t="n">
        <v>7.00000000000718</v>
      </c>
      <c r="F598" s="18" t="n">
        <v>8.28445615467407</v>
      </c>
      <c r="G598" s="18" t="n">
        <v>4.99334749302651</v>
      </c>
      <c r="H598" s="18" t="n">
        <v>5.15364950175833</v>
      </c>
      <c r="I598" s="18" t="n">
        <v>5.25</v>
      </c>
      <c r="J598" s="18" t="n">
        <v>5.23453158873292</v>
      </c>
    </row>
    <row r="599" customFormat="false" ht="15" hidden="false" customHeight="false" outlineLevel="0" collapsed="false">
      <c r="A599" s="28" t="n">
        <v>59406.9890575362</v>
      </c>
      <c r="B599" s="29" t="n">
        <v>7</v>
      </c>
      <c r="C599" s="18" t="n">
        <v>8.94620617923306</v>
      </c>
      <c r="D599" s="18" t="n">
        <v>5.51707889337646</v>
      </c>
      <c r="E599" s="18" t="n">
        <v>7.00000000000718</v>
      </c>
      <c r="F599" s="18" t="n">
        <v>8.64271729520525</v>
      </c>
      <c r="G599" s="18" t="n">
        <v>4.94917260642362</v>
      </c>
      <c r="H599" s="18" t="n">
        <v>5.29213089111342</v>
      </c>
      <c r="I599" s="18" t="n">
        <v>5.25</v>
      </c>
      <c r="J599" s="18" t="n">
        <v>5.20250035758205</v>
      </c>
    </row>
    <row r="600" customFormat="false" ht="15" hidden="false" customHeight="false" outlineLevel="0" collapsed="false">
      <c r="A600" s="28" t="n">
        <v>59507.0008236263</v>
      </c>
      <c r="B600" s="29" t="n">
        <v>7</v>
      </c>
      <c r="C600" s="18" t="n">
        <v>4.69800801295558</v>
      </c>
      <c r="D600" s="18" t="n">
        <v>5.1029232857003</v>
      </c>
      <c r="E600" s="18" t="n">
        <v>7.00000000000718</v>
      </c>
      <c r="F600" s="18" t="n">
        <v>7.5363638803842</v>
      </c>
      <c r="G600" s="18" t="n">
        <v>5.44963859181947</v>
      </c>
      <c r="H600" s="18" t="n">
        <v>5.34669378195987</v>
      </c>
      <c r="I600" s="18" t="n">
        <v>5.25</v>
      </c>
      <c r="J600" s="18" t="n">
        <v>5.20798166611579</v>
      </c>
    </row>
    <row r="601" customFormat="false" ht="15" hidden="false" customHeight="false" outlineLevel="0" collapsed="false">
      <c r="A601" s="28" t="n">
        <v>59607.0125897164</v>
      </c>
      <c r="B601" s="29" t="n">
        <v>7</v>
      </c>
      <c r="C601" s="18" t="n">
        <v>4.71748792671958</v>
      </c>
      <c r="D601" s="18" t="n">
        <v>7.90839392524661</v>
      </c>
      <c r="E601" s="18" t="n">
        <v>7.00000000000718</v>
      </c>
      <c r="F601" s="18" t="n">
        <v>5.3755838231711</v>
      </c>
      <c r="G601" s="18" t="n">
        <v>5.54837076142691</v>
      </c>
      <c r="H601" s="18" t="n">
        <v>5.31320512417944</v>
      </c>
      <c r="I601" s="18" t="n">
        <v>5.25</v>
      </c>
      <c r="J601" s="18" t="n">
        <v>5.29075371276572</v>
      </c>
    </row>
    <row r="602" customFormat="false" ht="15" hidden="false" customHeight="false" outlineLevel="0" collapsed="false">
      <c r="A602" s="28" t="n">
        <v>59707.0243558066</v>
      </c>
      <c r="B602" s="29" t="n">
        <v>7</v>
      </c>
      <c r="C602" s="18" t="n">
        <v>8.93283010343327</v>
      </c>
      <c r="D602" s="18" t="n">
        <v>8.94481312972021</v>
      </c>
      <c r="E602" s="18" t="n">
        <v>7.00000000000718</v>
      </c>
      <c r="F602" s="18" t="n">
        <v>5.69563460945824</v>
      </c>
      <c r="G602" s="18" t="n">
        <v>5.15752726152103</v>
      </c>
      <c r="H602" s="18" t="n">
        <v>5.15908225303273</v>
      </c>
      <c r="I602" s="18" t="n">
        <v>5.25</v>
      </c>
      <c r="J602" s="18" t="n">
        <v>5.30042417376558</v>
      </c>
    </row>
    <row r="603" customFormat="false" ht="15" hidden="false" customHeight="false" outlineLevel="0" collapsed="false">
      <c r="A603" s="28" t="n">
        <v>59807.0361218967</v>
      </c>
      <c r="B603" s="29" t="n">
        <v>7</v>
      </c>
      <c r="C603" s="18" t="n">
        <v>9.43595732427679</v>
      </c>
      <c r="D603" s="18" t="n">
        <v>8.12439436831297</v>
      </c>
      <c r="E603" s="18" t="n">
        <v>7.00000000000718</v>
      </c>
      <c r="F603" s="18" t="n">
        <v>8.46100107460868</v>
      </c>
      <c r="G603" s="18" t="n">
        <v>4.97019075425334</v>
      </c>
      <c r="H603" s="18" t="n">
        <v>5.16659259249007</v>
      </c>
      <c r="I603" s="18" t="n">
        <v>5.25</v>
      </c>
      <c r="J603" s="18" t="n">
        <v>5.22363502906423</v>
      </c>
    </row>
    <row r="604" customFormat="false" ht="15" hidden="false" customHeight="false" outlineLevel="0" collapsed="false">
      <c r="A604" s="28" t="n">
        <v>59907.0478879868</v>
      </c>
      <c r="B604" s="29" t="n">
        <v>7</v>
      </c>
      <c r="C604" s="18" t="n">
        <v>8.49432630109405</v>
      </c>
      <c r="D604" s="18" t="n">
        <v>5.12078472696527</v>
      </c>
      <c r="E604" s="18" t="n">
        <v>7.00000000000718</v>
      </c>
      <c r="F604" s="18" t="n">
        <v>8.57694699212487</v>
      </c>
      <c r="G604" s="18" t="n">
        <v>4.96041356706233</v>
      </c>
      <c r="H604" s="18" t="n">
        <v>5.33321147649136</v>
      </c>
      <c r="I604" s="18" t="n">
        <v>5.25</v>
      </c>
      <c r="J604" s="18" t="n">
        <v>5.20105012049529</v>
      </c>
    </row>
    <row r="605" customFormat="false" ht="15" hidden="false" customHeight="false" outlineLevel="0" collapsed="false">
      <c r="A605" s="28" t="n">
        <v>60007.059654077</v>
      </c>
      <c r="B605" s="29" t="n">
        <v>8</v>
      </c>
      <c r="C605" s="18" t="n">
        <v>4.59544079658266</v>
      </c>
      <c r="D605" s="18" t="n">
        <v>5.48370913440458</v>
      </c>
      <c r="E605" s="18" t="n">
        <v>7.00000000000718</v>
      </c>
      <c r="F605" s="18" t="n">
        <v>6.16366815199605</v>
      </c>
      <c r="G605" s="18" t="n">
        <v>5.59959556852622</v>
      </c>
      <c r="H605" s="18" t="n">
        <v>5.39132108489432</v>
      </c>
      <c r="I605" s="18" t="n">
        <v>5.25184480538498</v>
      </c>
      <c r="J605" s="18" t="n">
        <v>5.25474006716908</v>
      </c>
    </row>
    <row r="606" customFormat="false" ht="15" hidden="false" customHeight="false" outlineLevel="0" collapsed="false">
      <c r="A606" s="28" t="n">
        <v>60107.0714201671</v>
      </c>
      <c r="B606" s="29" t="n">
        <v>8</v>
      </c>
      <c r="C606" s="18" t="n">
        <v>4.92649080562883</v>
      </c>
      <c r="D606" s="18" t="n">
        <v>8.84145154033002</v>
      </c>
      <c r="E606" s="18" t="n">
        <v>7.07887796052734</v>
      </c>
      <c r="F606" s="18" t="n">
        <v>5.39373207334298</v>
      </c>
      <c r="G606" s="18" t="n">
        <v>5.70261950521921</v>
      </c>
      <c r="H606" s="18" t="n">
        <v>5.23330857519958</v>
      </c>
      <c r="I606" s="18" t="n">
        <v>5.25205437876771</v>
      </c>
      <c r="J606" s="18" t="n">
        <v>5.33379516230411</v>
      </c>
    </row>
    <row r="607" customFormat="false" ht="15" hidden="false" customHeight="false" outlineLevel="0" collapsed="false">
      <c r="A607" s="28" t="n">
        <v>60207.0831862572</v>
      </c>
      <c r="B607" s="29" t="n">
        <v>8</v>
      </c>
      <c r="C607" s="18" t="n">
        <v>9.47135112186989</v>
      </c>
      <c r="D607" s="18" t="n">
        <v>9.0461038284203</v>
      </c>
      <c r="E607" s="18" t="n">
        <v>7.41337285069326</v>
      </c>
      <c r="F607" s="18" t="n">
        <v>8.4529244041539</v>
      </c>
      <c r="G607" s="18" t="n">
        <v>5.1977691173207</v>
      </c>
      <c r="H607" s="18" t="n">
        <v>5.205303824356</v>
      </c>
      <c r="I607" s="18" t="n">
        <v>5.25139149269818</v>
      </c>
      <c r="J607" s="18" t="n">
        <v>5.27096135039656</v>
      </c>
    </row>
    <row r="608" customFormat="false" ht="15" hidden="false" customHeight="false" outlineLevel="0" collapsed="false">
      <c r="A608" s="28" t="n">
        <v>60307.0949523473</v>
      </c>
      <c r="B608" s="29" t="n">
        <v>8</v>
      </c>
      <c r="C608" s="18" t="n">
        <v>9.62212900983321</v>
      </c>
      <c r="D608" s="18" t="n">
        <v>8.80055756973867</v>
      </c>
      <c r="E608" s="18" t="n">
        <v>7.56728585110405</v>
      </c>
      <c r="F608" s="18" t="n">
        <v>8.95887110446613</v>
      </c>
      <c r="G608" s="18" t="n">
        <v>5.1122548282358</v>
      </c>
      <c r="H608" s="18" t="n">
        <v>5.20903705936814</v>
      </c>
      <c r="I608" s="18" t="n">
        <v>5.25131572395599</v>
      </c>
      <c r="J608" s="18" t="n">
        <v>5.2404164665361</v>
      </c>
    </row>
    <row r="609" customFormat="false" ht="15" hidden="false" customHeight="false" outlineLevel="0" collapsed="false">
      <c r="A609" s="28" t="n">
        <v>60407.1067184375</v>
      </c>
      <c r="B609" s="29" t="n">
        <v>8</v>
      </c>
      <c r="C609" s="18" t="n">
        <v>9.43261475276531</v>
      </c>
      <c r="D609" s="18" t="n">
        <v>8.19932961406524</v>
      </c>
      <c r="E609" s="18" t="n">
        <v>7.66053274103098</v>
      </c>
      <c r="F609" s="18" t="n">
        <v>8.90801417790386</v>
      </c>
      <c r="G609" s="18" t="n">
        <v>5.08186140891319</v>
      </c>
      <c r="H609" s="18" t="n">
        <v>5.22858881702577</v>
      </c>
      <c r="I609" s="18" t="n">
        <v>5.25127192732219</v>
      </c>
      <c r="J609" s="18" t="n">
        <v>5.23316653936004</v>
      </c>
    </row>
    <row r="610" customFormat="false" ht="15" hidden="false" customHeight="false" outlineLevel="0" collapsed="false">
      <c r="A610" s="28" t="n">
        <v>60507.1184845276</v>
      </c>
      <c r="B610" s="29" t="n">
        <v>8</v>
      </c>
      <c r="C610" s="18" t="n">
        <v>8.97521603863669</v>
      </c>
      <c r="D610" s="18" t="n">
        <v>5.81381553799342</v>
      </c>
      <c r="E610" s="18" t="n">
        <v>7.72796827023674</v>
      </c>
      <c r="F610" s="18" t="n">
        <v>8.7744154333133</v>
      </c>
      <c r="G610" s="18" t="n">
        <v>5.08352051346861</v>
      </c>
      <c r="H610" s="18" t="n">
        <v>5.35414460999313</v>
      </c>
      <c r="I610" s="18" t="n">
        <v>5.25123992578026</v>
      </c>
      <c r="J610" s="18" t="n">
        <v>5.22849519530616</v>
      </c>
    </row>
    <row r="611" customFormat="false" ht="15" hidden="false" customHeight="false" outlineLevel="0" collapsed="false">
      <c r="A611" s="28" t="n">
        <v>60607.1302506177</v>
      </c>
      <c r="B611" s="29" t="n">
        <v>8</v>
      </c>
      <c r="C611" s="18" t="n">
        <v>5.11108277862893</v>
      </c>
      <c r="D611" s="18" t="n">
        <v>8.48004369761451</v>
      </c>
      <c r="E611" s="18" t="n">
        <v>7.77898662159187</v>
      </c>
      <c r="F611" s="18" t="n">
        <v>8.54059047758984</v>
      </c>
      <c r="G611" s="18" t="n">
        <v>5.52647201375063</v>
      </c>
      <c r="H611" s="18" t="n">
        <v>5.26465146141503</v>
      </c>
      <c r="I611" s="18" t="n">
        <v>5.25121715937568</v>
      </c>
      <c r="J611" s="18" t="n">
        <v>5.22911545916432</v>
      </c>
    </row>
    <row r="612" customFormat="false" ht="15" hidden="false" customHeight="false" outlineLevel="0" collapsed="false">
      <c r="A612" s="28" t="n">
        <v>60707.1420167079</v>
      </c>
      <c r="B612" s="29" t="n">
        <v>8</v>
      </c>
      <c r="C612" s="18" t="n">
        <v>5.30176317759111</v>
      </c>
      <c r="D612" s="18" t="n">
        <v>9.06704197874987</v>
      </c>
      <c r="E612" s="18" t="n">
        <v>7.81903340122423</v>
      </c>
      <c r="F612" s="18" t="n">
        <v>8.03601499672853</v>
      </c>
      <c r="G612" s="18" t="n">
        <v>5.66303374631516</v>
      </c>
      <c r="H612" s="18" t="n">
        <v>5.20693679865379</v>
      </c>
      <c r="I612" s="18" t="n">
        <v>5.25119997854791</v>
      </c>
      <c r="J612" s="18" t="n">
        <v>5.23838365300222</v>
      </c>
    </row>
    <row r="613" customFormat="false" ht="15" hidden="false" customHeight="false" outlineLevel="0" collapsed="false">
      <c r="A613" s="28" t="n">
        <v>60807.153782798</v>
      </c>
      <c r="B613" s="29" t="n">
        <v>8</v>
      </c>
      <c r="C613" s="18" t="n">
        <v>9.49642051225114</v>
      </c>
      <c r="D613" s="18" t="n">
        <v>8.89024174570431</v>
      </c>
      <c r="E613" s="18" t="n">
        <v>7.85129025051192</v>
      </c>
      <c r="F613" s="18" t="n">
        <v>6.22636985612853</v>
      </c>
      <c r="G613" s="18" t="n">
        <v>5.15885092090442</v>
      </c>
      <c r="H613" s="18" t="n">
        <v>5.20639958746814</v>
      </c>
      <c r="I613" s="18" t="n">
        <v>5.25118619220629</v>
      </c>
      <c r="J613" s="18" t="n">
        <v>5.29446842916703</v>
      </c>
    </row>
    <row r="614" customFormat="false" ht="15" hidden="false" customHeight="false" outlineLevel="0" collapsed="false">
      <c r="A614" s="28" t="n">
        <v>60907.1655488881</v>
      </c>
      <c r="B614" s="29" t="n">
        <v>8</v>
      </c>
      <c r="C614" s="18" t="n">
        <v>9.52117959051881</v>
      </c>
      <c r="D614" s="18" t="n">
        <v>8.44403666258993</v>
      </c>
      <c r="E614" s="18" t="n">
        <v>7.87774584102755</v>
      </c>
      <c r="F614" s="18" t="n">
        <v>7.98508557198165</v>
      </c>
      <c r="G614" s="18" t="n">
        <v>5.09028471503183</v>
      </c>
      <c r="H614" s="18" t="n">
        <v>5.22000172149791</v>
      </c>
      <c r="I614" s="18" t="n">
        <v>5.25117447401037</v>
      </c>
      <c r="J614" s="18" t="n">
        <v>5.28568918965826</v>
      </c>
    </row>
    <row r="615" customFormat="false" ht="15" hidden="false" customHeight="false" outlineLevel="0" collapsed="false">
      <c r="A615" s="28" t="n">
        <v>61007.1773149782</v>
      </c>
      <c r="B615" s="29" t="n">
        <v>8</v>
      </c>
      <c r="C615" s="18" t="n">
        <v>9.21874430482487</v>
      </c>
      <c r="D615" s="18" t="n">
        <v>6.00492396881465</v>
      </c>
      <c r="E615" s="18" t="n">
        <v>7.89972049592615</v>
      </c>
      <c r="F615" s="18" t="n">
        <v>8.77250465753722</v>
      </c>
      <c r="G615" s="18" t="n">
        <v>5.07442679680532</v>
      </c>
      <c r="H615" s="18" t="n">
        <v>5.32900264303422</v>
      </c>
      <c r="I615" s="18" t="n">
        <v>5.25116401978898</v>
      </c>
      <c r="J615" s="18" t="n">
        <v>5.23771902521401</v>
      </c>
    </row>
    <row r="616" customFormat="false" ht="15" hidden="false" customHeight="false" outlineLevel="0" collapsed="false">
      <c r="A616" s="28" t="n">
        <v>61107.1890810684</v>
      </c>
      <c r="B616" s="29" t="n">
        <v>8</v>
      </c>
      <c r="C616" s="18" t="n">
        <v>5.84693584460402</v>
      </c>
      <c r="D616" s="18" t="n">
        <v>7.47667396706128</v>
      </c>
      <c r="E616" s="18" t="n">
        <v>7.91813439451435</v>
      </c>
      <c r="F616" s="18" t="n">
        <v>8.71254897565984</v>
      </c>
      <c r="G616" s="18" t="n">
        <v>5.15810142090666</v>
      </c>
      <c r="H616" s="18" t="n">
        <v>5.36742637050576</v>
      </c>
      <c r="I616" s="18" t="n">
        <v>5.2511543469437</v>
      </c>
      <c r="J616" s="18" t="n">
        <v>5.23128844604414</v>
      </c>
    </row>
    <row r="617" customFormat="false" ht="15" hidden="false" customHeight="false" outlineLevel="0" collapsed="false">
      <c r="A617" s="28" t="n">
        <v>61207.2008471585</v>
      </c>
      <c r="B617" s="29" t="n">
        <v>8</v>
      </c>
      <c r="C617" s="18" t="n">
        <v>4.8208591222092</v>
      </c>
      <c r="D617" s="18" t="n">
        <v>9.04252771876923</v>
      </c>
      <c r="E617" s="18" t="n">
        <v>7.93365519965453</v>
      </c>
      <c r="F617" s="18" t="n">
        <v>8.48157262295321</v>
      </c>
      <c r="G617" s="18" t="n">
        <v>5.63539010169261</v>
      </c>
      <c r="H617" s="18" t="n">
        <v>5.21404252660057</v>
      </c>
      <c r="I617" s="18" t="n">
        <v>5.2511451731766</v>
      </c>
      <c r="J617" s="18" t="n">
        <v>5.23224726110618</v>
      </c>
    </row>
    <row r="618" customFormat="false" ht="15" hidden="false" customHeight="false" outlineLevel="0" collapsed="false">
      <c r="A618" s="28" t="n">
        <v>61307.2126132486</v>
      </c>
      <c r="B618" s="29" t="n">
        <v>8</v>
      </c>
      <c r="C618" s="18" t="n">
        <v>9.20052226831155</v>
      </c>
      <c r="D618" s="18" t="n">
        <v>8.95382430423911</v>
      </c>
      <c r="E618" s="18" t="n">
        <v>7.94678404057416</v>
      </c>
      <c r="F618" s="18" t="n">
        <v>7.98914526980367</v>
      </c>
      <c r="G618" s="18" t="n">
        <v>5.22499257489793</v>
      </c>
      <c r="H618" s="18" t="n">
        <v>5.20515150482486</v>
      </c>
      <c r="I618" s="18" t="n">
        <v>5.251136341815</v>
      </c>
      <c r="J618" s="18" t="n">
        <v>5.24170783584762</v>
      </c>
    </row>
    <row r="619" customFormat="false" ht="15" hidden="false" customHeight="false" outlineLevel="0" collapsed="false">
      <c r="A619" s="28" t="n">
        <v>61407.2243793388</v>
      </c>
      <c r="B619" s="29" t="n">
        <v>8</v>
      </c>
      <c r="C619" s="18" t="n">
        <v>9.5765186554288</v>
      </c>
      <c r="D619" s="18" t="n">
        <v>8.59223872372628</v>
      </c>
      <c r="E619" s="18" t="n">
        <v>7.95790802974499</v>
      </c>
      <c r="F619" s="18" t="n">
        <v>6.40585273745625</v>
      </c>
      <c r="G619" s="18" t="n">
        <v>5.10473729362418</v>
      </c>
      <c r="H619" s="18" t="n">
        <v>5.21484822958317</v>
      </c>
      <c r="I619" s="18" t="n">
        <v>5.25112777487564</v>
      </c>
      <c r="J619" s="18" t="n">
        <v>5.29040531977311</v>
      </c>
    </row>
    <row r="620" customFormat="false" ht="15" hidden="false" customHeight="false" outlineLevel="0" collapsed="false">
      <c r="A620" s="28" t="n">
        <v>61507.2361454289</v>
      </c>
      <c r="B620" s="29" t="n">
        <v>8</v>
      </c>
      <c r="C620" s="18" t="n">
        <v>9.3717130867673</v>
      </c>
      <c r="D620" s="18" t="n">
        <v>6.50527502442004</v>
      </c>
      <c r="E620" s="18" t="n">
        <v>7.9673336554695</v>
      </c>
      <c r="F620" s="18" t="n">
        <v>8.05615685156699</v>
      </c>
      <c r="G620" s="18" t="n">
        <v>5.07601536300921</v>
      </c>
      <c r="H620" s="18" t="n">
        <v>5.2643788813125</v>
      </c>
      <c r="I620" s="18" t="n">
        <v>5.25111944301701</v>
      </c>
      <c r="J620" s="18" t="n">
        <v>5.27346680398335</v>
      </c>
    </row>
    <row r="621" customFormat="false" ht="15" hidden="false" customHeight="false" outlineLevel="0" collapsed="false">
      <c r="A621" s="28" t="n">
        <v>61607.247911519</v>
      </c>
      <c r="B621" s="29" t="n">
        <v>8</v>
      </c>
      <c r="C621" s="18" t="n">
        <v>8.74582325472296</v>
      </c>
      <c r="D621" s="18" t="n">
        <v>5.81908127126535</v>
      </c>
      <c r="E621" s="18" t="n">
        <v>7.97530875445843</v>
      </c>
      <c r="F621" s="18" t="n">
        <v>8.72742249628279</v>
      </c>
      <c r="G621" s="18" t="n">
        <v>5.09187092551286</v>
      </c>
      <c r="H621" s="18" t="n">
        <v>5.37096275157023</v>
      </c>
      <c r="I621" s="18" t="n">
        <v>5.25111134602716</v>
      </c>
      <c r="J621" s="18" t="n">
        <v>5.23749640027724</v>
      </c>
    </row>
    <row r="622" customFormat="false" ht="15" hidden="false" customHeight="false" outlineLevel="0" collapsed="false">
      <c r="A622" s="28" t="n">
        <v>61707.2596776091</v>
      </c>
      <c r="B622" s="29" t="n">
        <v>8</v>
      </c>
      <c r="C622" s="18" t="n">
        <v>4.95205222451212</v>
      </c>
      <c r="D622" s="18" t="n">
        <v>8.92964010713466</v>
      </c>
      <c r="E622" s="18" t="n">
        <v>7.98203740224786</v>
      </c>
      <c r="F622" s="18" t="n">
        <v>8.65372743126996</v>
      </c>
      <c r="G622" s="18" t="n">
        <v>5.57244680126393</v>
      </c>
      <c r="H622" s="18" t="n">
        <v>5.22315738910999</v>
      </c>
      <c r="I622" s="18" t="n">
        <v>5.25110350004036</v>
      </c>
      <c r="J622" s="18" t="n">
        <v>5.23222759237317</v>
      </c>
    </row>
    <row r="623" customFormat="false" ht="15" hidden="false" customHeight="false" outlineLevel="0" collapsed="false">
      <c r="A623" s="28" t="n">
        <v>61807.2714436993</v>
      </c>
      <c r="B623" s="29" t="n">
        <v>8</v>
      </c>
      <c r="C623" s="18" t="n">
        <v>8.16991400668123</v>
      </c>
      <c r="D623" s="18" t="n">
        <v>9.01206265743936</v>
      </c>
      <c r="E623" s="18" t="n">
        <v>7.98769026559379</v>
      </c>
      <c r="F623" s="18" t="n">
        <v>8.39799944318343</v>
      </c>
      <c r="G623" s="18" t="n">
        <v>5.64191794538265</v>
      </c>
      <c r="H623" s="18" t="n">
        <v>5.20449088070659</v>
      </c>
      <c r="I623" s="18" t="n">
        <v>5.2510959291447</v>
      </c>
      <c r="J623" s="18" t="n">
        <v>5.23430520011743</v>
      </c>
    </row>
    <row r="624" customFormat="false" ht="15" hidden="false" customHeight="false" outlineLevel="0" collapsed="false">
      <c r="A624" s="28" t="n">
        <v>61907.2832097894</v>
      </c>
      <c r="B624" s="29" t="n">
        <v>8</v>
      </c>
      <c r="C624" s="18" t="n">
        <v>9.58557951214621</v>
      </c>
      <c r="D624" s="18" t="n">
        <v>8.72200845436515</v>
      </c>
      <c r="E624" s="18" t="n">
        <v>7.99241196319455</v>
      </c>
      <c r="F624" s="18" t="n">
        <v>7.81353366750941</v>
      </c>
      <c r="G624" s="18" t="n">
        <v>5.13495260955175</v>
      </c>
      <c r="H624" s="18" t="n">
        <v>5.21060388739661</v>
      </c>
      <c r="I624" s="18" t="n">
        <v>5.25108865990919</v>
      </c>
      <c r="J624" s="18" t="n">
        <v>5.24647825292191</v>
      </c>
    </row>
    <row r="625" customFormat="false" ht="15" hidden="false" customHeight="false" outlineLevel="0" collapsed="false">
      <c r="A625" s="28" t="n">
        <v>62007.2949758795</v>
      </c>
      <c r="B625" s="29" t="n">
        <v>8</v>
      </c>
      <c r="C625" s="18" t="n">
        <v>9.48038549763817</v>
      </c>
      <c r="D625" s="18" t="n">
        <v>7.84767662050877</v>
      </c>
      <c r="E625" s="18" t="n">
        <v>7.99632640466031</v>
      </c>
      <c r="F625" s="18" t="n">
        <v>6.43926405498889</v>
      </c>
      <c r="G625" s="18" t="n">
        <v>5.08375033971862</v>
      </c>
      <c r="H625" s="18" t="n">
        <v>5.23795289430254</v>
      </c>
      <c r="I625" s="18" t="n">
        <v>5.25108171788223</v>
      </c>
      <c r="J625" s="18" t="n">
        <v>5.29536758141259</v>
      </c>
    </row>
    <row r="626" customFormat="false" ht="15" hidden="false" customHeight="false" outlineLevel="0" collapsed="false">
      <c r="A626" s="28" t="n">
        <v>62107.3067419697</v>
      </c>
      <c r="B626" s="29" t="n">
        <v>8</v>
      </c>
      <c r="C626" s="18" t="n">
        <v>9.10801375402703</v>
      </c>
      <c r="D626" s="18" t="n">
        <v>5.73311042763412</v>
      </c>
      <c r="E626" s="18" t="n">
        <v>7.99954073332406</v>
      </c>
      <c r="F626" s="18" t="n">
        <v>8.29112306752777</v>
      </c>
      <c r="G626" s="18" t="n">
        <v>5.07606261096919</v>
      </c>
      <c r="H626" s="18" t="n">
        <v>5.36464139593033</v>
      </c>
      <c r="I626" s="18" t="n">
        <v>5.25107512543749</v>
      </c>
      <c r="J626" s="18" t="n">
        <v>5.25917995280513</v>
      </c>
    </row>
    <row r="627" customFormat="false" ht="15" hidden="false" customHeight="false" outlineLevel="0" collapsed="false">
      <c r="A627" s="28" t="n">
        <v>62207.3185080598</v>
      </c>
      <c r="B627" s="29" t="n">
        <v>8</v>
      </c>
      <c r="C627" s="18" t="n">
        <v>5.30255406334835</v>
      </c>
      <c r="D627" s="18" t="n">
        <v>8.73618145628818</v>
      </c>
      <c r="E627" s="18" t="n">
        <v>8.00214828658923</v>
      </c>
      <c r="F627" s="18" t="n">
        <v>8.70393144252435</v>
      </c>
      <c r="G627" s="18" t="n">
        <v>5.45652107838868</v>
      </c>
      <c r="H627" s="18" t="n">
        <v>5.23835721536891</v>
      </c>
      <c r="I627" s="18" t="n">
        <v>5.25106890054713</v>
      </c>
      <c r="J627" s="18" t="n">
        <v>5.23588500534483</v>
      </c>
    </row>
    <row r="628" customFormat="false" ht="15" hidden="false" customHeight="false" outlineLevel="0" collapsed="false">
      <c r="A628" s="28" t="n">
        <v>62307.3302741499</v>
      </c>
      <c r="B628" s="29" t="n">
        <v>8</v>
      </c>
      <c r="C628" s="18" t="n">
        <v>4.96744689598382</v>
      </c>
      <c r="D628" s="18" t="n">
        <v>9.05307993228298</v>
      </c>
      <c r="E628" s="18" t="n">
        <v>8.00423085356707</v>
      </c>
      <c r="F628" s="18" t="n">
        <v>8.58318971038405</v>
      </c>
      <c r="G628" s="18" t="n">
        <v>5.66075688460374</v>
      </c>
      <c r="H628" s="18" t="n">
        <v>5.20490081405196</v>
      </c>
      <c r="I628" s="18" t="n">
        <v>5.25106305619513</v>
      </c>
      <c r="J628" s="18" t="n">
        <v>5.23280972942392</v>
      </c>
    </row>
    <row r="629" customFormat="false" ht="15" hidden="false" customHeight="false" outlineLevel="0" collapsed="false">
      <c r="A629" s="28" t="n">
        <v>62407.34204024</v>
      </c>
      <c r="B629" s="29" t="n">
        <v>8</v>
      </c>
      <c r="C629" s="18" t="n">
        <v>9.37575246465005</v>
      </c>
      <c r="D629" s="18" t="n">
        <v>8.8257257855953</v>
      </c>
      <c r="E629" s="18" t="n">
        <v>8.00586042300433</v>
      </c>
      <c r="F629" s="18" t="n">
        <v>8.27428378766438</v>
      </c>
      <c r="G629" s="18" t="n">
        <v>5.18600755313306</v>
      </c>
      <c r="H629" s="18" t="n">
        <v>5.20757780018831</v>
      </c>
      <c r="I629" s="18" t="n">
        <v>5.25105760022981</v>
      </c>
      <c r="J629" s="18" t="n">
        <v>5.23690067689157</v>
      </c>
    </row>
    <row r="630" customFormat="false" ht="15" hidden="false" customHeight="false" outlineLevel="0" collapsed="false">
      <c r="A630" s="28" t="n">
        <v>62507.3538063302</v>
      </c>
      <c r="B630" s="29" t="n">
        <v>8</v>
      </c>
      <c r="C630" s="18" t="n">
        <v>9.55280022375016</v>
      </c>
      <c r="D630" s="18" t="n">
        <v>8.26036497562311</v>
      </c>
      <c r="E630" s="18" t="n">
        <v>8.00710055704521</v>
      </c>
      <c r="F630" s="18" t="n">
        <v>7.43749370240754</v>
      </c>
      <c r="G630" s="18" t="n">
        <v>5.09644239464232</v>
      </c>
      <c r="H630" s="18" t="n">
        <v>5.22576060989217</v>
      </c>
      <c r="I630" s="18" t="n">
        <v>5.25105253551362</v>
      </c>
      <c r="J630" s="18" t="n">
        <v>5.25510743205221</v>
      </c>
    </row>
    <row r="631" customFormat="false" ht="15" hidden="false" customHeight="false" outlineLevel="0" collapsed="false">
      <c r="A631" s="28" t="n">
        <v>62607.3655724203</v>
      </c>
      <c r="B631" s="29" t="n">
        <v>8</v>
      </c>
      <c r="C631" s="18" t="n">
        <v>9.30143338434578</v>
      </c>
      <c r="D631" s="18" t="n">
        <v>5.81730695440331</v>
      </c>
      <c r="E631" s="18" t="n">
        <v>8.00800748752024</v>
      </c>
      <c r="F631" s="18" t="n">
        <v>6.66453228023477</v>
      </c>
      <c r="G631" s="18" t="n">
        <v>5.07404350465399</v>
      </c>
      <c r="H631" s="18" t="n">
        <v>5.3515129529265</v>
      </c>
      <c r="I631" s="18" t="n">
        <v>5.25104786026826</v>
      </c>
      <c r="J631" s="18" t="n">
        <v>5.29883377838277</v>
      </c>
    </row>
    <row r="632" customFormat="false" ht="15" hidden="false" customHeight="false" outlineLevel="0" collapsed="false">
      <c r="A632" s="28" t="n">
        <v>62707.3773385104</v>
      </c>
      <c r="B632" s="29" t="n">
        <v>8</v>
      </c>
      <c r="C632" s="18" t="n">
        <v>8.29201791205219</v>
      </c>
      <c r="D632" s="18" t="n">
        <v>8.380697597299</v>
      </c>
      <c r="E632" s="18" t="n">
        <v>8.00863100466989</v>
      </c>
      <c r="F632" s="18" t="n">
        <v>8.50910480529492</v>
      </c>
      <c r="G632" s="18" t="n">
        <v>5.11194403512505</v>
      </c>
      <c r="H632" s="18" t="n">
        <v>5.28224733325111</v>
      </c>
      <c r="I632" s="18" t="n">
        <v>5.25104356854113</v>
      </c>
      <c r="J632" s="18" t="n">
        <v>5.24855313101257</v>
      </c>
    </row>
    <row r="633" customFormat="false" ht="15" hidden="false" customHeight="false" outlineLevel="0" collapsed="false">
      <c r="A633" s="28" t="n">
        <v>62807.3891046005</v>
      </c>
      <c r="B633" s="29" t="n">
        <v>8</v>
      </c>
      <c r="C633" s="18" t="n">
        <v>4.86320468090702</v>
      </c>
      <c r="D633" s="18" t="n">
        <v>9.06480849791292</v>
      </c>
      <c r="E633" s="18" t="n">
        <v>8.00901518941184</v>
      </c>
      <c r="F633" s="18" t="n">
        <v>8.67171082916242</v>
      </c>
      <c r="G633" s="18" t="n">
        <v>5.60661099185423</v>
      </c>
      <c r="H633" s="18" t="n">
        <v>5.20751222378114</v>
      </c>
      <c r="I633" s="18" t="n">
        <v>5.25103965073948</v>
      </c>
      <c r="J633" s="18" t="n">
        <v>5.23440075969656</v>
      </c>
    </row>
    <row r="634" customFormat="false" ht="15" hidden="false" customHeight="false" outlineLevel="0" collapsed="false">
      <c r="A634" s="28" t="n">
        <v>62907.4008706907</v>
      </c>
      <c r="B634" s="29" t="n">
        <v>8</v>
      </c>
      <c r="C634" s="18" t="n">
        <v>8.92968741524753</v>
      </c>
      <c r="D634" s="18" t="n">
        <v>8.89790037278551</v>
      </c>
      <c r="E634" s="18" t="n">
        <v>8.00919902683784</v>
      </c>
      <c r="F634" s="18" t="n">
        <v>8.4905233774671</v>
      </c>
      <c r="G634" s="18" t="n">
        <v>5.31594594175732</v>
      </c>
      <c r="H634" s="18" t="n">
        <v>5.20587108437529</v>
      </c>
      <c r="I634" s="18" t="n">
        <v>5.25103609419303</v>
      </c>
      <c r="J634" s="18" t="n">
        <v>5.23377528962223</v>
      </c>
    </row>
    <row r="635" customFormat="false" ht="15" hidden="false" customHeight="false" outlineLevel="0" collapsed="false">
      <c r="A635" s="28" t="n">
        <v>63007.4126367808</v>
      </c>
      <c r="B635" s="29" t="n">
        <v>8</v>
      </c>
      <c r="C635" s="18" t="n">
        <v>9.59147399743627</v>
      </c>
      <c r="D635" s="18" t="n">
        <v>8.45822554211792</v>
      </c>
      <c r="E635" s="18" t="n">
        <v>8.00921692889924</v>
      </c>
      <c r="F635" s="18" t="n">
        <v>8.08840727874684</v>
      </c>
      <c r="G635" s="18" t="n">
        <v>5.1150785487994</v>
      </c>
      <c r="H635" s="18" t="n">
        <v>5.21913016100445</v>
      </c>
      <c r="I635" s="18" t="n">
        <v>5.25103288371669</v>
      </c>
      <c r="J635" s="18" t="n">
        <v>5.24101405732257</v>
      </c>
    </row>
    <row r="636" customFormat="false" ht="15" hidden="false" customHeight="false" outlineLevel="0" collapsed="false">
      <c r="A636" s="28" t="n">
        <v>63107.4244028709</v>
      </c>
      <c r="B636" s="29" t="n">
        <v>8</v>
      </c>
      <c r="C636" s="18" t="n">
        <v>9.43053619481303</v>
      </c>
      <c r="D636" s="18" t="n">
        <v>6.01113725585598</v>
      </c>
      <c r="E636" s="18" t="n">
        <v>8.0090991870912</v>
      </c>
      <c r="F636" s="18" t="n">
        <v>6.78767828538267</v>
      </c>
      <c r="G636" s="18" t="n">
        <v>5.07910908345717</v>
      </c>
      <c r="H636" s="18" t="n">
        <v>5.32693560764483</v>
      </c>
      <c r="I636" s="18" t="n">
        <v>5.25103000215333</v>
      </c>
      <c r="J636" s="18" t="n">
        <v>5.2732169815084</v>
      </c>
    </row>
    <row r="637" customFormat="false" ht="15" hidden="false" customHeight="false" outlineLevel="0" collapsed="false">
      <c r="A637" s="28" t="n">
        <v>63207.4361689611</v>
      </c>
      <c r="B637" s="29" t="n">
        <v>8</v>
      </c>
      <c r="C637" s="18" t="n">
        <v>8.96286004830542</v>
      </c>
      <c r="D637" s="18" t="n">
        <v>7.22058694205903</v>
      </c>
      <c r="E637" s="18" t="n">
        <v>8.00887237063449</v>
      </c>
      <c r="F637" s="18" t="n">
        <v>7.72597576441207</v>
      </c>
      <c r="G637" s="18" t="n">
        <v>5.08139700149371</v>
      </c>
      <c r="H637" s="18" t="n">
        <v>5.3688836534011</v>
      </c>
      <c r="I637" s="18" t="n">
        <v>5.25102743088256</v>
      </c>
      <c r="J637" s="18" t="n">
        <v>5.28430571511465</v>
      </c>
    </row>
    <row r="638" customFormat="false" ht="15" hidden="false" customHeight="false" outlineLevel="0" collapsed="false">
      <c r="A638" s="28" t="n">
        <v>63307.4479350512</v>
      </c>
      <c r="B638" s="29" t="n">
        <v>8</v>
      </c>
      <c r="C638" s="18" t="n">
        <v>5.08478246183107</v>
      </c>
      <c r="D638" s="18" t="n">
        <v>9.03720644064927</v>
      </c>
      <c r="E638" s="18" t="n">
        <v>8.0085596816719</v>
      </c>
      <c r="F638" s="18" t="n">
        <v>8.64372519545988</v>
      </c>
      <c r="G638" s="18" t="n">
        <v>5.5299208551044</v>
      </c>
      <c r="H638" s="18" t="n">
        <v>5.2144665679883</v>
      </c>
      <c r="I638" s="18" t="n">
        <v>5.25102515028655</v>
      </c>
      <c r="J638" s="18" t="n">
        <v>5.24055845414494</v>
      </c>
    </row>
    <row r="639" customFormat="false" ht="15" hidden="false" customHeight="false" outlineLevel="0" collapsed="false">
      <c r="A639" s="28" t="n">
        <v>63407.4597011413</v>
      </c>
      <c r="B639" s="29" t="n">
        <v>8</v>
      </c>
      <c r="C639" s="18" t="n">
        <v>5.29981244651135</v>
      </c>
      <c r="D639" s="18" t="n">
        <v>8.96211279502902</v>
      </c>
      <c r="E639" s="18" t="n">
        <v>8.00818127599523</v>
      </c>
      <c r="F639" s="18" t="n">
        <v>8.6155286797197</v>
      </c>
      <c r="G639" s="18" t="n">
        <v>5.66273343134776</v>
      </c>
      <c r="H639" s="18" t="n">
        <v>5.20479144305276</v>
      </c>
      <c r="I639" s="18" t="n">
        <v>5.25102314016744</v>
      </c>
      <c r="J639" s="18" t="n">
        <v>5.23358155778868</v>
      </c>
    </row>
    <row r="640" customFormat="false" ht="15" hidden="false" customHeight="false" outlineLevel="0" collapsed="false">
      <c r="A640" s="28" t="n">
        <v>63507.4714672314</v>
      </c>
      <c r="B640" s="29" t="n">
        <v>8</v>
      </c>
      <c r="C640" s="18" t="n">
        <v>9.49726781758846</v>
      </c>
      <c r="D640" s="18" t="n">
        <v>8.60753150966838</v>
      </c>
      <c r="E640" s="18" t="n">
        <v>8.00775455555373</v>
      </c>
      <c r="F640" s="18" t="n">
        <v>8.36491522009087</v>
      </c>
      <c r="G640" s="18" t="n">
        <v>5.15793461125772</v>
      </c>
      <c r="H640" s="18" t="n">
        <v>5.21413612932048</v>
      </c>
      <c r="I640" s="18" t="n">
        <v>5.25102138011383</v>
      </c>
      <c r="J640" s="18" t="n">
        <v>5.23566547575707</v>
      </c>
    </row>
    <row r="641" customFormat="false" ht="15" hidden="false" customHeight="false" outlineLevel="0" collapsed="false">
      <c r="A641" s="28" t="n">
        <v>63607.4832333216</v>
      </c>
      <c r="B641" s="29" t="n">
        <v>8</v>
      </c>
      <c r="C641" s="18" t="n">
        <v>9.52074660220091</v>
      </c>
      <c r="D641" s="18" t="n">
        <v>6.60663110425437</v>
      </c>
      <c r="E641" s="18" t="n">
        <v>8.00729443728753</v>
      </c>
      <c r="F641" s="18" t="n">
        <v>7.78594823631049</v>
      </c>
      <c r="G641" s="18" t="n">
        <v>5.0895220744905</v>
      </c>
      <c r="H641" s="18" t="n">
        <v>5.26035862029302</v>
      </c>
      <c r="I641" s="18" t="n">
        <v>5.25101984981607</v>
      </c>
      <c r="J641" s="18" t="n">
        <v>5.24803887190735</v>
      </c>
    </row>
    <row r="642" customFormat="false" ht="15" hidden="false" customHeight="false" outlineLevel="0" collapsed="false">
      <c r="A642" s="28" t="n">
        <v>63707.4949994117</v>
      </c>
      <c r="B642" s="29" t="n">
        <v>8</v>
      </c>
      <c r="C642" s="18" t="n">
        <v>9.21591654499689</v>
      </c>
      <c r="D642" s="18" t="n">
        <v>5.78885316689132</v>
      </c>
      <c r="E642" s="18" t="n">
        <v>8.00681360155272</v>
      </c>
      <c r="F642" s="18" t="n">
        <v>6.57156806919155</v>
      </c>
      <c r="G642" s="18" t="n">
        <v>5.07390921304842</v>
      </c>
      <c r="H642" s="18" t="n">
        <v>5.37086108414477</v>
      </c>
      <c r="I642" s="18" t="n">
        <v>5.25101852933161</v>
      </c>
      <c r="J642" s="18" t="n">
        <v>5.29264036391412</v>
      </c>
    </row>
    <row r="643" customFormat="false" ht="15" hidden="false" customHeight="false" outlineLevel="0" collapsed="false">
      <c r="A643" s="28" t="n">
        <v>63807.5067655018</v>
      </c>
      <c r="B643" s="29" t="n">
        <v>8</v>
      </c>
      <c r="C643" s="18" t="n">
        <v>5.8015099816215</v>
      </c>
      <c r="D643" s="18" t="n">
        <v>8.91607826674026</v>
      </c>
      <c r="E643" s="18" t="n">
        <v>8.00632272246176</v>
      </c>
      <c r="F643" s="18" t="n">
        <v>8.30057886490596</v>
      </c>
      <c r="G643" s="18" t="n">
        <v>5.1613256454737</v>
      </c>
      <c r="H643" s="18" t="n">
        <v>5.22426996383805</v>
      </c>
      <c r="I643" s="18" t="n">
        <v>5.25101739930306</v>
      </c>
      <c r="J643" s="18" t="n">
        <v>5.25712763069843</v>
      </c>
    </row>
    <row r="644" customFormat="false" ht="15" hidden="false" customHeight="false" outlineLevel="0" collapsed="false">
      <c r="A644" s="28" t="n">
        <v>63907.518531592</v>
      </c>
      <c r="B644" s="29" t="n">
        <v>8</v>
      </c>
      <c r="C644" s="18" t="n">
        <v>4.81863047283555</v>
      </c>
      <c r="D644" s="18" t="n">
        <v>9.02171772304823</v>
      </c>
      <c r="E644" s="18" t="n">
        <v>8.00583068177874</v>
      </c>
      <c r="F644" s="18" t="n">
        <v>8.66354379569444</v>
      </c>
      <c r="G644" s="18" t="n">
        <v>5.63600256281553</v>
      </c>
      <c r="H644" s="18" t="n">
        <v>5.20427726189419</v>
      </c>
      <c r="I644" s="18" t="n">
        <v>5.25101644113209</v>
      </c>
      <c r="J644" s="18" t="n">
        <v>5.23612331866427</v>
      </c>
    </row>
    <row r="645" customFormat="false" ht="15" hidden="false" customHeight="false" outlineLevel="0" collapsed="false">
      <c r="A645" s="28" t="n">
        <v>64007.5302976821</v>
      </c>
      <c r="B645" s="29" t="n">
        <v>8</v>
      </c>
      <c r="C645" s="18" t="n">
        <v>9.20318145761462</v>
      </c>
      <c r="D645" s="18" t="n">
        <v>8.7405751385921</v>
      </c>
      <c r="E645" s="18" t="n">
        <v>8.00534476752648</v>
      </c>
      <c r="F645" s="18" t="n">
        <v>8.52903089995608</v>
      </c>
      <c r="G645" s="18" t="n">
        <v>5.22439291334508</v>
      </c>
      <c r="H645" s="18" t="n">
        <v>5.20992292949205</v>
      </c>
      <c r="I645" s="18" t="n">
        <v>5.25101563711333</v>
      </c>
      <c r="J645" s="18" t="n">
        <v>5.23377755922529</v>
      </c>
    </row>
    <row r="646" customFormat="false" ht="15" hidden="false" customHeight="false" outlineLevel="0" collapsed="false">
      <c r="A646" s="28" t="n">
        <v>64107.5420637722</v>
      </c>
      <c r="B646" s="29" t="n">
        <v>8</v>
      </c>
      <c r="C646" s="18" t="n">
        <v>9.57679870717189</v>
      </c>
      <c r="D646" s="18" t="n">
        <v>7.93629004943453</v>
      </c>
      <c r="E646" s="18" t="n">
        <v>8.00487085813588</v>
      </c>
      <c r="F646" s="18" t="n">
        <v>8.18728301912052</v>
      </c>
      <c r="G646" s="18" t="n">
        <v>5.1045518488482</v>
      </c>
      <c r="H646" s="18" t="n">
        <v>5.23549497292466</v>
      </c>
      <c r="I646" s="18" t="n">
        <v>5.25101497053219</v>
      </c>
      <c r="J646" s="18" t="n">
        <v>5.2391335411596</v>
      </c>
    </row>
    <row r="647" customFormat="false" ht="15" hidden="false" customHeight="false" outlineLevel="0" collapsed="false">
      <c r="A647" s="28" t="n">
        <v>64207.5538298623</v>
      </c>
      <c r="B647" s="29" t="n">
        <v>8</v>
      </c>
      <c r="C647" s="18" t="n">
        <v>9.37160909179364</v>
      </c>
      <c r="D647" s="18" t="n">
        <v>5.73475368264516</v>
      </c>
      <c r="E647" s="18" t="n">
        <v>8.00441359275868</v>
      </c>
      <c r="F647" s="18" t="n">
        <v>7.18077787690386</v>
      </c>
      <c r="G647" s="18" t="n">
        <v>5.07587635058412</v>
      </c>
      <c r="H647" s="18" t="n">
        <v>5.36316214633855</v>
      </c>
      <c r="I647" s="18" t="n">
        <v>5.25101442573104</v>
      </c>
      <c r="J647" s="18" t="n">
        <v>5.26169467071029</v>
      </c>
    </row>
    <row r="648" customFormat="false" ht="15" hidden="false" customHeight="false" outlineLevel="0" collapsed="false">
      <c r="A648" s="28" t="n">
        <v>64307.5655959525</v>
      </c>
      <c r="B648" s="29" t="n">
        <v>8</v>
      </c>
      <c r="C648" s="18" t="n">
        <v>8.74427307255437</v>
      </c>
      <c r="D648" s="18" t="n">
        <v>8.69248729802533</v>
      </c>
      <c r="E648" s="18" t="n">
        <v>8.00397652824497</v>
      </c>
      <c r="F648" s="18" t="n">
        <v>7.21300919750082</v>
      </c>
      <c r="G648" s="18" t="n">
        <v>5.0918335612142</v>
      </c>
      <c r="H648" s="18" t="n">
        <v>5.24183679528797</v>
      </c>
      <c r="I648" s="18" t="n">
        <v>5.25101398814796</v>
      </c>
      <c r="J648" s="18" t="n">
        <v>5.29384250549822</v>
      </c>
    </row>
    <row r="649" customFormat="false" ht="15" hidden="false" customHeight="false" outlineLevel="0" collapsed="false">
      <c r="A649" s="28" t="n">
        <v>64407.5773620426</v>
      </c>
      <c r="B649" s="29" t="n">
        <v>8</v>
      </c>
      <c r="C649" s="18" t="n">
        <v>4.9510121291068</v>
      </c>
      <c r="D649" s="18" t="n">
        <v>9.0516408616453</v>
      </c>
      <c r="E649" s="18" t="n">
        <v>8.00356228323046</v>
      </c>
      <c r="F649" s="18" t="n">
        <v>8.57184950497191</v>
      </c>
      <c r="G649" s="18" t="n">
        <v>5.57257821945466</v>
      </c>
      <c r="H649" s="18" t="n">
        <v>5.20514628208405</v>
      </c>
      <c r="I649" s="18" t="n">
        <v>5.25101364433198</v>
      </c>
      <c r="J649" s="18" t="n">
        <v>5.24441501128731</v>
      </c>
    </row>
    <row r="650" customFormat="false" ht="15" hidden="false" customHeight="false" outlineLevel="0" collapsed="false">
      <c r="A650" s="28" t="n">
        <v>64507.5891281327</v>
      </c>
      <c r="B650" s="29" t="n">
        <v>8</v>
      </c>
      <c r="C650" s="18" t="n">
        <v>8.17149114470857</v>
      </c>
      <c r="D650" s="18" t="n">
        <v>8.83032945059973</v>
      </c>
      <c r="E650" s="18" t="n">
        <v>8.00317266976554</v>
      </c>
      <c r="F650" s="18" t="n">
        <v>8.62723420081627</v>
      </c>
      <c r="G650" s="18" t="n">
        <v>5.64187540471282</v>
      </c>
      <c r="H650" s="18" t="n">
        <v>5.207432108044</v>
      </c>
      <c r="I650" s="18" t="n">
        <v>5.25101338193891</v>
      </c>
      <c r="J650" s="18" t="n">
        <v>5.23423233605318</v>
      </c>
    </row>
    <row r="651" customFormat="false" ht="15" hidden="false" customHeight="false" outlineLevel="0" collapsed="false">
      <c r="A651" s="28" t="n">
        <v>64607.6008942229</v>
      </c>
      <c r="B651" s="29" t="n">
        <v>8</v>
      </c>
      <c r="C651" s="18" t="n">
        <v>9.58566668009931</v>
      </c>
      <c r="D651" s="18" t="n">
        <v>8.27491119936609</v>
      </c>
      <c r="E651" s="18" t="n">
        <v>8.00280881293562</v>
      </c>
      <c r="F651" s="18" t="n">
        <v>8.40780294034909</v>
      </c>
      <c r="G651" s="18" t="n">
        <v>5.13490914053772</v>
      </c>
      <c r="H651" s="18" t="n">
        <v>5.22524169070229</v>
      </c>
      <c r="I651" s="18" t="n">
        <v>5.25101318971102</v>
      </c>
      <c r="J651" s="18" t="n">
        <v>5.23518535316797</v>
      </c>
    </row>
    <row r="652" customFormat="false" ht="15" hidden="false" customHeight="false" outlineLevel="0" collapsed="false">
      <c r="A652" s="28" t="n">
        <v>64707.612660313</v>
      </c>
      <c r="B652" s="29" t="n">
        <v>8</v>
      </c>
      <c r="C652" s="18" t="n">
        <v>9.48037430354952</v>
      </c>
      <c r="D652" s="18" t="n">
        <v>5.82429649937169</v>
      </c>
      <c r="E652" s="18" t="n">
        <v>8.00247125895486</v>
      </c>
      <c r="F652" s="18" t="n">
        <v>7.91362790278263</v>
      </c>
      <c r="G652" s="18" t="n">
        <v>5.08371941322929</v>
      </c>
      <c r="H652" s="18" t="n">
        <v>5.35058861040427</v>
      </c>
      <c r="I652" s="18" t="n">
        <v>5.25101305744393</v>
      </c>
      <c r="J652" s="18" t="n">
        <v>5.24530142470176</v>
      </c>
    </row>
    <row r="653" customFormat="false" ht="15" hidden="false" customHeight="false" outlineLevel="0" collapsed="false">
      <c r="A653" s="28" t="n">
        <v>64807.6244264031</v>
      </c>
      <c r="B653" s="29" t="n">
        <v>8</v>
      </c>
      <c r="C653" s="18" t="n">
        <v>9.10787961752093</v>
      </c>
      <c r="D653" s="18" t="n">
        <v>8.35414284202576</v>
      </c>
      <c r="E653" s="18" t="n">
        <v>8.00216007225542</v>
      </c>
      <c r="F653" s="18" t="n">
        <v>6.62738674023311</v>
      </c>
      <c r="G653" s="18" t="n">
        <v>5.07604343423507</v>
      </c>
      <c r="H653" s="18" t="n">
        <v>5.28923381739108</v>
      </c>
      <c r="I653" s="18" t="n">
        <v>5.25101297594356</v>
      </c>
      <c r="J653" s="18" t="n">
        <v>5.28646050659742</v>
      </c>
    </row>
    <row r="654" customFormat="false" ht="15" hidden="false" customHeight="false" outlineLevel="0" collapsed="false">
      <c r="A654" s="28" t="n">
        <v>64907.6361924932</v>
      </c>
      <c r="B654" s="29" t="n">
        <v>8</v>
      </c>
      <c r="C654" s="18" t="n">
        <v>5.30203596983693</v>
      </c>
      <c r="D654" s="18" t="n">
        <v>9.06539901341527</v>
      </c>
      <c r="E654" s="18" t="n">
        <v>8.00187492213566</v>
      </c>
      <c r="F654" s="18" t="n">
        <v>8.14130546752886</v>
      </c>
      <c r="G654" s="18" t="n">
        <v>5.45668959830041</v>
      </c>
      <c r="H654" s="18" t="n">
        <v>5.20782884661268</v>
      </c>
      <c r="I654" s="18" t="n">
        <v>5.25101293697557</v>
      </c>
      <c r="J654" s="18" t="n">
        <v>5.26382210115223</v>
      </c>
    </row>
    <row r="655" customFormat="false" ht="15" hidden="false" customHeight="false" outlineLevel="0" collapsed="false">
      <c r="A655" s="28" t="n">
        <v>65007.6479585834</v>
      </c>
      <c r="B655" s="29" t="n">
        <v>8</v>
      </c>
      <c r="C655" s="18" t="n">
        <v>6.05007802558092</v>
      </c>
      <c r="D655" s="18" t="n">
        <v>9.2524130097709</v>
      </c>
      <c r="E655" s="18" t="n">
        <v>9.0371881922737</v>
      </c>
      <c r="F655" s="18" t="n">
        <v>9.15771255398233</v>
      </c>
      <c r="G655" s="18" t="n">
        <v>5.66076747788813</v>
      </c>
      <c r="H655" s="18" t="n">
        <v>5.2057619012466</v>
      </c>
      <c r="I655" s="18" t="n">
        <v>5.25101293320966</v>
      </c>
      <c r="J655" s="18" t="n">
        <v>5.23743849841272</v>
      </c>
    </row>
    <row r="656" customFormat="false" ht="15" hidden="false" customHeight="false" outlineLevel="0" collapsed="false">
      <c r="A656" s="28" t="n">
        <v>65107.6597246735</v>
      </c>
      <c r="B656" s="29" t="n">
        <v>8</v>
      </c>
      <c r="C656" s="18" t="n">
        <v>9.9036282245445</v>
      </c>
      <c r="D656" s="18" t="n">
        <v>9.77388588126674</v>
      </c>
      <c r="E656" s="18" t="n">
        <v>9.75933572400574</v>
      </c>
      <c r="F656" s="18" t="n">
        <v>9.77815214652129</v>
      </c>
      <c r="G656" s="18" t="n">
        <v>5.07110507734146</v>
      </c>
      <c r="H656" s="18" t="n">
        <v>5.15906639661702</v>
      </c>
      <c r="I656" s="18" t="n">
        <v>5.08151045043242</v>
      </c>
      <c r="J656" s="18" t="n">
        <v>5.16870006170365</v>
      </c>
    </row>
    <row r="657" customFormat="false" ht="15" hidden="false" customHeight="false" outlineLevel="0" collapsed="false">
      <c r="A657" s="28" t="n">
        <v>65207.6714907636</v>
      </c>
      <c r="B657" s="29" t="n">
        <v>8</v>
      </c>
      <c r="C657" s="18" t="n">
        <v>10.0600573911737</v>
      </c>
      <c r="D657" s="18" t="n">
        <v>9.972437596784</v>
      </c>
      <c r="E657" s="18" t="n">
        <v>9.93360830903891</v>
      </c>
      <c r="F657" s="18" t="n">
        <v>9.98499688642809</v>
      </c>
      <c r="G657" s="18" t="n">
        <v>4.98206132141328</v>
      </c>
      <c r="H657" s="18" t="n">
        <v>5.13591652313681</v>
      </c>
      <c r="I657" s="18" t="n">
        <v>5.00075342578757</v>
      </c>
      <c r="J657" s="18" t="n">
        <v>5.1051975296953</v>
      </c>
    </row>
    <row r="658" customFormat="false" ht="15" hidden="false" customHeight="false" outlineLevel="0" collapsed="false">
      <c r="A658" s="28" t="n">
        <v>65307.6832568538</v>
      </c>
      <c r="B658" s="29" t="n">
        <v>8</v>
      </c>
      <c r="C658" s="18" t="n">
        <v>10.1102092670283</v>
      </c>
      <c r="D658" s="18" t="n">
        <v>10.0874521895762</v>
      </c>
      <c r="E658" s="18" t="n">
        <v>10.0188791913431</v>
      </c>
      <c r="F658" s="18" t="n">
        <v>10.0911712357494</v>
      </c>
      <c r="G658" s="18" t="n">
        <v>4.91079598518654</v>
      </c>
      <c r="H658" s="18" t="n">
        <v>5.11688604042751</v>
      </c>
      <c r="I658" s="18" t="n">
        <v>4.92601846147949</v>
      </c>
      <c r="J658" s="18" t="n">
        <v>5.04867824022713</v>
      </c>
    </row>
    <row r="659" customFormat="false" ht="15" hidden="false" customHeight="false" outlineLevel="0" collapsed="false">
      <c r="A659" s="28" t="n">
        <v>65407.6950229439</v>
      </c>
      <c r="B659" s="29" t="n">
        <v>8</v>
      </c>
      <c r="C659" s="18" t="n">
        <v>10.1291515469096</v>
      </c>
      <c r="D659" s="18" t="n">
        <v>10.1647082097323</v>
      </c>
      <c r="E659" s="18" t="n">
        <v>10.0571267432786</v>
      </c>
      <c r="F659" s="18" t="n">
        <v>10.1524042406044</v>
      </c>
      <c r="G659" s="18" t="n">
        <v>4.84233283277323</v>
      </c>
      <c r="H659" s="18" t="n">
        <v>5.09934197451013</v>
      </c>
      <c r="I659" s="18" t="n">
        <v>4.8549665835507</v>
      </c>
      <c r="J659" s="18" t="n">
        <v>4.99458208429854</v>
      </c>
    </row>
    <row r="660" customFormat="false" ht="15" hidden="false" customHeight="false" outlineLevel="0" collapsed="false">
      <c r="A660" s="28" t="n">
        <v>65507.706789034</v>
      </c>
      <c r="B660" s="29" t="n">
        <v>8</v>
      </c>
      <c r="C660" s="18" t="n">
        <v>10.1248654269998</v>
      </c>
      <c r="D660" s="18" t="n">
        <v>10.2199774110082</v>
      </c>
      <c r="E660" s="18" t="n">
        <v>10.0642680818996</v>
      </c>
      <c r="F660" s="18" t="n">
        <v>10.1869042545819</v>
      </c>
      <c r="G660" s="18" t="n">
        <v>4.77631902603396</v>
      </c>
      <c r="H660" s="18" t="n">
        <v>5.08255345786261</v>
      </c>
      <c r="I660" s="18" t="n">
        <v>4.78697980442651</v>
      </c>
      <c r="J660" s="18" t="n">
        <v>4.9418431586988</v>
      </c>
    </row>
    <row r="661" customFormat="false" ht="15" hidden="false" customHeight="false" outlineLevel="0" collapsed="false">
      <c r="A661" s="28" t="n">
        <v>65607.7185551241</v>
      </c>
      <c r="B661" s="29" t="n">
        <v>8</v>
      </c>
      <c r="C661" s="18" t="n">
        <v>10.0997368014285</v>
      </c>
      <c r="D661" s="18" t="n">
        <v>10.2607403873512</v>
      </c>
      <c r="E661" s="18" t="n">
        <v>10.0459056734131</v>
      </c>
      <c r="F661" s="18" t="n">
        <v>10.202540832293</v>
      </c>
      <c r="G661" s="18" t="n">
        <v>4.71307873111382</v>
      </c>
      <c r="H661" s="18" t="n">
        <v>5.06621994934434</v>
      </c>
      <c r="I661" s="18" t="n">
        <v>4.72228701372177</v>
      </c>
      <c r="J661" s="18" t="n">
        <v>4.89020633166416</v>
      </c>
    </row>
    <row r="662" customFormat="false" ht="15" hidden="false" customHeight="false" outlineLevel="0" collapsed="false">
      <c r="A662" s="28" t="n">
        <v>65707.7303212143</v>
      </c>
      <c r="B662" s="29" t="n">
        <v>8</v>
      </c>
      <c r="C662" s="18" t="n">
        <v>10.0529349095577</v>
      </c>
      <c r="D662" s="18" t="n">
        <v>10.2911557812726</v>
      </c>
      <c r="E662" s="18" t="n">
        <v>10.002487903792</v>
      </c>
      <c r="F662" s="18" t="n">
        <v>10.2031567338502</v>
      </c>
      <c r="G662" s="18" t="n">
        <v>4.65328559903218</v>
      </c>
      <c r="H662" s="18" t="n">
        <v>5.05019495367989</v>
      </c>
      <c r="I662" s="18" t="n">
        <v>4.66163887331106</v>
      </c>
      <c r="J662" s="18" t="n">
        <v>4.83968426800122</v>
      </c>
    </row>
    <row r="663" customFormat="false" ht="15" hidden="false" customHeight="false" outlineLevel="0" collapsed="false">
      <c r="A663" s="28" t="n">
        <v>65807.7420873044</v>
      </c>
      <c r="B663" s="29" t="n">
        <v>8</v>
      </c>
      <c r="C663" s="18" t="n">
        <v>9.98013608263537</v>
      </c>
      <c r="D663" s="18" t="n">
        <v>10.3137741066788</v>
      </c>
      <c r="E663" s="18" t="n">
        <v>9.9299256893794</v>
      </c>
      <c r="F663" s="18" t="n">
        <v>10.1905389615415</v>
      </c>
      <c r="G663" s="18" t="n">
        <v>4.59805278378584</v>
      </c>
      <c r="H663" s="18" t="n">
        <v>5.03440023424303</v>
      </c>
      <c r="I663" s="18" t="n">
        <v>4.60638471055337</v>
      </c>
      <c r="J663" s="18" t="n">
        <v>4.79041960368022</v>
      </c>
    </row>
    <row r="664" customFormat="false" ht="15" hidden="false" customHeight="false" outlineLevel="0" collapsed="false">
      <c r="A664" s="28" t="n">
        <v>65907.7538533945</v>
      </c>
      <c r="B664" s="29" t="n">
        <v>8</v>
      </c>
      <c r="C664" s="18" t="n">
        <v>9.87101091558362</v>
      </c>
      <c r="D664" s="18" t="n">
        <v>10.3302682452217</v>
      </c>
      <c r="E664" s="18" t="n">
        <v>9.81698444227998</v>
      </c>
      <c r="F664" s="18" t="n">
        <v>10.1651338501404</v>
      </c>
      <c r="G664" s="18" t="n">
        <v>4.54928221781451</v>
      </c>
      <c r="H664" s="18" t="n">
        <v>5.01879197985342</v>
      </c>
      <c r="I664" s="18" t="n">
        <v>4.5589504040469</v>
      </c>
      <c r="J664" s="18" t="n">
        <v>4.74264914135892</v>
      </c>
    </row>
    <row r="665" customFormat="false" ht="15" hidden="false" customHeight="false" outlineLevel="0" collapsed="false">
      <c r="A665" s="28" t="n">
        <v>66007.7656194847</v>
      </c>
      <c r="B665" s="29" t="n">
        <v>8</v>
      </c>
      <c r="C665" s="18" t="n">
        <v>9.70022532120438</v>
      </c>
      <c r="D665" s="18" t="n">
        <v>10.3417895779536</v>
      </c>
      <c r="E665" s="18" t="n">
        <v>9.63448056016047</v>
      </c>
      <c r="F665" s="18" t="n">
        <v>10.1262313767594</v>
      </c>
      <c r="G665" s="18" t="n">
        <v>4.51071381824172</v>
      </c>
      <c r="H665" s="18" t="n">
        <v>5.00334538931607</v>
      </c>
      <c r="I665" s="18" t="n">
        <v>4.52441943816074</v>
      </c>
      <c r="J665" s="18" t="n">
        <v>4.69670921324159</v>
      </c>
    </row>
    <row r="666" customFormat="false" ht="15" hidden="false" customHeight="false" outlineLevel="0" collapsed="false">
      <c r="A666" s="28" t="n">
        <v>66107.7773855748</v>
      </c>
      <c r="B666" s="29" t="n">
        <v>8</v>
      </c>
      <c r="C666" s="18" t="n">
        <v>9.38210450610036</v>
      </c>
      <c r="D666" s="18" t="n">
        <v>10.3491589256636</v>
      </c>
      <c r="E666" s="18" t="n">
        <v>9.27470413450086</v>
      </c>
      <c r="F666" s="18" t="n">
        <v>10.0717772680824</v>
      </c>
      <c r="G666" s="18" t="n">
        <v>4.49226153798747</v>
      </c>
      <c r="H666" s="18" t="n">
        <v>4.98804691578273</v>
      </c>
      <c r="I666" s="18" t="n">
        <v>4.51883234420581</v>
      </c>
      <c r="J666" s="18" t="n">
        <v>4.65307262637934</v>
      </c>
    </row>
    <row r="667" customFormat="false" ht="15" hidden="false" customHeight="false" outlineLevel="0" collapsed="false">
      <c r="A667" s="28" t="n">
        <v>66207.7891516649</v>
      </c>
      <c r="B667" s="29" t="n">
        <v>8</v>
      </c>
      <c r="C667" s="18" t="n">
        <v>5.65528423455175</v>
      </c>
      <c r="D667" s="18" t="n">
        <v>10.3529764731229</v>
      </c>
      <c r="E667" s="18" t="n">
        <v>5.29288220839676</v>
      </c>
      <c r="F667" s="18" t="n">
        <v>9.9976849189249</v>
      </c>
      <c r="G667" s="18" t="n">
        <v>4.57302267248876</v>
      </c>
      <c r="H667" s="18" t="n">
        <v>4.97289007473081</v>
      </c>
      <c r="I667" s="18" t="n">
        <v>4.58402707066894</v>
      </c>
      <c r="J667" s="18" t="n">
        <v>4.61243227947881</v>
      </c>
    </row>
    <row r="668" customFormat="false" ht="15" hidden="false" customHeight="false" outlineLevel="0" collapsed="false">
      <c r="A668" s="28" t="n">
        <v>66307.800917755</v>
      </c>
      <c r="B668" s="29" t="n">
        <v>8</v>
      </c>
      <c r="C668" s="18" t="n">
        <v>4.62101911728582</v>
      </c>
      <c r="D668" s="18" t="n">
        <v>10.3536886241464</v>
      </c>
      <c r="E668" s="18" t="n">
        <v>4.62603960374537</v>
      </c>
      <c r="F668" s="18" t="n">
        <v>9.89605073073149</v>
      </c>
      <c r="G668" s="18" t="n">
        <v>5.09369122404804</v>
      </c>
      <c r="H668" s="18" t="n">
        <v>4.95787305642689</v>
      </c>
      <c r="I668" s="18" t="n">
        <v>4.40194875385862</v>
      </c>
      <c r="J668" s="18" t="n">
        <v>4.57588631453722</v>
      </c>
    </row>
    <row r="669" customFormat="false" ht="15" hidden="false" customHeight="false" outlineLevel="0" collapsed="false">
      <c r="A669" s="28" t="n">
        <v>66407.8126838452</v>
      </c>
      <c r="B669" s="29" t="n">
        <v>8</v>
      </c>
      <c r="C669" s="18" t="n">
        <v>8.56335950280494</v>
      </c>
      <c r="D669" s="18" t="n">
        <v>10.351630443318</v>
      </c>
      <c r="E669" s="18" t="n">
        <v>4.28009594272079</v>
      </c>
      <c r="F669" s="18" t="n">
        <v>9.75005158240305</v>
      </c>
      <c r="G669" s="18" t="n">
        <v>5.09719575356229</v>
      </c>
      <c r="H669" s="18" t="n">
        <v>4.94299731577472</v>
      </c>
      <c r="I669" s="18" t="n">
        <v>4.42738573472872</v>
      </c>
      <c r="J669" s="18" t="n">
        <v>4.54540808513792</v>
      </c>
    </row>
    <row r="670" customFormat="false" ht="15" hidden="false" customHeight="false" outlineLevel="0" collapsed="false">
      <c r="A670" s="28" t="n">
        <v>66507.8244499353</v>
      </c>
      <c r="B670" s="29" t="n">
        <v>8</v>
      </c>
      <c r="C670" s="18" t="n">
        <v>9.59120944947316</v>
      </c>
      <c r="D670" s="18" t="n">
        <v>10.3470534996363</v>
      </c>
      <c r="E670" s="18" t="n">
        <v>4.09956788340228</v>
      </c>
      <c r="F670" s="18" t="n">
        <v>9.51432452107601</v>
      </c>
      <c r="G670" s="18" t="n">
        <v>4.60613846968753</v>
      </c>
      <c r="H670" s="18" t="n">
        <v>4.92826672264373</v>
      </c>
      <c r="I670" s="18" t="n">
        <v>4.44741310641145</v>
      </c>
      <c r="J670" s="18" t="n">
        <v>4.52540764009298</v>
      </c>
    </row>
    <row r="671" customFormat="false" ht="15" hidden="false" customHeight="false" outlineLevel="0" collapsed="false">
      <c r="A671" s="28" t="n">
        <v>66607.8362160254</v>
      </c>
      <c r="B671" s="29" t="n">
        <v>8</v>
      </c>
      <c r="C671" s="18" t="n">
        <v>9.4325545111875</v>
      </c>
      <c r="D671" s="18" t="n">
        <v>10.340144564401</v>
      </c>
      <c r="E671" s="18" t="n">
        <v>3.99136197438586</v>
      </c>
      <c r="F671" s="18" t="n">
        <v>8.95071993476934</v>
      </c>
      <c r="G671" s="18" t="n">
        <v>4.56168978524436</v>
      </c>
      <c r="H671" s="18" t="n">
        <v>4.91368705078311</v>
      </c>
      <c r="I671" s="18" t="n">
        <v>4.47109478537129</v>
      </c>
      <c r="J671" s="18" t="n">
        <v>4.53218210557229</v>
      </c>
    </row>
    <row r="672" customFormat="false" ht="15" hidden="false" customHeight="false" outlineLevel="0" collapsed="false">
      <c r="A672" s="28" t="n">
        <v>66707.8479821156</v>
      </c>
      <c r="B672" s="29" t="n">
        <v>8</v>
      </c>
      <c r="C672" s="18" t="n">
        <v>8.8880549476438</v>
      </c>
      <c r="D672" s="18" t="n">
        <v>10.3310383309142</v>
      </c>
      <c r="E672" s="18" t="n">
        <v>3.91969569485701</v>
      </c>
      <c r="F672" s="18" t="n">
        <v>4.87686429054462</v>
      </c>
      <c r="G672" s="18" t="n">
        <v>4.5694736151102</v>
      </c>
      <c r="H672" s="18" t="n">
        <v>4.8992656820329</v>
      </c>
      <c r="I672" s="18" t="n">
        <v>4.49562061035081</v>
      </c>
      <c r="J672" s="18" t="n">
        <v>4.68315001052635</v>
      </c>
    </row>
    <row r="673" customFormat="false" ht="15" hidden="false" customHeight="false" outlineLevel="0" collapsed="false">
      <c r="A673" s="28" t="n">
        <v>66807.8597482057</v>
      </c>
      <c r="B673" s="29" t="n">
        <v>8</v>
      </c>
      <c r="C673" s="18" t="n">
        <v>4.95929622023024</v>
      </c>
      <c r="D673" s="18" t="n">
        <v>10.3198260531885</v>
      </c>
      <c r="E673" s="18" t="n">
        <v>3.87090755472226</v>
      </c>
      <c r="F673" s="18" t="n">
        <v>4.61374936280179</v>
      </c>
      <c r="G673" s="18" t="n">
        <v>5.04808542783473</v>
      </c>
      <c r="H673" s="18" t="n">
        <v>4.88501145591555</v>
      </c>
      <c r="I673" s="18" t="n">
        <v>4.52045670642223</v>
      </c>
      <c r="J673" s="18" t="n">
        <v>4.72571909162112</v>
      </c>
    </row>
    <row r="674" customFormat="false" ht="15" hidden="false" customHeight="false" outlineLevel="0" collapsed="false">
      <c r="A674" s="28" t="n">
        <v>66907.8715142958</v>
      </c>
      <c r="B674" s="29" t="n">
        <v>8</v>
      </c>
      <c r="C674" s="18" t="n">
        <v>5.47274654952744</v>
      </c>
      <c r="D674" s="18" t="n">
        <v>10.3065612632633</v>
      </c>
      <c r="E674" s="18" t="n">
        <v>3.83794314810966</v>
      </c>
      <c r="F674" s="18" t="n">
        <v>4.58432216196103</v>
      </c>
      <c r="G674" s="18" t="n">
        <v>5.1555439286185</v>
      </c>
      <c r="H674" s="18" t="n">
        <v>4.87093462446791</v>
      </c>
      <c r="I674" s="18" t="n">
        <v>4.5453324156938</v>
      </c>
      <c r="J674" s="18" t="n">
        <v>4.80504633531178</v>
      </c>
    </row>
    <row r="675" customFormat="false" ht="15" hidden="false" customHeight="false" outlineLevel="0" collapsed="false">
      <c r="A675" s="28" t="n">
        <v>67007.8832803859</v>
      </c>
      <c r="B675" s="29" t="n">
        <v>8</v>
      </c>
      <c r="C675" s="18" t="n">
        <v>9.52351953532449</v>
      </c>
      <c r="D675" s="18" t="n">
        <v>10.2912632767752</v>
      </c>
      <c r="E675" s="18" t="n">
        <v>3.81680459820041</v>
      </c>
      <c r="F675" s="18" t="n">
        <v>4.6701502949978</v>
      </c>
      <c r="G675" s="18" t="n">
        <v>4.64856807366673</v>
      </c>
      <c r="H675" s="18" t="n">
        <v>4.85704689064361</v>
      </c>
      <c r="I675" s="18" t="n">
        <v>4.57007864731435</v>
      </c>
      <c r="J675" s="18" t="n">
        <v>4.87761341139203</v>
      </c>
    </row>
    <row r="676" customFormat="false" ht="15" hidden="false" customHeight="false" outlineLevel="0" collapsed="false">
      <c r="A676" s="28" t="n">
        <v>67107.8950464761</v>
      </c>
      <c r="B676" s="29" t="n">
        <v>8</v>
      </c>
      <c r="C676" s="18" t="n">
        <v>9.52140653135303</v>
      </c>
      <c r="D676" s="18" t="n">
        <v>10.2739188998094</v>
      </c>
      <c r="E676" s="18" t="n">
        <v>3.80505408454143</v>
      </c>
      <c r="F676" s="18" t="n">
        <v>5.00784180035702</v>
      </c>
      <c r="G676" s="18" t="n">
        <v>4.58370716453325</v>
      </c>
      <c r="H676" s="18" t="n">
        <v>4.8433615204096</v>
      </c>
      <c r="I676" s="18" t="n">
        <v>4.59456784299336</v>
      </c>
      <c r="J676" s="18" t="n">
        <v>4.92904772255551</v>
      </c>
    </row>
    <row r="677" customFormat="false" ht="15" hidden="false" customHeight="false" outlineLevel="0" collapsed="false">
      <c r="A677" s="28" t="n">
        <v>67207.9068125662</v>
      </c>
      <c r="B677" s="29" t="n">
        <v>8</v>
      </c>
      <c r="C677" s="18" t="n">
        <v>9.20313786901851</v>
      </c>
      <c r="D677" s="18" t="n">
        <v>10.254482541163</v>
      </c>
      <c r="E677" s="18" t="n">
        <v>3.80114274748634</v>
      </c>
      <c r="F677" s="18" t="n">
        <v>8.81185603933382</v>
      </c>
      <c r="G677" s="18" t="n">
        <v>4.56944502000357</v>
      </c>
      <c r="H677" s="18" t="n">
        <v>4.82989352746914</v>
      </c>
      <c r="I677" s="18" t="n">
        <v>4.6186907365369</v>
      </c>
      <c r="J677" s="18" t="n">
        <v>4.82908857232562</v>
      </c>
    </row>
    <row r="678" customFormat="false" ht="15" hidden="false" customHeight="false" outlineLevel="0" collapsed="false">
      <c r="A678" s="28" t="n">
        <v>67307.9185786563</v>
      </c>
      <c r="B678" s="29" t="n">
        <v>8</v>
      </c>
      <c r="C678" s="18" t="n">
        <v>5.60900863037013</v>
      </c>
      <c r="D678" s="18" t="n">
        <v>10.2328747653668</v>
      </c>
      <c r="E678" s="18" t="n">
        <v>3.8040753713833</v>
      </c>
      <c r="F678" s="18" t="n">
        <v>9.30548210217352</v>
      </c>
      <c r="G678" s="18" t="n">
        <v>4.68420210615352</v>
      </c>
      <c r="H678" s="18" t="n">
        <v>4.81665993736103</v>
      </c>
      <c r="I678" s="18" t="n">
        <v>4.64234620808426</v>
      </c>
      <c r="J678" s="18" t="n">
        <v>4.79774268208961</v>
      </c>
    </row>
    <row r="679" customFormat="false" ht="15" hidden="false" customHeight="false" outlineLevel="0" collapsed="false">
      <c r="A679" s="28" t="n">
        <v>67407.9303447465</v>
      </c>
      <c r="B679" s="29" t="n">
        <v>8</v>
      </c>
      <c r="C679" s="18" t="n">
        <v>4.80445930255107</v>
      </c>
      <c r="D679" s="18" t="n">
        <v>10.2089791605723</v>
      </c>
      <c r="E679" s="18" t="n">
        <v>3.81323164778577</v>
      </c>
      <c r="F679" s="18" t="n">
        <v>9.3753163868446</v>
      </c>
      <c r="G679" s="18" t="n">
        <v>5.13850458495764</v>
      </c>
      <c r="H679" s="18" t="n">
        <v>4.80368014552834</v>
      </c>
      <c r="I679" s="18" t="n">
        <v>4.66543569869025</v>
      </c>
      <c r="J679" s="18" t="n">
        <v>4.77143619466629</v>
      </c>
    </row>
    <row r="680" customFormat="false" ht="15" hidden="false" customHeight="false" outlineLevel="0" collapsed="false">
      <c r="A680" s="28" t="n">
        <v>67507.9421108366</v>
      </c>
      <c r="B680" s="29" t="n">
        <v>8</v>
      </c>
      <c r="C680" s="18" t="n">
        <v>9.20933667093214</v>
      </c>
      <c r="D680" s="18" t="n">
        <v>10.182637216112</v>
      </c>
      <c r="E680" s="18" t="n">
        <v>3.82826847083281</v>
      </c>
      <c r="F680" s="18" t="n">
        <v>9.39382209223759</v>
      </c>
      <c r="G680" s="18" t="n">
        <v>4.72246692922411</v>
      </c>
      <c r="H680" s="18" t="n">
        <v>4.79097639387522</v>
      </c>
      <c r="I680" s="18" t="n">
        <v>4.68785938818667</v>
      </c>
      <c r="J680" s="18" t="n">
        <v>4.73737964290374</v>
      </c>
    </row>
    <row r="681" customFormat="false" ht="15" hidden="false" customHeight="false" outlineLevel="0" collapsed="false">
      <c r="A681" s="28" t="n">
        <v>67607.9538769267</v>
      </c>
      <c r="B681" s="29" t="n">
        <v>8</v>
      </c>
      <c r="C681" s="18" t="n">
        <v>9.57950011815447</v>
      </c>
      <c r="D681" s="18" t="n">
        <v>10.1536406704196</v>
      </c>
      <c r="E681" s="18" t="n">
        <v>3.8490690185908</v>
      </c>
      <c r="F681" s="18" t="n">
        <v>9.35232053828041</v>
      </c>
      <c r="G681" s="18" t="n">
        <v>4.60316709590323</v>
      </c>
      <c r="H681" s="18" t="n">
        <v>4.77857440345579</v>
      </c>
      <c r="I681" s="18" t="n">
        <v>4.70951294859711</v>
      </c>
      <c r="J681" s="18" t="n">
        <v>4.70837115903692</v>
      </c>
    </row>
    <row r="682" customFormat="false" ht="15" hidden="false" customHeight="false" outlineLevel="0" collapsed="false">
      <c r="A682" s="28" t="n">
        <v>67707.9656430168</v>
      </c>
      <c r="B682" s="29" t="n">
        <v>8</v>
      </c>
      <c r="C682" s="18" t="n">
        <v>9.3756408974199</v>
      </c>
      <c r="D682" s="18" t="n">
        <v>10.1217204492377</v>
      </c>
      <c r="E682" s="18" t="n">
        <v>3.87572294318767</v>
      </c>
      <c r="F682" s="18" t="n">
        <v>9.24288990625009</v>
      </c>
      <c r="G682" s="18" t="n">
        <v>4.57428615880313</v>
      </c>
      <c r="H682" s="18" t="n">
        <v>4.76650422055623</v>
      </c>
      <c r="I682" s="18" t="n">
        <v>4.73028423884995</v>
      </c>
      <c r="J682" s="18" t="n">
        <v>4.68644305582658</v>
      </c>
    </row>
    <row r="683" customFormat="false" ht="15" hidden="false" customHeight="false" outlineLevel="0" collapsed="false">
      <c r="A683" s="28" t="n">
        <v>67807.977409107</v>
      </c>
      <c r="B683" s="29" t="n">
        <v>8</v>
      </c>
      <c r="C683" s="18" t="n">
        <v>8.7540439547437</v>
      </c>
      <c r="D683" s="18" t="n">
        <v>10.0865307944324</v>
      </c>
      <c r="E683" s="18" t="n">
        <v>3.90853178904785</v>
      </c>
      <c r="F683" s="18" t="n">
        <v>9.02430660165153</v>
      </c>
      <c r="G683" s="18" t="n">
        <v>4.58967363537955</v>
      </c>
      <c r="H683" s="18" t="n">
        <v>4.7548013635991</v>
      </c>
      <c r="I683" s="18" t="n">
        <v>4.75004946007955</v>
      </c>
      <c r="J683" s="18" t="n">
        <v>4.67601204886007</v>
      </c>
    </row>
    <row r="684" customFormat="false" ht="15" hidden="false" customHeight="false" outlineLevel="0" collapsed="false">
      <c r="A684" s="28" t="n">
        <v>67907.9891751971</v>
      </c>
      <c r="B684" s="29" t="n">
        <v>8</v>
      </c>
      <c r="C684" s="18" t="n">
        <v>4.94791155175476</v>
      </c>
      <c r="D684" s="18" t="n">
        <v>10.0476263246595</v>
      </c>
      <c r="E684" s="18" t="n">
        <v>3.9480405643234</v>
      </c>
      <c r="F684" s="18" t="n">
        <v>8.45057047246725</v>
      </c>
      <c r="G684" s="18" t="n">
        <v>5.07111198913167</v>
      </c>
      <c r="H684" s="18" t="n">
        <v>4.74350840696937</v>
      </c>
      <c r="I684" s="18" t="n">
        <v>4.76866824298593</v>
      </c>
      <c r="J684" s="18" t="n">
        <v>4.6893056561682</v>
      </c>
    </row>
    <row r="685" customFormat="false" ht="15" hidden="false" customHeight="false" outlineLevel="0" collapsed="false">
      <c r="A685" s="28" t="n">
        <v>68008.0009412872</v>
      </c>
      <c r="B685" s="29" t="n">
        <v>8</v>
      </c>
      <c r="C685" s="18" t="n">
        <v>8.04863753319116</v>
      </c>
      <c r="D685" s="18" t="n">
        <v>10.0044283085208</v>
      </c>
      <c r="E685" s="18" t="n">
        <v>3.99510354642554</v>
      </c>
      <c r="F685" s="18" t="n">
        <v>5.40317611820368</v>
      </c>
      <c r="G685" s="18" t="n">
        <v>5.14384061904452</v>
      </c>
      <c r="H685" s="18" t="n">
        <v>4.7326772196505</v>
      </c>
      <c r="I685" s="18" t="n">
        <v>4.78597691440264</v>
      </c>
      <c r="J685" s="18" t="n">
        <v>4.78837605013792</v>
      </c>
    </row>
    <row r="686" customFormat="false" ht="15" hidden="false" customHeight="false" outlineLevel="0" collapsed="false">
      <c r="A686" s="28" t="n">
        <v>68108.0127073773</v>
      </c>
      <c r="B686" s="29" t="n">
        <v>8</v>
      </c>
      <c r="C686" s="18" t="n">
        <v>9.58274960379942</v>
      </c>
      <c r="D686" s="18" t="n">
        <v>9.95617381233295</v>
      </c>
      <c r="E686" s="18" t="n">
        <v>4.05100350309152</v>
      </c>
      <c r="F686" s="18" t="n">
        <v>5.38113504842514</v>
      </c>
      <c r="G686" s="18" t="n">
        <v>4.63516857088238</v>
      </c>
      <c r="H686" s="18" t="n">
        <v>4.7223722197366</v>
      </c>
      <c r="I686" s="18" t="n">
        <v>4.80177870252357</v>
      </c>
      <c r="J686" s="18" t="n">
        <v>4.81568463918076</v>
      </c>
    </row>
    <row r="687" customFormat="false" ht="15" hidden="false" customHeight="false" outlineLevel="0" collapsed="false">
      <c r="A687" s="28" t="n">
        <v>68208.0244734675</v>
      </c>
      <c r="B687" s="29" t="n">
        <v>8</v>
      </c>
      <c r="C687" s="18" t="n">
        <v>9.48389396548556</v>
      </c>
      <c r="D687" s="18" t="n">
        <v>9.9018364490833</v>
      </c>
      <c r="E687" s="18" t="n">
        <v>4.11766541640614</v>
      </c>
      <c r="F687" s="18" t="n">
        <v>8.24082559317143</v>
      </c>
      <c r="G687" s="18" t="n">
        <v>4.58310778667183</v>
      </c>
      <c r="H687" s="18" t="n">
        <v>4.71267526908744</v>
      </c>
      <c r="I687" s="18" t="n">
        <v>4.81582863498834</v>
      </c>
      <c r="J687" s="18" t="n">
        <v>4.76392174441899</v>
      </c>
    </row>
    <row r="688" customFormat="false" ht="15" hidden="false" customHeight="false" outlineLevel="0" collapsed="false">
      <c r="A688" s="28" t="n">
        <v>68308.0362395576</v>
      </c>
      <c r="B688" s="29" t="n">
        <v>8</v>
      </c>
      <c r="C688" s="18" t="n">
        <v>9.11763990972798</v>
      </c>
      <c r="D688" s="18" t="n">
        <v>9.83999759697268</v>
      </c>
      <c r="E688" s="18" t="n">
        <v>4.19805597379087</v>
      </c>
      <c r="F688" s="18" t="n">
        <v>8.82791430475902</v>
      </c>
      <c r="G688" s="18" t="n">
        <v>4.57470646028364</v>
      </c>
      <c r="H688" s="18" t="n">
        <v>4.70369334375175</v>
      </c>
      <c r="I688" s="18" t="n">
        <v>4.82780871173273</v>
      </c>
      <c r="J688" s="18" t="n">
        <v>4.72663123106685</v>
      </c>
    </row>
    <row r="689" customFormat="false" ht="15" hidden="false" customHeight="false" outlineLevel="0" collapsed="false">
      <c r="A689" s="28" t="n">
        <v>68408.0480056477</v>
      </c>
      <c r="B689" s="29" t="n">
        <v>8</v>
      </c>
      <c r="C689" s="18" t="n">
        <v>5.31858125788853</v>
      </c>
      <c r="D689" s="18" t="n">
        <v>9.7686258131025</v>
      </c>
      <c r="E689" s="18" t="n">
        <v>4.29699124419737</v>
      </c>
      <c r="F689" s="18" t="n">
        <v>8.67346131359925</v>
      </c>
      <c r="G689" s="18" t="n">
        <v>4.94788319832825</v>
      </c>
      <c r="H689" s="18" t="n">
        <v>4.69557117872678</v>
      </c>
      <c r="I689" s="18" t="n">
        <v>4.83728382328336</v>
      </c>
      <c r="J689" s="18" t="n">
        <v>4.7233086556077</v>
      </c>
    </row>
    <row r="690" customFormat="false" ht="15" hidden="false" customHeight="false" outlineLevel="0" collapsed="false">
      <c r="A690" s="28" t="n">
        <v>68508.0597717379</v>
      </c>
      <c r="B690" s="29" t="n">
        <v>8</v>
      </c>
      <c r="C690" s="18" t="n">
        <v>4.95473903503971</v>
      </c>
      <c r="D690" s="18" t="n">
        <v>9.68467268297459</v>
      </c>
      <c r="E690" s="18" t="n">
        <v>4.42297654452432</v>
      </c>
      <c r="F690" s="18" t="n">
        <v>8.25271334508865</v>
      </c>
      <c r="G690" s="18" t="n">
        <v>5.15959698013164</v>
      </c>
      <c r="H690" s="18" t="n">
        <v>4.68851348608561</v>
      </c>
      <c r="I690" s="18" t="n">
        <v>4.84361541123808</v>
      </c>
      <c r="J690" s="18" t="n">
        <v>4.7293818371835</v>
      </c>
    </row>
    <row r="691" customFormat="false" ht="15" hidden="false" customHeight="false" outlineLevel="0" collapsed="false">
      <c r="A691" s="28" t="n">
        <v>68608.071537828</v>
      </c>
      <c r="B691" s="29" t="n">
        <v>8</v>
      </c>
      <c r="C691" s="18" t="n">
        <v>9.36721829628419</v>
      </c>
      <c r="D691" s="18" t="n">
        <v>9.58326376962676</v>
      </c>
      <c r="E691" s="18" t="n">
        <v>4.59323836705848</v>
      </c>
      <c r="F691" s="18" t="n">
        <v>6.17153429221612</v>
      </c>
      <c r="G691" s="18" t="n">
        <v>4.68729025314553</v>
      </c>
      <c r="H691" s="18" t="n">
        <v>4.6828273722269</v>
      </c>
      <c r="I691" s="18" t="n">
        <v>4.84576894613807</v>
      </c>
      <c r="J691" s="18" t="n">
        <v>4.78536683405341</v>
      </c>
    </row>
    <row r="692" customFormat="false" ht="15" hidden="false" customHeight="false" outlineLevel="0" collapsed="false">
      <c r="A692" s="28" t="n">
        <v>68708.0833039181</v>
      </c>
      <c r="B692" s="29" t="n">
        <v>8</v>
      </c>
      <c r="C692" s="18" t="n">
        <v>9.55491696025343</v>
      </c>
      <c r="D692" s="18" t="n">
        <v>9.45586887343953</v>
      </c>
      <c r="E692" s="18" t="n">
        <v>4.85254563211014</v>
      </c>
      <c r="F692" s="18" t="n">
        <v>6.37381005111784</v>
      </c>
      <c r="G692" s="18" t="n">
        <v>4.59621558096454</v>
      </c>
      <c r="H692" s="18" t="n">
        <v>4.67901299497493</v>
      </c>
      <c r="I692" s="18" t="n">
        <v>4.8418106440311</v>
      </c>
      <c r="J692" s="18" t="n">
        <v>4.81749367697108</v>
      </c>
    </row>
    <row r="693" customFormat="false" ht="15" hidden="false" customHeight="false" outlineLevel="0" collapsed="false">
      <c r="A693" s="28" t="n">
        <v>68808.0950700082</v>
      </c>
      <c r="B693" s="29" t="n">
        <v>8</v>
      </c>
      <c r="C693" s="18" t="n">
        <v>9.30831162499533</v>
      </c>
      <c r="D693" s="18" t="n">
        <v>9.28534445075889</v>
      </c>
      <c r="E693" s="18" t="n">
        <v>5.42269943916887</v>
      </c>
      <c r="F693" s="18" t="n">
        <v>8.73237755930996</v>
      </c>
      <c r="G693" s="18" t="n">
        <v>4.57320831145158</v>
      </c>
      <c r="H693" s="18" t="n">
        <v>4.67799190399185</v>
      </c>
      <c r="I693" s="18" t="n">
        <v>4.82817485197188</v>
      </c>
      <c r="J693" s="18" t="n">
        <v>4.74257083191702</v>
      </c>
    </row>
    <row r="694" customFormat="false" ht="15" hidden="false" customHeight="false" outlineLevel="0" collapsed="false">
      <c r="A694" s="28" t="n">
        <v>68908.1068360984</v>
      </c>
      <c r="B694" s="29" t="n">
        <v>8</v>
      </c>
      <c r="C694" s="18" t="n">
        <v>8.3513607695388</v>
      </c>
      <c r="D694" s="18" t="n">
        <v>9.0277172124313</v>
      </c>
      <c r="E694" s="18" t="n">
        <v>8.6645308412536</v>
      </c>
      <c r="F694" s="18" t="n">
        <v>8.79438229719782</v>
      </c>
      <c r="G694" s="18" t="n">
        <v>4.60871274741381</v>
      </c>
      <c r="H694" s="18" t="n">
        <v>4.68185873006187</v>
      </c>
      <c r="I694" s="18" t="n">
        <v>4.81509430737766</v>
      </c>
      <c r="J694" s="18" t="n">
        <v>4.73066847622742</v>
      </c>
    </row>
    <row r="695" customFormat="false" ht="15" hidden="false" customHeight="false" outlineLevel="0" collapsed="false">
      <c r="A695" s="28" t="n">
        <v>69008.1186021885</v>
      </c>
      <c r="B695" s="29" t="n">
        <v>8</v>
      </c>
      <c r="C695" s="18" t="n">
        <v>4.86486831193171</v>
      </c>
      <c r="D695" s="18" t="n">
        <v>8.47523784235891</v>
      </c>
      <c r="E695" s="18" t="n">
        <v>9.0272029721624</v>
      </c>
      <c r="F695" s="18" t="n">
        <v>8.61065938156584</v>
      </c>
      <c r="G695" s="18" t="n">
        <v>5.10436224589281</v>
      </c>
      <c r="H695" s="18" t="n">
        <v>4.69823539285091</v>
      </c>
      <c r="I695" s="18" t="n">
        <v>4.80051476232711</v>
      </c>
      <c r="J695" s="18" t="n">
        <v>4.72944349208303</v>
      </c>
    </row>
    <row r="696" customFormat="false" ht="15" hidden="false" customHeight="false" outlineLevel="0" collapsed="false">
      <c r="A696" s="28" t="n">
        <v>69108.1303682786</v>
      </c>
      <c r="B696" s="29" t="n">
        <v>8</v>
      </c>
      <c r="C696" s="18" t="n">
        <v>8.90406123450923</v>
      </c>
      <c r="D696" s="18" t="n">
        <v>5.5217166130089</v>
      </c>
      <c r="E696" s="18" t="n">
        <v>9.18161756948126</v>
      </c>
      <c r="F696" s="18" t="n">
        <v>8.2426651013239</v>
      </c>
      <c r="G696" s="18" t="n">
        <v>4.83350886224165</v>
      </c>
      <c r="H696" s="18" t="n">
        <v>4.84794990458853</v>
      </c>
      <c r="I696" s="18" t="n">
        <v>4.77218555091627</v>
      </c>
      <c r="J696" s="18" t="n">
        <v>4.7349552055589</v>
      </c>
    </row>
    <row r="697" customFormat="false" ht="15" hidden="false" customHeight="false" outlineLevel="0" collapsed="false">
      <c r="A697" s="28" t="n">
        <v>69208.1421343688</v>
      </c>
      <c r="B697" s="29" t="n">
        <v>8</v>
      </c>
      <c r="C697" s="18" t="n">
        <v>9.59172384549818</v>
      </c>
      <c r="D697" s="18" t="n">
        <v>6.20277985169459</v>
      </c>
      <c r="E697" s="18" t="n">
        <v>9.22909029319649</v>
      </c>
      <c r="F697" s="18" t="n">
        <v>6.74240230858493</v>
      </c>
      <c r="G697" s="18" t="n">
        <v>4.61553722387574</v>
      </c>
      <c r="H697" s="18" t="n">
        <v>4.8695271912414</v>
      </c>
      <c r="I697" s="18" t="n">
        <v>4.74525141445025</v>
      </c>
      <c r="J697" s="18" t="n">
        <v>4.7648365060223</v>
      </c>
    </row>
    <row r="698" customFormat="false" ht="15" hidden="false" customHeight="false" outlineLevel="0" collapsed="false">
      <c r="A698" s="28" t="n">
        <v>69308.1539004589</v>
      </c>
      <c r="B698" s="29" t="n">
        <v>8</v>
      </c>
      <c r="C698" s="18" t="n">
        <v>9.43531219561269</v>
      </c>
      <c r="D698" s="18" t="n">
        <v>9.03524802790825</v>
      </c>
      <c r="E698" s="18" t="n">
        <v>9.20132223367009</v>
      </c>
      <c r="F698" s="18" t="n">
        <v>6.53913495899396</v>
      </c>
      <c r="G698" s="18" t="n">
        <v>4.57859941434342</v>
      </c>
      <c r="H698" s="18" t="n">
        <v>4.70438362454576</v>
      </c>
      <c r="I698" s="18" t="n">
        <v>4.72391817208925</v>
      </c>
      <c r="J698" s="18" t="n">
        <v>4.80895230119845</v>
      </c>
    </row>
    <row r="699" customFormat="false" ht="15" hidden="false" customHeight="false" outlineLevel="0" collapsed="false">
      <c r="A699" s="28" t="n">
        <v>69408.165666549</v>
      </c>
      <c r="B699" s="29" t="n">
        <v>8</v>
      </c>
      <c r="C699" s="18" t="n">
        <v>8.97818421845227</v>
      </c>
      <c r="D699" s="18" t="n">
        <v>8.96657597176062</v>
      </c>
      <c r="E699" s="18" t="n">
        <v>9.10305241152599</v>
      </c>
      <c r="F699" s="18" t="n">
        <v>8.65894616018678</v>
      </c>
      <c r="G699" s="18" t="n">
        <v>4.57981557063987</v>
      </c>
      <c r="H699" s="18" t="n">
        <v>4.69382405255623</v>
      </c>
      <c r="I699" s="18" t="n">
        <v>4.71176164228701</v>
      </c>
      <c r="J699" s="18" t="n">
        <v>4.74463339628969</v>
      </c>
    </row>
    <row r="700" customFormat="false" ht="15" hidden="false" customHeight="false" outlineLevel="0" collapsed="false">
      <c r="A700" s="28" t="n">
        <v>69508.1774326391</v>
      </c>
      <c r="B700" s="29" t="n">
        <v>8</v>
      </c>
      <c r="C700" s="18" t="n">
        <v>5.09542616291468</v>
      </c>
      <c r="D700" s="18" t="n">
        <v>8.49288155586016</v>
      </c>
      <c r="E700" s="18" t="n">
        <v>8.91562923343546</v>
      </c>
      <c r="F700" s="18" t="n">
        <v>8.74451916962392</v>
      </c>
      <c r="G700" s="18" t="n">
        <v>5.0258957826316</v>
      </c>
      <c r="H700" s="18" t="n">
        <v>4.70731993976244</v>
      </c>
      <c r="I700" s="18" t="n">
        <v>4.71083668721021</v>
      </c>
      <c r="J700" s="18" t="n">
        <v>4.73243713678077</v>
      </c>
    </row>
    <row r="701" customFormat="false" ht="15" hidden="false" customHeight="false" outlineLevel="0" collapsed="false">
      <c r="A701" s="28" t="n">
        <v>69608.1891987293</v>
      </c>
      <c r="B701" s="29" t="n">
        <v>8</v>
      </c>
      <c r="C701" s="18" t="n">
        <v>5.26526256387076</v>
      </c>
      <c r="D701" s="18" t="n">
        <v>5.71780234030117</v>
      </c>
      <c r="E701" s="18" t="n">
        <v>8.56705178167298</v>
      </c>
      <c r="F701" s="18" t="n">
        <v>8.56172798278757</v>
      </c>
      <c r="G701" s="18" t="n">
        <v>5.16263717748535</v>
      </c>
      <c r="H701" s="18" t="n">
        <v>4.84158207260981</v>
      </c>
      <c r="I701" s="18" t="n">
        <v>4.7184459466847</v>
      </c>
      <c r="J701" s="18" t="n">
        <v>4.7315258483816</v>
      </c>
    </row>
    <row r="702" customFormat="false" ht="15" hidden="false" customHeight="false" outlineLevel="0" collapsed="false">
      <c r="A702" s="28" t="n">
        <v>69708.2009648194</v>
      </c>
      <c r="B702" s="29" t="n">
        <v>8</v>
      </c>
      <c r="C702" s="18" t="n">
        <v>9.49067495575371</v>
      </c>
      <c r="D702" s="18" t="n">
        <v>6.55264622283343</v>
      </c>
      <c r="E702" s="18" t="n">
        <v>7.06098502568463</v>
      </c>
      <c r="F702" s="18" t="n">
        <v>8.18727318920343</v>
      </c>
      <c r="G702" s="18" t="n">
        <v>4.6589292326166</v>
      </c>
      <c r="H702" s="18" t="n">
        <v>4.87075502888314</v>
      </c>
      <c r="I702" s="18" t="n">
        <v>4.72209313150423</v>
      </c>
      <c r="J702" s="18" t="n">
        <v>4.73755054491789</v>
      </c>
    </row>
    <row r="703" customFormat="false" ht="15" hidden="false" customHeight="false" outlineLevel="0" collapsed="false">
      <c r="A703" s="28" t="n">
        <v>69808.2127309095</v>
      </c>
      <c r="B703" s="29" t="n">
        <v>8</v>
      </c>
      <c r="C703" s="18" t="n">
        <v>9.52369734239605</v>
      </c>
      <c r="D703" s="18" t="n">
        <v>9.04462166644714</v>
      </c>
      <c r="E703" s="18" t="n">
        <v>5.55696968986079</v>
      </c>
      <c r="F703" s="18" t="n">
        <v>6.80976267997146</v>
      </c>
      <c r="G703" s="18" t="n">
        <v>4.58925601645752</v>
      </c>
      <c r="H703" s="18" t="n">
        <v>4.70902660999242</v>
      </c>
      <c r="I703" s="18" t="n">
        <v>4.72056803107379</v>
      </c>
      <c r="J703" s="18" t="n">
        <v>4.76703495394506</v>
      </c>
    </row>
    <row r="704" customFormat="false" ht="15" hidden="false" customHeight="false" outlineLevel="0" collapsed="false">
      <c r="A704" s="28" t="n">
        <v>69908.2244969997</v>
      </c>
      <c r="B704" s="29" t="n">
        <v>8</v>
      </c>
      <c r="C704" s="18" t="n">
        <v>9.22474676544593</v>
      </c>
      <c r="D704" s="18" t="n">
        <v>8.97950237454106</v>
      </c>
      <c r="E704" s="18" t="n">
        <v>5.29666808879384</v>
      </c>
      <c r="F704" s="18" t="n">
        <v>7.08347441257747</v>
      </c>
      <c r="G704" s="18" t="n">
        <v>4.57292584019267</v>
      </c>
      <c r="H704" s="18" t="n">
        <v>4.6985751321163</v>
      </c>
      <c r="I704" s="18" t="n">
        <v>4.72215757647761</v>
      </c>
      <c r="J704" s="18" t="n">
        <v>4.80259793291876</v>
      </c>
    </row>
    <row r="705" customFormat="false" ht="15" hidden="false" customHeight="false" outlineLevel="0" collapsed="false">
      <c r="A705" s="28" t="n">
        <v>70008.2362630898</v>
      </c>
      <c r="B705" s="29" t="n">
        <v>8</v>
      </c>
      <c r="C705" s="18" t="n">
        <v>5.88514523949904</v>
      </c>
      <c r="D705" s="18" t="n">
        <v>8.58365704205372</v>
      </c>
      <c r="E705" s="18" t="n">
        <v>5.13385310852102</v>
      </c>
      <c r="F705" s="18" t="n">
        <v>8.65658554921465</v>
      </c>
      <c r="G705" s="18" t="n">
        <v>4.65333374072563</v>
      </c>
      <c r="H705" s="18" t="n">
        <v>4.70929840132654</v>
      </c>
      <c r="I705" s="18" t="n">
        <v>4.7264227094943</v>
      </c>
      <c r="J705" s="18" t="n">
        <v>4.74319134547321</v>
      </c>
    </row>
    <row r="706" customFormat="false" ht="15" hidden="false" customHeight="false" outlineLevel="0" collapsed="false">
      <c r="A706" s="28" t="n">
        <v>70108.2480291799</v>
      </c>
      <c r="B706" s="29" t="n">
        <v>8</v>
      </c>
      <c r="C706" s="18" t="n">
        <v>4.81553796541805</v>
      </c>
      <c r="D706" s="18" t="n">
        <v>6.02826810463812</v>
      </c>
      <c r="E706" s="18" t="n">
        <v>5.04174364238497</v>
      </c>
      <c r="F706" s="18" t="n">
        <v>8.6982117228019</v>
      </c>
      <c r="G706" s="18" t="n">
        <v>5.13406104557352</v>
      </c>
      <c r="H706" s="18" t="n">
        <v>4.80472780623432</v>
      </c>
      <c r="I706" s="18" t="n">
        <v>4.73186111164413</v>
      </c>
      <c r="J706" s="18" t="n">
        <v>4.73283544313259</v>
      </c>
    </row>
    <row r="707" customFormat="false" ht="15" hidden="false" customHeight="false" outlineLevel="0" collapsed="false">
      <c r="A707" s="28" t="n">
        <v>70208.25979527</v>
      </c>
      <c r="B707" s="29" t="n">
        <v>8</v>
      </c>
      <c r="C707" s="18" t="n">
        <v>9.18891224332806</v>
      </c>
      <c r="D707" s="18" t="n">
        <v>5.84923035332344</v>
      </c>
      <c r="E707" s="18" t="n">
        <v>4.99232013681049</v>
      </c>
      <c r="F707" s="18" t="n">
        <v>8.49512490685985</v>
      </c>
      <c r="G707" s="18" t="n">
        <v>4.72715388355424</v>
      </c>
      <c r="H707" s="18" t="n">
        <v>4.87566521417474</v>
      </c>
      <c r="I707" s="18" t="n">
        <v>4.73769224357305</v>
      </c>
      <c r="J707" s="18" t="n">
        <v>4.73289016527342</v>
      </c>
    </row>
    <row r="708" customFormat="false" ht="15" hidden="false" customHeight="false" outlineLevel="0" collapsed="false">
      <c r="A708" s="28" t="n">
        <v>70308.2715613602</v>
      </c>
      <c r="B708" s="29" t="n">
        <v>8</v>
      </c>
      <c r="C708" s="18" t="n">
        <v>9.57808911092861</v>
      </c>
      <c r="D708" s="18" t="n">
        <v>8.97770367601873</v>
      </c>
      <c r="E708" s="18" t="n">
        <v>4.97366905626978</v>
      </c>
      <c r="F708" s="18" t="n">
        <v>8.06541397485041</v>
      </c>
      <c r="G708" s="18" t="n">
        <v>4.60452611539567</v>
      </c>
      <c r="H708" s="18" t="n">
        <v>4.71665285747836</v>
      </c>
      <c r="I708" s="18" t="n">
        <v>4.74337806674879</v>
      </c>
      <c r="J708" s="18" t="n">
        <v>4.7407751431307</v>
      </c>
    </row>
    <row r="709" customFormat="false" ht="15" hidden="false" customHeight="false" outlineLevel="0" collapsed="false">
      <c r="A709" s="28" t="n">
        <v>70408.2833274503</v>
      </c>
      <c r="B709" s="29" t="n">
        <v>8</v>
      </c>
      <c r="C709" s="18" t="n">
        <v>9.37746680497974</v>
      </c>
      <c r="D709" s="18" t="n">
        <v>8.99715608801609</v>
      </c>
      <c r="E709" s="18" t="n">
        <v>4.97963727090167</v>
      </c>
      <c r="F709" s="18" t="n">
        <v>6.60223476657107</v>
      </c>
      <c r="G709" s="18" t="n">
        <v>4.57523753178678</v>
      </c>
      <c r="H709" s="18" t="n">
        <v>4.70125151333797</v>
      </c>
      <c r="I709" s="18" t="n">
        <v>4.74861535812498</v>
      </c>
      <c r="J709" s="18" t="n">
        <v>4.77979945156829</v>
      </c>
    </row>
    <row r="710" customFormat="false" ht="15" hidden="false" customHeight="false" outlineLevel="0" collapsed="false">
      <c r="A710" s="28" t="n">
        <v>70508.2950935404</v>
      </c>
      <c r="B710" s="29" t="n">
        <v>8</v>
      </c>
      <c r="C710" s="18" t="n">
        <v>8.76876375944832</v>
      </c>
      <c r="D710" s="18" t="n">
        <v>8.66057818376463</v>
      </c>
      <c r="E710" s="18" t="n">
        <v>5.0074395797422</v>
      </c>
      <c r="F710" s="18" t="n">
        <v>7.8267066161681</v>
      </c>
      <c r="G710" s="18" t="n">
        <v>4.58968378467921</v>
      </c>
      <c r="H710" s="18" t="n">
        <v>4.70941458929026</v>
      </c>
      <c r="I710" s="18" t="n">
        <v>4.75316733179256</v>
      </c>
      <c r="J710" s="18" t="n">
        <v>4.78448400849716</v>
      </c>
    </row>
    <row r="711" customFormat="false" ht="15" hidden="false" customHeight="false" outlineLevel="0" collapsed="false">
      <c r="A711" s="28" t="n">
        <v>70608.3068596305</v>
      </c>
      <c r="B711" s="29" t="n">
        <v>8</v>
      </c>
      <c r="C711" s="18" t="n">
        <v>4.95676280657199</v>
      </c>
      <c r="D711" s="18" t="n">
        <v>6.73461991171315</v>
      </c>
      <c r="E711" s="18" t="n">
        <v>5.05653956123592</v>
      </c>
      <c r="F711" s="18" t="n">
        <v>8.68834223062491</v>
      </c>
      <c r="G711" s="18" t="n">
        <v>5.06968947950026</v>
      </c>
      <c r="H711" s="18" t="n">
        <v>4.75168952930338</v>
      </c>
      <c r="I711" s="18" t="n">
        <v>4.75684651314199</v>
      </c>
      <c r="J711" s="18" t="n">
        <v>4.73947161371615</v>
      </c>
    </row>
    <row r="712" customFormat="false" ht="15" hidden="false" customHeight="false" outlineLevel="0" collapsed="false">
      <c r="A712" s="28" t="n">
        <v>70708.3186257207</v>
      </c>
      <c r="B712" s="29" t="n">
        <v>8</v>
      </c>
      <c r="C712" s="18" t="n">
        <v>8.00805559383731</v>
      </c>
      <c r="D712" s="18" t="n">
        <v>5.66534567484676</v>
      </c>
      <c r="E712" s="18" t="n">
        <v>5.12834367348185</v>
      </c>
      <c r="F712" s="18" t="n">
        <v>8.64738485207482</v>
      </c>
      <c r="G712" s="18" t="n">
        <v>5.14441731408529</v>
      </c>
      <c r="H712" s="18" t="n">
        <v>4.87197434229768</v>
      </c>
      <c r="I712" s="18" t="n">
        <v>4.75950793747115</v>
      </c>
      <c r="J712" s="18" t="n">
        <v>4.73276797548007</v>
      </c>
    </row>
    <row r="713" customFormat="false" ht="15" hidden="false" customHeight="false" outlineLevel="0" collapsed="false">
      <c r="A713" s="28" t="n">
        <v>70808.3303918108</v>
      </c>
      <c r="B713" s="29" t="n">
        <v>8</v>
      </c>
      <c r="C713" s="18" t="n">
        <v>9.58132477055209</v>
      </c>
      <c r="D713" s="18" t="n">
        <v>8.87859448451767</v>
      </c>
      <c r="E713" s="18" t="n">
        <v>5.22655562406831</v>
      </c>
      <c r="F713" s="18" t="n">
        <v>8.40436040596712</v>
      </c>
      <c r="G713" s="18" t="n">
        <v>4.63563651463697</v>
      </c>
      <c r="H713" s="18" t="n">
        <v>4.72564030156069</v>
      </c>
      <c r="I713" s="18" t="n">
        <v>4.76106640622774</v>
      </c>
      <c r="J713" s="18" t="n">
        <v>4.73445143174988</v>
      </c>
    </row>
    <row r="714" customFormat="false" ht="15" hidden="false" customHeight="false" outlineLevel="0" collapsed="false">
      <c r="A714" s="28" t="n">
        <v>70908.3421579009</v>
      </c>
      <c r="B714" s="29" t="n">
        <v>8</v>
      </c>
      <c r="C714" s="18" t="n">
        <v>9.48420779457198</v>
      </c>
      <c r="D714" s="18" t="n">
        <v>9.0315436631535</v>
      </c>
      <c r="E714" s="18" t="n">
        <v>5.35858369969861</v>
      </c>
      <c r="F714" s="18" t="n">
        <v>7.85617961014025</v>
      </c>
      <c r="G714" s="18" t="n">
        <v>4.58334592106449</v>
      </c>
      <c r="H714" s="18" t="n">
        <v>4.7025769157786</v>
      </c>
      <c r="I714" s="18" t="n">
        <v>4.76155799912104</v>
      </c>
      <c r="J714" s="18" t="n">
        <v>4.74578582010471</v>
      </c>
    </row>
    <row r="715" customFormat="false" ht="15" hidden="false" customHeight="false" outlineLevel="0" collapsed="false">
      <c r="A715" s="28" t="n">
        <v>71008.3539239911</v>
      </c>
      <c r="B715" s="29" t="n">
        <v>8</v>
      </c>
      <c r="C715" s="18" t="n">
        <v>9.11922579483059</v>
      </c>
      <c r="D715" s="18" t="n">
        <v>8.75452423820932</v>
      </c>
      <c r="E715" s="18" t="n">
        <v>5.54013385558395</v>
      </c>
      <c r="F715" s="18" t="n">
        <v>6.48207009741667</v>
      </c>
      <c r="G715" s="18" t="n">
        <v>4.57481327609347</v>
      </c>
      <c r="H715" s="18" t="n">
        <v>4.70785517151141</v>
      </c>
      <c r="I715" s="18" t="n">
        <v>4.76134168151407</v>
      </c>
      <c r="J715" s="18" t="n">
        <v>4.79279983300554</v>
      </c>
    </row>
    <row r="716" customFormat="false" ht="15" hidden="false" customHeight="false" outlineLevel="0" collapsed="false">
      <c r="A716" s="28" t="n">
        <v>71108.3656900812</v>
      </c>
      <c r="B716" s="29" t="n">
        <v>8</v>
      </c>
      <c r="C716" s="18" t="n">
        <v>5.32400825484016</v>
      </c>
      <c r="D716" s="18" t="n">
        <v>7.93167203685326</v>
      </c>
      <c r="E716" s="18" t="n">
        <v>5.81609054566947</v>
      </c>
      <c r="F716" s="18" t="n">
        <v>8.23829917381037</v>
      </c>
      <c r="G716" s="18" t="n">
        <v>4.94572975462283</v>
      </c>
      <c r="H716" s="18" t="n">
        <v>4.73363985075119</v>
      </c>
      <c r="I716" s="18" t="n">
        <v>4.76075181253029</v>
      </c>
      <c r="J716" s="18" t="n">
        <v>4.76115636942921</v>
      </c>
    </row>
    <row r="717" customFormat="false" ht="15" hidden="false" customHeight="false" outlineLevel="0" collapsed="false">
      <c r="A717" s="28" t="n">
        <v>71208.3774561713</v>
      </c>
      <c r="B717" s="29" t="n">
        <v>8</v>
      </c>
      <c r="C717" s="18" t="n">
        <v>4.95412011966156</v>
      </c>
      <c r="D717" s="18" t="n">
        <v>5.6888582893864</v>
      </c>
      <c r="E717" s="18" t="n">
        <v>6.44844708336659</v>
      </c>
      <c r="F717" s="18" t="n">
        <v>8.69391199231818</v>
      </c>
      <c r="G717" s="18" t="n">
        <v>5.15942691004542</v>
      </c>
      <c r="H717" s="18" t="n">
        <v>4.86418720489896</v>
      </c>
      <c r="I717" s="18" t="n">
        <v>4.75881040345469</v>
      </c>
      <c r="J717" s="18" t="n">
        <v>4.7363056369846</v>
      </c>
    </row>
    <row r="718" customFormat="false" ht="15" hidden="false" customHeight="false" outlineLevel="0" collapsed="false">
      <c r="A718" s="28" t="n">
        <v>71308.3892222614</v>
      </c>
      <c r="B718" s="29" t="n">
        <v>8</v>
      </c>
      <c r="C718" s="18" t="n">
        <v>9.3663150078298</v>
      </c>
      <c r="D718" s="18" t="n">
        <v>8.68679706964409</v>
      </c>
      <c r="E718" s="18" t="n">
        <v>7.81242283818987</v>
      </c>
      <c r="F718" s="18" t="n">
        <v>8.58299428528107</v>
      </c>
      <c r="G718" s="18" t="n">
        <v>4.68748677024418</v>
      </c>
      <c r="H718" s="18" t="n">
        <v>4.74171644232301</v>
      </c>
      <c r="I718" s="18" t="n">
        <v>4.75548250348294</v>
      </c>
      <c r="J718" s="18" t="n">
        <v>4.73289512930744</v>
      </c>
    </row>
    <row r="719" customFormat="false" ht="15" hidden="false" customHeight="false" outlineLevel="0" collapsed="false">
      <c r="A719" s="28" t="n">
        <v>71408.4009883516</v>
      </c>
      <c r="B719" s="29" t="n">
        <v>8</v>
      </c>
      <c r="C719" s="18" t="n">
        <v>9.55493998242144</v>
      </c>
      <c r="D719" s="18" t="n">
        <v>9.05645834743184</v>
      </c>
      <c r="E719" s="18" t="n">
        <v>8.06971547549815</v>
      </c>
      <c r="F719" s="18" t="n">
        <v>8.28105559940236</v>
      </c>
      <c r="G719" s="18" t="n">
        <v>4.59628222045249</v>
      </c>
      <c r="H719" s="18" t="n">
        <v>4.70410285149756</v>
      </c>
      <c r="I719" s="18" t="n">
        <v>4.75522420456772</v>
      </c>
      <c r="J719" s="18" t="n">
        <v>4.73677753128931</v>
      </c>
    </row>
    <row r="720" customFormat="false" ht="15" hidden="false" customHeight="false" outlineLevel="0" collapsed="false">
      <c r="A720" s="28" t="n">
        <v>71508.4127544417</v>
      </c>
      <c r="B720" s="29" t="n">
        <v>8</v>
      </c>
      <c r="C720" s="18" t="n">
        <v>9.30857115590296</v>
      </c>
      <c r="D720" s="18" t="n">
        <v>8.8354355579216</v>
      </c>
      <c r="E720" s="18" t="n">
        <v>8.19639706719849</v>
      </c>
      <c r="F720" s="18" t="n">
        <v>7.4757778012352</v>
      </c>
      <c r="G720" s="18" t="n">
        <v>4.57324613626711</v>
      </c>
      <c r="H720" s="18" t="n">
        <v>4.70631426994587</v>
      </c>
      <c r="I720" s="18" t="n">
        <v>4.75486472360184</v>
      </c>
      <c r="J720" s="18" t="n">
        <v>4.75432721737407</v>
      </c>
    </row>
    <row r="721" customFormat="false" ht="15" hidden="false" customHeight="false" outlineLevel="0" collapsed="false">
      <c r="A721" s="28" t="n">
        <v>71608.4245205318</v>
      </c>
      <c r="B721" s="29" t="n">
        <v>8</v>
      </c>
      <c r="C721" s="18" t="n">
        <v>8.35439756127016</v>
      </c>
      <c r="D721" s="18" t="n">
        <v>8.27218992951008</v>
      </c>
      <c r="E721" s="18" t="n">
        <v>8.27917213978851</v>
      </c>
      <c r="F721" s="18" t="n">
        <v>6.63866316940535</v>
      </c>
      <c r="G721" s="18" t="n">
        <v>4.60862713794022</v>
      </c>
      <c r="H721" s="18" t="n">
        <v>4.72429564634992</v>
      </c>
      <c r="I721" s="18" t="n">
        <v>4.75454301637853</v>
      </c>
      <c r="J721" s="18" t="n">
        <v>4.79855367047862</v>
      </c>
    </row>
    <row r="722" customFormat="false" ht="15" hidden="false" customHeight="false" outlineLevel="0" collapsed="false">
      <c r="A722" s="28" t="n">
        <v>71708.436286622</v>
      </c>
      <c r="B722" s="29" t="n">
        <v>8</v>
      </c>
      <c r="C722" s="18" t="n">
        <v>4.86528390187984</v>
      </c>
      <c r="D722" s="18" t="n">
        <v>5.79325165117489</v>
      </c>
      <c r="E722" s="18" t="n">
        <v>8.3363807817543</v>
      </c>
      <c r="F722" s="18" t="n">
        <v>8.49473092869935</v>
      </c>
      <c r="G722" s="18" t="n">
        <v>5.1042683769495</v>
      </c>
      <c r="H722" s="18" t="n">
        <v>4.85177351920706</v>
      </c>
      <c r="I722" s="18" t="n">
        <v>4.75424299031079</v>
      </c>
      <c r="J722" s="18" t="n">
        <v>4.74914962974511</v>
      </c>
    </row>
    <row r="723" customFormat="false" ht="15" hidden="false" customHeight="false" outlineLevel="0" collapsed="false">
      <c r="A723" s="28" t="n">
        <v>71808.4480527121</v>
      </c>
      <c r="B723" s="29" t="n">
        <v>8</v>
      </c>
      <c r="C723" s="18" t="n">
        <v>8.90335080103378</v>
      </c>
      <c r="D723" s="18" t="n">
        <v>8.35452917413964</v>
      </c>
      <c r="E723" s="18" t="n">
        <v>8.37718845319746</v>
      </c>
      <c r="F723" s="18" t="n">
        <v>8.6742951093841</v>
      </c>
      <c r="G723" s="18" t="n">
        <v>4.83405950120383</v>
      </c>
      <c r="H723" s="18" t="n">
        <v>4.79028177984128</v>
      </c>
      <c r="I723" s="18" t="n">
        <v>4.7539573812708</v>
      </c>
      <c r="J723" s="18" t="n">
        <v>4.73443227146223</v>
      </c>
    </row>
    <row r="724" customFormat="false" ht="15" hidden="false" customHeight="false" outlineLevel="0" collapsed="false">
      <c r="A724" s="28" t="n">
        <v>71908.4598188022</v>
      </c>
      <c r="B724" s="29" t="n">
        <v>8</v>
      </c>
      <c r="C724" s="18" t="n">
        <v>9.59169858678374</v>
      </c>
      <c r="D724" s="18" t="n">
        <v>9.06988937821411</v>
      </c>
      <c r="E724" s="18" t="n">
        <v>8.40647579193628</v>
      </c>
      <c r="F724" s="18" t="n">
        <v>8.49949803256641</v>
      </c>
      <c r="G724" s="18" t="n">
        <v>4.61557052511924</v>
      </c>
      <c r="H724" s="18" t="n">
        <v>4.70717937167997</v>
      </c>
      <c r="I724" s="18" t="n">
        <v>4.75368306891685</v>
      </c>
      <c r="J724" s="18" t="n">
        <v>4.7335726013194</v>
      </c>
    </row>
    <row r="725" customFormat="false" ht="15" hidden="false" customHeight="false" outlineLevel="0" collapsed="false">
      <c r="A725" s="28" t="n">
        <v>72008.4715848923</v>
      </c>
      <c r="B725" s="29" t="n">
        <v>8</v>
      </c>
      <c r="C725" s="18" t="n">
        <v>9.43535890249704</v>
      </c>
      <c r="D725" s="18" t="n">
        <v>8.90763527730621</v>
      </c>
      <c r="E725" s="18" t="n">
        <v>8.42715541126452</v>
      </c>
      <c r="F725" s="18" t="n">
        <v>8.10840593238775</v>
      </c>
      <c r="G725" s="18" t="n">
        <v>4.57861152986744</v>
      </c>
      <c r="H725" s="18" t="n">
        <v>4.70500182782939</v>
      </c>
      <c r="I725" s="18" t="n">
        <v>4.75341882433075</v>
      </c>
      <c r="J725" s="18" t="n">
        <v>4.74045242928552</v>
      </c>
    </row>
    <row r="726" customFormat="false" ht="15" hidden="false" customHeight="false" outlineLevel="0" collapsed="false">
      <c r="A726" s="28" t="n">
        <v>72108.4833509825</v>
      </c>
      <c r="B726" s="29" t="n">
        <v>8</v>
      </c>
      <c r="C726" s="18" t="n">
        <v>8.97837235633754</v>
      </c>
      <c r="D726" s="18" t="n">
        <v>8.47524504355952</v>
      </c>
      <c r="E726" s="18" t="n">
        <v>8.44110585431793</v>
      </c>
      <c r="F726" s="18" t="n">
        <v>6.82129837185417</v>
      </c>
      <c r="G726" s="18" t="n">
        <v>4.57981411012141</v>
      </c>
      <c r="H726" s="18" t="n">
        <v>4.71789360423753</v>
      </c>
      <c r="I726" s="18" t="n">
        <v>4.75316439406517</v>
      </c>
      <c r="J726" s="18" t="n">
        <v>4.7712368016868</v>
      </c>
    </row>
    <row r="727" customFormat="false" ht="15" hidden="false" customHeight="false" outlineLevel="0" collapsed="false">
      <c r="A727" s="28" t="n">
        <v>72208.4951170726</v>
      </c>
      <c r="B727" s="29" t="n">
        <v>8</v>
      </c>
      <c r="C727" s="18" t="n">
        <v>5.0956557092211</v>
      </c>
      <c r="D727" s="18" t="n">
        <v>6.01367671545717</v>
      </c>
      <c r="E727" s="18" t="n">
        <v>8.44961079260708</v>
      </c>
      <c r="F727" s="18" t="n">
        <v>7.63630915991106</v>
      </c>
      <c r="G727" s="18" t="n">
        <v>5.02584430347684</v>
      </c>
      <c r="H727" s="18" t="n">
        <v>4.82453496466238</v>
      </c>
      <c r="I727" s="18" t="n">
        <v>4.7529200258693</v>
      </c>
      <c r="J727" s="18" t="n">
        <v>4.78827073219207</v>
      </c>
    </row>
    <row r="728" customFormat="false" ht="15" hidden="false" customHeight="false" outlineLevel="0" collapsed="false">
      <c r="A728" s="28" t="n">
        <v>72308.5068831627</v>
      </c>
      <c r="B728" s="29" t="n">
        <v>8</v>
      </c>
      <c r="C728" s="18" t="n">
        <v>5.26504085679484</v>
      </c>
      <c r="D728" s="18" t="n">
        <v>6.78483168450522</v>
      </c>
      <c r="E728" s="18" t="n">
        <v>8.45358801197221</v>
      </c>
      <c r="F728" s="18" t="n">
        <v>8.64284625447405</v>
      </c>
      <c r="G728" s="18" t="n">
        <v>5.1626357652695</v>
      </c>
      <c r="H728" s="18" t="n">
        <v>4.87054097360716</v>
      </c>
      <c r="I728" s="18" t="n">
        <v>4.75268621588461</v>
      </c>
      <c r="J728" s="18" t="n">
        <v>4.74111335122444</v>
      </c>
    </row>
    <row r="729" customFormat="false" ht="15" hidden="false" customHeight="false" outlineLevel="0" collapsed="false">
      <c r="A729" s="28" t="n">
        <v>72408.5186492529</v>
      </c>
      <c r="B729" s="29" t="n">
        <v>8</v>
      </c>
      <c r="C729" s="18" t="n">
        <v>9.49061399562094</v>
      </c>
      <c r="D729" s="18" t="n">
        <v>9.03132676202914</v>
      </c>
      <c r="E729" s="18" t="n">
        <v>8.45371859051666</v>
      </c>
      <c r="F729" s="18" t="n">
        <v>8.62956130818152</v>
      </c>
      <c r="G729" s="18" t="n">
        <v>4.65894198968706</v>
      </c>
      <c r="H729" s="18" t="n">
        <v>4.71500830725262</v>
      </c>
      <c r="I729" s="18" t="n">
        <v>4.75246356696761</v>
      </c>
      <c r="J729" s="18" t="n">
        <v>4.73342600343157</v>
      </c>
    </row>
    <row r="730" customFormat="false" ht="15" hidden="false" customHeight="false" outlineLevel="0" collapsed="false">
      <c r="A730" s="28" t="n">
        <v>72508.530415343</v>
      </c>
      <c r="B730" s="29" t="n">
        <v>8</v>
      </c>
      <c r="C730" s="18" t="n">
        <v>9.52370327911818</v>
      </c>
      <c r="D730" s="18" t="n">
        <v>8.98070747052138</v>
      </c>
      <c r="E730" s="18" t="n">
        <v>8.45052452547289</v>
      </c>
      <c r="F730" s="18" t="n">
        <v>8.39052552194041</v>
      </c>
      <c r="G730" s="18" t="n">
        <v>4.58925986894779</v>
      </c>
      <c r="H730" s="18" t="n">
        <v>4.70399163899339</v>
      </c>
      <c r="I730" s="18" t="n">
        <v>4.75225270548765</v>
      </c>
      <c r="J730" s="18" t="n">
        <v>4.7350560051163</v>
      </c>
    </row>
    <row r="731" customFormat="false" ht="15" hidden="false" customHeight="false" outlineLevel="0" collapsed="false">
      <c r="A731" s="28" t="n">
        <v>72608.5421814331</v>
      </c>
      <c r="B731" s="29" t="n">
        <v>8</v>
      </c>
      <c r="C731" s="18" t="n">
        <v>9.22477355642089</v>
      </c>
      <c r="D731" s="18" t="n">
        <v>8.64378671157204</v>
      </c>
      <c r="E731" s="18" t="n">
        <v>8.44441790559486</v>
      </c>
      <c r="F731" s="18" t="n">
        <v>7.84722485210364</v>
      </c>
      <c r="G731" s="18" t="n">
        <v>4.57292720950329</v>
      </c>
      <c r="H731" s="18" t="n">
        <v>4.71247702797444</v>
      </c>
      <c r="I731" s="18" t="n">
        <v>4.75205423016523</v>
      </c>
      <c r="J731" s="18" t="n">
        <v>4.74640868173168</v>
      </c>
    </row>
    <row r="732" customFormat="false" ht="15" hidden="false" customHeight="false" outlineLevel="0" collapsed="false">
      <c r="A732" s="28" t="n">
        <v>72708.5539475232</v>
      </c>
      <c r="B732" s="29" t="n">
        <v>8</v>
      </c>
      <c r="C732" s="18" t="n">
        <v>5.88553377175772</v>
      </c>
      <c r="D732" s="18" t="n">
        <v>7.00041532487551</v>
      </c>
      <c r="E732" s="18" t="n">
        <v>8.43573351768871</v>
      </c>
      <c r="F732" s="18" t="n">
        <v>6.54108853265286</v>
      </c>
      <c r="G732" s="18" t="n">
        <v>4.65330954442993</v>
      </c>
      <c r="H732" s="18" t="n">
        <v>4.7518424732073</v>
      </c>
      <c r="I732" s="18" t="n">
        <v>4.75186867905048</v>
      </c>
      <c r="J732" s="18" t="n">
        <v>4.79141087153741</v>
      </c>
    </row>
    <row r="733" customFormat="false" ht="15" hidden="false" customHeight="false" outlineLevel="0" collapsed="false">
      <c r="A733" s="28" t="n">
        <v>72808.5657136134</v>
      </c>
      <c r="B733" s="29" t="n">
        <v>8</v>
      </c>
      <c r="C733" s="18" t="n">
        <v>4.81554903525762</v>
      </c>
      <c r="D733" s="18" t="n">
        <v>5.73514112834646</v>
      </c>
      <c r="E733" s="18" t="n">
        <v>8.42475137929177</v>
      </c>
      <c r="F733" s="18" t="n">
        <v>8.23963721631326</v>
      </c>
      <c r="G733" s="18" t="n">
        <v>5.13405508577632</v>
      </c>
      <c r="H733" s="18" t="n">
        <v>4.87006953970356</v>
      </c>
      <c r="I733" s="18" t="n">
        <v>4.75169650706133</v>
      </c>
      <c r="J733" s="18" t="n">
        <v>4.76027061322311</v>
      </c>
    </row>
    <row r="734" customFormat="false" ht="15" hidden="false" customHeight="false" outlineLevel="0" collapsed="false">
      <c r="A734" s="28" t="n">
        <v>72908.5774797035</v>
      </c>
      <c r="B734" s="29" t="n">
        <v>8</v>
      </c>
      <c r="C734" s="18" t="n">
        <v>9.18887936010808</v>
      </c>
      <c r="D734" s="18" t="n">
        <v>8.8733313618254</v>
      </c>
      <c r="E734" s="18" t="n">
        <v>8.41171291754384</v>
      </c>
      <c r="F734" s="18" t="n">
        <v>8.67541475033159</v>
      </c>
      <c r="G734" s="18" t="n">
        <v>4.72716099434371</v>
      </c>
      <c r="H734" s="18" t="n">
        <v>4.72713688994404</v>
      </c>
      <c r="I734" s="18" t="n">
        <v>4.7515380698515</v>
      </c>
      <c r="J734" s="18" t="n">
        <v>4.73643773336194</v>
      </c>
    </row>
    <row r="735" customFormat="false" ht="15" hidden="false" customHeight="false" outlineLevel="0" collapsed="false">
      <c r="A735" s="28" t="n">
        <v>73008.5892457936</v>
      </c>
      <c r="B735" s="29" t="n">
        <v>8</v>
      </c>
      <c r="C735" s="18" t="n">
        <v>9.57808876188525</v>
      </c>
      <c r="D735" s="18" t="n">
        <v>9.02885393492945</v>
      </c>
      <c r="E735" s="18" t="n">
        <v>8.39683300865233</v>
      </c>
      <c r="F735" s="18" t="n">
        <v>8.55945333366902</v>
      </c>
      <c r="G735" s="18" t="n">
        <v>4.60452739851435</v>
      </c>
      <c r="H735" s="18" t="n">
        <v>4.70406574510704</v>
      </c>
      <c r="I735" s="18" t="n">
        <v>4.75139361164385</v>
      </c>
      <c r="J735" s="18" t="n">
        <v>4.73331805344749</v>
      </c>
    </row>
    <row r="736" customFormat="false" ht="15" hidden="false" customHeight="false" outlineLevel="0" collapsed="false">
      <c r="A736" s="28" t="n">
        <v>73108.6010118838</v>
      </c>
      <c r="B736" s="29" t="n">
        <v>8</v>
      </c>
      <c r="C736" s="18" t="n">
        <v>9.37747128935933</v>
      </c>
      <c r="D736" s="18" t="n">
        <v>8.76105423814837</v>
      </c>
      <c r="E736" s="18" t="n">
        <v>8.38030923168335</v>
      </c>
      <c r="F736" s="18" t="n">
        <v>8.24445707956519</v>
      </c>
      <c r="G736" s="18" t="n">
        <v>4.57523813944968</v>
      </c>
      <c r="H736" s="18" t="n">
        <v>4.70897918463382</v>
      </c>
      <c r="I736" s="18" t="n">
        <v>4.7512632557598</v>
      </c>
      <c r="J736" s="18" t="n">
        <v>4.73771926815929</v>
      </c>
    </row>
    <row r="737" customFormat="false" ht="15" hidden="false" customHeight="false" outlineLevel="0" collapsed="false">
      <c r="A737" s="28" t="n">
        <v>73208.6127779739</v>
      </c>
      <c r="B737" s="29" t="n">
        <v>8</v>
      </c>
      <c r="C737" s="18" t="n">
        <v>8.76878633880878</v>
      </c>
      <c r="D737" s="18" t="n">
        <v>8.02284350942748</v>
      </c>
      <c r="E737" s="18" t="n">
        <v>8.36232917304229</v>
      </c>
      <c r="F737" s="18" t="n">
        <v>7.37108900095556</v>
      </c>
      <c r="G737" s="18" t="n">
        <v>4.58968300320795</v>
      </c>
      <c r="H737" s="18" t="n">
        <v>4.73266461173216</v>
      </c>
      <c r="I737" s="18" t="n">
        <v>4.75114699725499</v>
      </c>
      <c r="J737" s="18" t="n">
        <v>4.756949187125</v>
      </c>
    </row>
    <row r="738" customFormat="false" ht="15" hidden="false" customHeight="false" outlineLevel="0" collapsed="false">
      <c r="A738" s="28" t="n">
        <v>73308.624544064</v>
      </c>
      <c r="B738" s="29" t="n">
        <v>8</v>
      </c>
      <c r="C738" s="18" t="n">
        <v>4.95677357222153</v>
      </c>
      <c r="D738" s="18" t="n">
        <v>5.73440292106033</v>
      </c>
      <c r="E738" s="18" t="n">
        <v>8.34307629000506</v>
      </c>
      <c r="F738" s="18" t="n">
        <v>6.81912740795802</v>
      </c>
      <c r="G738" s="18" t="n">
        <v>5.06968702008407</v>
      </c>
      <c r="H738" s="18" t="n">
        <v>4.86142290700706</v>
      </c>
      <c r="I738" s="18" t="n">
        <v>4.75104469751921</v>
      </c>
      <c r="J738" s="18" t="n">
        <v>4.79729637962313</v>
      </c>
    </row>
    <row r="739" customFormat="false" ht="15" hidden="false" customHeight="false" outlineLevel="0" collapsed="false">
      <c r="A739" s="28" t="n">
        <v>73408.6363101541</v>
      </c>
      <c r="B739" s="29" t="n">
        <v>8</v>
      </c>
      <c r="C739" s="18" t="n">
        <v>8.00794704258824</v>
      </c>
      <c r="D739" s="18" t="n">
        <v>8.64045993578458</v>
      </c>
      <c r="E739" s="18" t="n">
        <v>8.32273462150201</v>
      </c>
      <c r="F739" s="18" t="n">
        <v>8.527593027618</v>
      </c>
      <c r="G739" s="18" t="n">
        <v>5.14441859295354</v>
      </c>
      <c r="H739" s="18" t="n">
        <v>4.74638678651828</v>
      </c>
      <c r="I739" s="18" t="n">
        <v>4.75095608100706</v>
      </c>
      <c r="J739" s="18" t="n">
        <v>4.74716161086201</v>
      </c>
    </row>
    <row r="740" customFormat="false" ht="15" hidden="false" customHeight="false" outlineLevel="0" collapsed="false">
      <c r="A740" s="28" t="n">
        <v>73508.6480762443</v>
      </c>
      <c r="B740" s="29" t="n">
        <v>8</v>
      </c>
      <c r="C740" s="18" t="n">
        <v>9.58132140784137</v>
      </c>
      <c r="D740" s="18" t="n">
        <v>9.05748151594812</v>
      </c>
      <c r="E740" s="18" t="n">
        <v>8.30149247824842</v>
      </c>
      <c r="F740" s="18" t="n">
        <v>8.65580881832127</v>
      </c>
      <c r="G740" s="18" t="n">
        <v>4.63563728326847</v>
      </c>
      <c r="H740" s="18" t="n">
        <v>4.70514381508349</v>
      </c>
      <c r="I740" s="18" t="n">
        <v>4.75088073447866</v>
      </c>
      <c r="J740" s="18" t="n">
        <v>4.73430568066514</v>
      </c>
    </row>
    <row r="741" customFormat="false" ht="15" hidden="false" customHeight="false" outlineLevel="0" collapsed="false">
      <c r="A741" s="28" t="n">
        <v>73608.6598423344</v>
      </c>
      <c r="B741" s="29" t="n">
        <v>8</v>
      </c>
      <c r="C741" s="18" t="n">
        <v>9.4842084774545</v>
      </c>
      <c r="D741" s="18" t="n">
        <v>8.84936673743069</v>
      </c>
      <c r="E741" s="18" t="n">
        <v>8.27954512964401</v>
      </c>
      <c r="F741" s="18" t="n">
        <v>8.46457243123055</v>
      </c>
      <c r="G741" s="18" t="n">
        <v>4.58334614204612</v>
      </c>
      <c r="H741" s="18" t="n">
        <v>4.70664752073179</v>
      </c>
      <c r="I741" s="18" t="n">
        <v>4.75081810926247</v>
      </c>
      <c r="J741" s="18" t="n">
        <v>4.73413025967959</v>
      </c>
    </row>
    <row r="742" customFormat="false" ht="15" hidden="false" customHeight="false" outlineLevel="0" collapsed="false">
      <c r="A742" s="28" t="n">
        <v>73708.6716084245</v>
      </c>
      <c r="B742" s="29" t="n">
        <v>8</v>
      </c>
      <c r="C742" s="18" t="n">
        <v>9.11922831355472</v>
      </c>
      <c r="D742" s="18" t="n">
        <v>8.32857822199886</v>
      </c>
      <c r="E742" s="18" t="n">
        <v>8.25709642201268</v>
      </c>
      <c r="F742" s="18" t="n">
        <v>8.03779737851407</v>
      </c>
      <c r="G742" s="18" t="n">
        <v>4.57481329295319</v>
      </c>
      <c r="H742" s="18" t="n">
        <v>4.72314132633888</v>
      </c>
      <c r="I742" s="18" t="n">
        <v>4.75076752710015</v>
      </c>
      <c r="J742" s="18" t="n">
        <v>4.74216753076022</v>
      </c>
    </row>
    <row r="743" customFormat="false" ht="15" hidden="false" customHeight="false" outlineLevel="0" collapsed="false">
      <c r="A743" s="28" t="n">
        <v>73808.6833745146</v>
      </c>
      <c r="B743" s="29" t="n">
        <v>8</v>
      </c>
      <c r="C743" s="18" t="n">
        <v>5.32401555002911</v>
      </c>
      <c r="D743" s="18" t="n">
        <v>5.85045945581565</v>
      </c>
      <c r="E743" s="18" t="n">
        <v>8.23435921075437</v>
      </c>
      <c r="F743" s="18" t="n">
        <v>6.70131690685052</v>
      </c>
      <c r="G743" s="18" t="n">
        <v>4.94572661336793</v>
      </c>
      <c r="H743" s="18" t="n">
        <v>4.84676305640916</v>
      </c>
      <c r="I743" s="18" t="n">
        <v>4.750728190085</v>
      </c>
      <c r="J743" s="18" t="n">
        <v>4.77818204368244</v>
      </c>
    </row>
    <row r="744" customFormat="false" ht="15" hidden="false" customHeight="false" outlineLevel="0" collapsed="false">
      <c r="A744" s="28" t="n">
        <v>73908.6951406048</v>
      </c>
      <c r="B744" s="29" t="n">
        <v>8</v>
      </c>
      <c r="C744" s="18" t="n">
        <v>4.95411863798901</v>
      </c>
      <c r="D744" s="18" t="n">
        <v>8.23589086980873</v>
      </c>
      <c r="E744" s="18" t="n">
        <v>8.21155447253687</v>
      </c>
      <c r="F744" s="18" t="n">
        <v>7.88691211794164</v>
      </c>
      <c r="G744" s="18" t="n">
        <v>5.15942662010859</v>
      </c>
      <c r="H744" s="18" t="n">
        <v>4.83220418094794</v>
      </c>
      <c r="I744" s="18" t="n">
        <v>4.75069919504363</v>
      </c>
      <c r="J744" s="18" t="n">
        <v>4.77673503539378</v>
      </c>
    </row>
    <row r="745" customFormat="false" ht="15" hidden="false" customHeight="false" outlineLevel="0" collapsed="false">
      <c r="A745" s="28" t="n">
        <v>74008.7069066949</v>
      </c>
      <c r="B745" s="29" t="n">
        <v>8</v>
      </c>
      <c r="C745" s="18" t="n">
        <v>9.36631336825929</v>
      </c>
      <c r="D745" s="18" t="n">
        <v>9.07970455270424</v>
      </c>
      <c r="E745" s="18" t="n">
        <v>8.18890899015898</v>
      </c>
      <c r="F745" s="18" t="n">
        <v>8.65426464910666</v>
      </c>
      <c r="G745" s="18" t="n">
        <v>4.68748708265879</v>
      </c>
      <c r="H745" s="18" t="n">
        <v>4.70938534717084</v>
      </c>
      <c r="I745" s="18" t="n">
        <v>4.7506795524288</v>
      </c>
      <c r="J745" s="18" t="n">
        <v>4.73925856207545</v>
      </c>
    </row>
    <row r="746" customFormat="false" ht="15" hidden="false" customHeight="false" outlineLevel="0" collapsed="false">
      <c r="A746" s="28" t="n">
        <v>74108.718672785</v>
      </c>
      <c r="B746" s="29" t="n">
        <v>8</v>
      </c>
      <c r="C746" s="18" t="n">
        <v>9.5549400318216</v>
      </c>
      <c r="D746" s="18" t="n">
        <v>8.93845233711442</v>
      </c>
      <c r="E746" s="18" t="n">
        <v>8.16665157840429</v>
      </c>
      <c r="F746" s="18" t="n">
        <v>8.6022373146057</v>
      </c>
      <c r="G746" s="18" t="n">
        <v>4.59628229363555</v>
      </c>
      <c r="H746" s="18" t="n">
        <v>4.70470053751351</v>
      </c>
      <c r="I746" s="18" t="n">
        <v>4.75066820939756</v>
      </c>
      <c r="J746" s="18" t="n">
        <v>4.73343011434412</v>
      </c>
    </row>
    <row r="747" customFormat="false" ht="15" hidden="false" customHeight="false" outlineLevel="0" collapsed="false">
      <c r="A747" s="28" t="n">
        <v>74208.7304388752</v>
      </c>
      <c r="B747" s="29" t="n">
        <v>8</v>
      </c>
      <c r="C747" s="18" t="n">
        <v>9.30857154491246</v>
      </c>
      <c r="D747" s="18" t="n">
        <v>8.54880704625903</v>
      </c>
      <c r="E747" s="18" t="n">
        <v>8.14500794440557</v>
      </c>
      <c r="F747" s="18" t="n">
        <v>8.33841786644455</v>
      </c>
      <c r="G747" s="18" t="n">
        <v>4.57324616583944</v>
      </c>
      <c r="H747" s="18" t="n">
        <v>4.71573650073082</v>
      </c>
      <c r="I747" s="18" t="n">
        <v>4.75066407627808</v>
      </c>
      <c r="J747" s="18" t="n">
        <v>4.73602207489519</v>
      </c>
    </row>
    <row r="748" customFormat="false" ht="15" hidden="false" customHeight="false" outlineLevel="0" collapsed="false">
      <c r="A748" s="28" t="n">
        <v>74308.7422049653</v>
      </c>
      <c r="B748" s="29" t="n">
        <v>8</v>
      </c>
      <c r="C748" s="18" t="n">
        <v>8.35440159513117</v>
      </c>
      <c r="D748" s="18" t="n">
        <v>6.22432850124383</v>
      </c>
      <c r="E748" s="18" t="n">
        <v>8.12419444036158</v>
      </c>
      <c r="F748" s="18" t="n">
        <v>7.70781502891642</v>
      </c>
      <c r="G748" s="18" t="n">
        <v>4.60862700337342</v>
      </c>
      <c r="H748" s="18" t="n">
        <v>4.78605733885274</v>
      </c>
      <c r="I748" s="18" t="n">
        <v>4.75066605514588</v>
      </c>
      <c r="J748" s="18" t="n">
        <v>4.74969279523917</v>
      </c>
    </row>
    <row r="749" customFormat="false" ht="15" hidden="false" customHeight="false" outlineLevel="0" collapsed="false">
      <c r="A749" s="28" t="n">
        <v>74408.7539710554</v>
      </c>
      <c r="B749" s="29" t="n">
        <v>8</v>
      </c>
      <c r="C749" s="18" t="n">
        <v>4.86528439203672</v>
      </c>
      <c r="D749" s="18" t="n">
        <v>5.95460525329443</v>
      </c>
      <c r="E749" s="18" t="n">
        <v>8.1044111457763</v>
      </c>
      <c r="F749" s="18" t="n">
        <v>6.57311445387022</v>
      </c>
      <c r="G749" s="18" t="n">
        <v>5.10426824382951</v>
      </c>
      <c r="H749" s="18" t="n">
        <v>4.87197883010804</v>
      </c>
      <c r="I749" s="18" t="n">
        <v>4.75067306882428</v>
      </c>
      <c r="J749" s="18" t="n">
        <v>4.79476659735903</v>
      </c>
    </row>
    <row r="750" customFormat="false" ht="15" hidden="false" customHeight="false" outlineLevel="0" collapsed="false">
      <c r="A750" s="28" t="n">
        <v>74508.7657371455</v>
      </c>
      <c r="B750" s="29" t="n">
        <v>8</v>
      </c>
      <c r="C750" s="18" t="n">
        <v>8.90334970818608</v>
      </c>
      <c r="D750" s="18" t="n">
        <v>8.97355796159089</v>
      </c>
      <c r="E750" s="18" t="n">
        <v>8.08583487407477</v>
      </c>
      <c r="F750" s="18" t="n">
        <v>8.36630887568572</v>
      </c>
      <c r="G750" s="18" t="n">
        <v>4.83406035615672</v>
      </c>
      <c r="H750" s="18" t="n">
        <v>4.71939199669518</v>
      </c>
      <c r="I750" s="18" t="n">
        <v>4.75068408839045</v>
      </c>
      <c r="J750" s="18" t="n">
        <v>4.75433547041941</v>
      </c>
    </row>
    <row r="751" customFormat="false" ht="15" hidden="false" customHeight="false" outlineLevel="0" collapsed="false">
      <c r="A751" s="28" t="n">
        <v>74608.7775032357</v>
      </c>
      <c r="B751" s="29" t="n">
        <v>8</v>
      </c>
      <c r="C751" s="18" t="n">
        <v>9.59169855106023</v>
      </c>
      <c r="D751" s="18" t="n">
        <v>8.99438112273412</v>
      </c>
      <c r="E751" s="18" t="n">
        <v>8.06861279231516</v>
      </c>
      <c r="F751" s="18" t="n">
        <v>8.66752794585626</v>
      </c>
      <c r="G751" s="18" t="n">
        <v>4.615570569349</v>
      </c>
      <c r="H751" s="18" t="n">
        <v>4.70421128972213</v>
      </c>
      <c r="I751" s="18" t="n">
        <v>4.75069815728537</v>
      </c>
      <c r="J751" s="18" t="n">
        <v>4.73551756262674</v>
      </c>
    </row>
    <row r="752" customFormat="false" ht="15" hidden="false" customHeight="false" outlineLevel="0" collapsed="false">
      <c r="A752" s="28" t="n">
        <v>74708.7892693258</v>
      </c>
      <c r="B752" s="29" t="n">
        <v>8</v>
      </c>
      <c r="C752" s="18" t="n">
        <v>9.43535896766344</v>
      </c>
      <c r="D752" s="18" t="n">
        <v>8.68158812841012</v>
      </c>
      <c r="E752" s="18" t="n">
        <v>8.05285733722678</v>
      </c>
      <c r="F752" s="18" t="n">
        <v>8.52084863032902</v>
      </c>
      <c r="G752" s="18" t="n">
        <v>4.57861154213697</v>
      </c>
      <c r="H752" s="18" t="n">
        <v>4.71147509308682</v>
      </c>
      <c r="I752" s="18" t="n">
        <v>4.75071441042115</v>
      </c>
      <c r="J752" s="18" t="n">
        <v>4.73363764551117</v>
      </c>
    </row>
    <row r="753" customFormat="false" ht="15" hidden="false" customHeight="false" outlineLevel="0" collapsed="false">
      <c r="A753" s="28" t="n">
        <v>74808.8010354159</v>
      </c>
      <c r="B753" s="29" t="n">
        <v>8</v>
      </c>
      <c r="C753" s="18" t="n">
        <v>8.97837259868613</v>
      </c>
      <c r="D753" s="18" t="n">
        <v>7.53701944399468</v>
      </c>
      <c r="E753" s="18" t="n">
        <v>8.03864299058335</v>
      </c>
      <c r="F753" s="18" t="n">
        <v>8.16622623966023</v>
      </c>
      <c r="G753" s="18" t="n">
        <v>4.57981410500054</v>
      </c>
      <c r="H753" s="18" t="n">
        <v>4.74414525050595</v>
      </c>
      <c r="I753" s="18" t="n">
        <v>4.75073208721804</v>
      </c>
      <c r="J753" s="18" t="n">
        <v>4.7393976682785</v>
      </c>
    </row>
    <row r="754" customFormat="false" ht="15" hidden="false" customHeight="false" outlineLevel="0" collapsed="false">
      <c r="A754" s="28" t="n">
        <v>74908.8128015061</v>
      </c>
      <c r="B754" s="29" t="n">
        <v>8</v>
      </c>
      <c r="C754" s="18" t="n">
        <v>5.09565598755287</v>
      </c>
      <c r="D754" s="18" t="n">
        <v>5.72163945595802</v>
      </c>
      <c r="E754" s="18" t="n">
        <v>8.02600525564593</v>
      </c>
      <c r="F754" s="18" t="n">
        <v>7.06594168114071</v>
      </c>
      <c r="G754" s="18" t="n">
        <v>5.02584423761182</v>
      </c>
      <c r="H754" s="18" t="n">
        <v>4.86783604850172</v>
      </c>
      <c r="I754" s="18" t="n">
        <v>4.7507505381884</v>
      </c>
      <c r="J754" s="18" t="n">
        <v>4.7640658656438</v>
      </c>
    </row>
    <row r="755" customFormat="false" ht="15" hidden="false" customHeight="false" outlineLevel="0" collapsed="false">
      <c r="A755" s="28" t="n">
        <v>75008.8245675962</v>
      </c>
      <c r="B755" s="29" t="n">
        <v>8</v>
      </c>
      <c r="C755" s="18" t="n">
        <v>5.26504054848147</v>
      </c>
      <c r="D755" s="18" t="n">
        <v>8.81210337277704</v>
      </c>
      <c r="E755" s="18" t="n">
        <v>8.01494189591974</v>
      </c>
      <c r="F755" s="18" t="n">
        <v>7.32340260201052</v>
      </c>
      <c r="G755" s="18" t="n">
        <v>5.16263576295151</v>
      </c>
      <c r="H755" s="18" t="n">
        <v>4.73187630981976</v>
      </c>
      <c r="I755" s="18" t="n">
        <v>4.75076922538263</v>
      </c>
      <c r="J755" s="18" t="n">
        <v>4.79356441195525</v>
      </c>
    </row>
    <row r="756" customFormat="false" ht="15" hidden="false" customHeight="false" outlineLevel="0" collapsed="false">
      <c r="A756" s="28" t="n">
        <v>75108.8363336863</v>
      </c>
      <c r="B756" s="29" t="n">
        <v>8</v>
      </c>
      <c r="C756" s="18" t="n">
        <v>9.49061391289954</v>
      </c>
      <c r="D756" s="18" t="n">
        <v>9.03800444999336</v>
      </c>
      <c r="E756" s="18" t="n">
        <v>8.00541621605859</v>
      </c>
      <c r="F756" s="18" t="n">
        <v>8.59843149696649</v>
      </c>
      <c r="G756" s="18" t="n">
        <v>4.65894200600149</v>
      </c>
      <c r="H756" s="18" t="n">
        <v>4.70438853491119</v>
      </c>
      <c r="I756" s="18" t="n">
        <v>4.75078771759354</v>
      </c>
      <c r="J756" s="18" t="n">
        <v>4.74338357606298</v>
      </c>
    </row>
    <row r="757" customFormat="false" ht="15" hidden="false" customHeight="false" outlineLevel="0" collapsed="false">
      <c r="A757" s="28" t="n">
        <v>75208.8480997764</v>
      </c>
      <c r="B757" s="29" t="n">
        <v>8</v>
      </c>
      <c r="C757" s="18" t="n">
        <v>9.52370328682356</v>
      </c>
      <c r="D757" s="18" t="n">
        <v>8.78867571883505</v>
      </c>
      <c r="E757" s="18" t="n">
        <v>7.99736193905691</v>
      </c>
      <c r="F757" s="18" t="n">
        <v>8.63361455725407</v>
      </c>
      <c r="G757" s="18" t="n">
        <v>4.58925987320363</v>
      </c>
      <c r="H757" s="18" t="n">
        <v>4.7082972886095</v>
      </c>
      <c r="I757" s="18" t="n">
        <v>4.75080568158999</v>
      </c>
      <c r="J757" s="18" t="n">
        <v>4.73385871248159</v>
      </c>
    </row>
    <row r="758" customFormat="false" ht="15" hidden="false" customHeight="false" outlineLevel="0" collapsed="false">
      <c r="A758" s="28" t="n">
        <v>75308.8598658666</v>
      </c>
      <c r="B758" s="29" t="n">
        <v>8</v>
      </c>
      <c r="C758" s="18" t="n">
        <v>9.22477358970402</v>
      </c>
      <c r="D758" s="18" t="n">
        <v>8.136172832447</v>
      </c>
      <c r="E758" s="18" t="n">
        <v>7.99068910206533</v>
      </c>
      <c r="F758" s="18" t="n">
        <v>8.41143340779508</v>
      </c>
      <c r="G758" s="18" t="n">
        <v>4.57292721065963</v>
      </c>
      <c r="H758" s="18" t="n">
        <v>4.72939148442775</v>
      </c>
      <c r="I758" s="18" t="n">
        <v>4.75082287078763</v>
      </c>
      <c r="J758" s="18" t="n">
        <v>4.73488622905205</v>
      </c>
    </row>
    <row r="759" customFormat="false" ht="15" hidden="false" customHeight="false" outlineLevel="0" collapsed="false">
      <c r="A759" s="28" t="n">
        <v>75408.8716319567</v>
      </c>
      <c r="B759" s="29" t="n">
        <v>8</v>
      </c>
      <c r="C759" s="18" t="n">
        <v>5.8855342370727</v>
      </c>
      <c r="D759" s="18" t="n">
        <v>5.76059256162507</v>
      </c>
      <c r="E759" s="18" t="n">
        <v>7.98529036620151</v>
      </c>
      <c r="F759" s="18" t="n">
        <v>7.91226210883611</v>
      </c>
      <c r="G759" s="18" t="n">
        <v>4.65330951486717</v>
      </c>
      <c r="H759" s="18" t="n">
        <v>4.85791023028833</v>
      </c>
      <c r="I759" s="18" t="n">
        <v>4.75083911269089</v>
      </c>
      <c r="J759" s="18" t="n">
        <v>4.74507137083536</v>
      </c>
    </row>
    <row r="760" customFormat="false" ht="15" hidden="false" customHeight="false" outlineLevel="0" collapsed="false">
      <c r="A760" s="28" t="n">
        <v>75508.8833980468</v>
      </c>
      <c r="B760" s="29" t="n">
        <v>8</v>
      </c>
      <c r="C760" s="18" t="n">
        <v>4.81554904706014</v>
      </c>
      <c r="D760" s="18" t="n">
        <v>8.55701557325922</v>
      </c>
      <c r="E760" s="18" t="n">
        <v>7.98104719897275</v>
      </c>
      <c r="F760" s="18" t="n">
        <v>6.58616330427953</v>
      </c>
      <c r="G760" s="18" t="n">
        <v>5.13405507841764</v>
      </c>
      <c r="H760" s="18" t="n">
        <v>4.75524741312935</v>
      </c>
      <c r="I760" s="18" t="n">
        <v>4.75085429621866</v>
      </c>
      <c r="J760" s="18" t="n">
        <v>4.78766835790785</v>
      </c>
    </row>
    <row r="761" customFormat="false" ht="15" hidden="false" customHeight="false" outlineLevel="0" collapsed="false">
      <c r="A761" s="28" t="n">
        <v>75608.895164137</v>
      </c>
      <c r="B761" s="29" t="n">
        <v>8</v>
      </c>
      <c r="C761" s="18" t="n">
        <v>9.18887931867918</v>
      </c>
      <c r="D761" s="18" t="n">
        <v>9.07466849392507</v>
      </c>
      <c r="E761" s="18" t="n">
        <v>7.97783551054972</v>
      </c>
      <c r="F761" s="18" t="n">
        <v>8.14836729794397</v>
      </c>
      <c r="G761" s="18" t="n">
        <v>4.72716100317468</v>
      </c>
      <c r="H761" s="18" t="n">
        <v>4.70553138393208</v>
      </c>
      <c r="I761" s="18" t="n">
        <v>4.75086835973299</v>
      </c>
      <c r="J761" s="18" t="n">
        <v>4.76411930577819</v>
      </c>
    </row>
    <row r="762" customFormat="false" ht="15" hidden="false" customHeight="false" outlineLevel="0" collapsed="false">
      <c r="A762" s="28" t="n">
        <v>75708.9069302271</v>
      </c>
      <c r="B762" s="29" t="n">
        <v>8</v>
      </c>
      <c r="C762" s="18" t="n">
        <v>9.57808876146195</v>
      </c>
      <c r="D762" s="18" t="n">
        <v>8.88932245706145</v>
      </c>
      <c r="E762" s="18" t="n">
        <v>7.97553047200413</v>
      </c>
      <c r="F762" s="18" t="n">
        <v>8.66570829089866</v>
      </c>
      <c r="G762" s="18" t="n">
        <v>4.60452739997932</v>
      </c>
      <c r="H762" s="18" t="n">
        <v>4.70566438108334</v>
      </c>
      <c r="I762" s="18" t="n">
        <v>4.75088128028982</v>
      </c>
      <c r="J762" s="18" t="n">
        <v>4.73720839898156</v>
      </c>
    </row>
    <row r="763" customFormat="false" ht="15" hidden="false" customHeight="false" outlineLevel="0" collapsed="false">
      <c r="A763" s="28" t="n">
        <v>75808.9186963172</v>
      </c>
      <c r="B763" s="29" t="n">
        <v>8</v>
      </c>
      <c r="C763" s="18" t="n">
        <v>9.37747129477237</v>
      </c>
      <c r="D763" s="18" t="n">
        <v>8.43215333018462</v>
      </c>
      <c r="E763" s="18" t="n">
        <v>7.97401038497505</v>
      </c>
      <c r="F763" s="18" t="n">
        <v>8.5664002481253</v>
      </c>
      <c r="G763" s="18" t="n">
        <v>4.57523814008922</v>
      </c>
      <c r="H763" s="18" t="n">
        <v>4.7196735518702</v>
      </c>
      <c r="I763" s="18" t="n">
        <v>4.75089306437031</v>
      </c>
      <c r="J763" s="18" t="n">
        <v>4.73344766807029</v>
      </c>
    </row>
    <row r="764" customFormat="false" ht="15" hidden="false" customHeight="false" outlineLevel="0" collapsed="false">
      <c r="A764" s="28" t="n">
        <v>75908.9304624073</v>
      </c>
      <c r="B764" s="29" t="n">
        <v>8</v>
      </c>
      <c r="C764" s="18" t="n">
        <v>8.76878636540429</v>
      </c>
      <c r="D764" s="18" t="n">
        <v>5.95748319124529</v>
      </c>
      <c r="E764" s="18" t="n">
        <v>7.97315958866158</v>
      </c>
      <c r="F764" s="18" t="n">
        <v>8.26461091579641</v>
      </c>
      <c r="G764" s="18" t="n">
        <v>4.58968300221459</v>
      </c>
      <c r="H764" s="18" t="n">
        <v>4.83348918638196</v>
      </c>
      <c r="I764" s="18" t="n">
        <v>4.75090374015065</v>
      </c>
      <c r="J764" s="18" t="n">
        <v>4.73741638791828</v>
      </c>
    </row>
    <row r="765" customFormat="false" ht="15" hidden="false" customHeight="false" outlineLevel="0" collapsed="false">
      <c r="A765" s="28" t="n">
        <v>76008.9422284975</v>
      </c>
      <c r="B765" s="29" t="n">
        <v>8</v>
      </c>
      <c r="C765" s="18" t="n">
        <v>4.95677358461739</v>
      </c>
      <c r="D765" s="18" t="n">
        <v>7.62886437322207</v>
      </c>
      <c r="E765" s="18" t="n">
        <v>7.97287047309404</v>
      </c>
      <c r="F765" s="18" t="n">
        <v>7.46490457647686</v>
      </c>
      <c r="G765" s="18" t="n">
        <v>5.0696870171709</v>
      </c>
      <c r="H765" s="18" t="n">
        <v>4.86648164270899</v>
      </c>
      <c r="I765" s="18" t="n">
        <v>4.75091335123302</v>
      </c>
      <c r="J765" s="18" t="n">
        <v>4.75509977598177</v>
      </c>
    </row>
    <row r="766" customFormat="false" ht="15" hidden="false" customHeight="false" outlineLevel="0" collapsed="false">
      <c r="A766" s="28" t="n">
        <v>76108.9539945876</v>
      </c>
      <c r="B766" s="29" t="n">
        <v>8</v>
      </c>
      <c r="C766" s="18" t="n">
        <v>8.0079469114441</v>
      </c>
      <c r="D766" s="18" t="n">
        <v>9.05160148607625</v>
      </c>
      <c r="E766" s="18" t="n">
        <v>7.97304471743759</v>
      </c>
      <c r="F766" s="18" t="n">
        <v>6.7464264602104</v>
      </c>
      <c r="G766" s="18" t="n">
        <v>5.14441859448636</v>
      </c>
      <c r="H766" s="18" t="n">
        <v>4.71300191572304</v>
      </c>
      <c r="I766" s="18" t="n">
        <v>4.75092195168191</v>
      </c>
      <c r="J766" s="18" t="n">
        <v>4.79676134388699</v>
      </c>
    </row>
    <row r="767" customFormat="false" ht="15" hidden="false" customHeight="false" outlineLevel="0" collapsed="false">
      <c r="A767" s="28" t="n">
        <v>76208.9657606777</v>
      </c>
      <c r="B767" s="29" t="n">
        <v>8</v>
      </c>
      <c r="C767" s="18" t="n">
        <v>9.58132140378999</v>
      </c>
      <c r="D767" s="18" t="n">
        <v>8.9544151012019</v>
      </c>
      <c r="E767" s="18" t="n">
        <v>7.97359389397969</v>
      </c>
      <c r="F767" s="18" t="n">
        <v>8.49401931260708</v>
      </c>
      <c r="G767" s="18" t="n">
        <v>4.63563728417187</v>
      </c>
      <c r="H767" s="18" t="n">
        <v>4.70461999212757</v>
      </c>
      <c r="I767" s="18" t="n">
        <v>4.75092960217485</v>
      </c>
      <c r="J767" s="18" t="n">
        <v>4.74852063273284</v>
      </c>
    </row>
    <row r="768" customFormat="false" ht="15" hidden="false" customHeight="false" outlineLevel="0" collapsed="false">
      <c r="A768" s="28" t="n">
        <v>76308.9775267679</v>
      </c>
      <c r="B768" s="29" t="n">
        <v>8</v>
      </c>
      <c r="C768" s="18" t="n">
        <v>9.48420847825991</v>
      </c>
      <c r="D768" s="18" t="n">
        <v>8.59009579383123</v>
      </c>
      <c r="E768" s="18" t="n">
        <v>7.97443957990604</v>
      </c>
      <c r="F768" s="18" t="n">
        <v>8.65471978769941</v>
      </c>
      <c r="G768" s="18" t="n">
        <v>4.58334614229086</v>
      </c>
      <c r="H768" s="18" t="n">
        <v>4.71442768163016</v>
      </c>
      <c r="I768" s="18" t="n">
        <v>4.7509363670727</v>
      </c>
      <c r="J768" s="18" t="n">
        <v>4.73459516963176</v>
      </c>
    </row>
    <row r="769" customFormat="false" ht="15" hidden="false" customHeight="false" outlineLevel="0" collapsed="false">
      <c r="A769" s="28" t="n">
        <v>76408.989292858</v>
      </c>
      <c r="B769" s="29" t="n">
        <v>8</v>
      </c>
      <c r="C769" s="18" t="n">
        <v>9.11922831648289</v>
      </c>
      <c r="D769" s="18" t="n">
        <v>6.44111518575878</v>
      </c>
      <c r="E769" s="18" t="n">
        <v>7.97551310739098</v>
      </c>
      <c r="F769" s="18" t="n">
        <v>8.47168659290051</v>
      </c>
      <c r="G769" s="18" t="n">
        <v>4.57481329296078</v>
      </c>
      <c r="H769" s="18" t="n">
        <v>4.76621493810989</v>
      </c>
      <c r="I769" s="18" t="n">
        <v>4.75094231222793</v>
      </c>
      <c r="J769" s="18" t="n">
        <v>4.73412765076299</v>
      </c>
    </row>
    <row r="770" customFormat="false" ht="15" hidden="false" customHeight="false" outlineLevel="0" collapsed="false">
      <c r="A770" s="28" t="n">
        <v>76509.0010589481</v>
      </c>
      <c r="B770" s="29" t="n">
        <v>8</v>
      </c>
      <c r="C770" s="18" t="n">
        <v>5.32401555840275</v>
      </c>
      <c r="D770" s="18" t="n">
        <v>5.8109243203313</v>
      </c>
      <c r="E770" s="18" t="n">
        <v>7.97675506407674</v>
      </c>
      <c r="F770" s="18" t="n">
        <v>8.05832498634378</v>
      </c>
      <c r="G770" s="18" t="n">
        <v>4.9457266097436</v>
      </c>
      <c r="H770" s="18" t="n">
        <v>4.87149562039429</v>
      </c>
      <c r="I770" s="18" t="n">
        <v>4.75094750337252</v>
      </c>
      <c r="J770" s="18" t="n">
        <v>4.74177439724954</v>
      </c>
    </row>
    <row r="771" customFormat="false" ht="15" hidden="false" customHeight="false" outlineLevel="0" collapsed="false">
      <c r="A771" s="28" t="n">
        <v>76609.0128250382</v>
      </c>
      <c r="B771" s="29" t="n">
        <v>8</v>
      </c>
      <c r="C771" s="18" t="n">
        <v>4.95411863622991</v>
      </c>
      <c r="D771" s="18" t="n">
        <v>8.93463472880737</v>
      </c>
      <c r="E771" s="18" t="n">
        <v>7.97811463519671</v>
      </c>
      <c r="F771" s="18" t="n">
        <v>6.75233861004914</v>
      </c>
      <c r="G771" s="18" t="n">
        <v>5.15942661977032</v>
      </c>
      <c r="H771" s="18" t="n">
        <v>4.72258239034227</v>
      </c>
      <c r="I771" s="18" t="n">
        <v>4.7509520049535</v>
      </c>
      <c r="J771" s="18" t="n">
        <v>4.77563403821896</v>
      </c>
    </row>
    <row r="772" customFormat="false" ht="15" hidden="false" customHeight="false" outlineLevel="0" collapsed="false">
      <c r="A772" s="28" t="n">
        <v>76709.0245911284</v>
      </c>
      <c r="B772" s="29" t="n">
        <v>8</v>
      </c>
      <c r="C772" s="18" t="n">
        <v>9.36631336633882</v>
      </c>
      <c r="D772" s="18" t="n">
        <v>9.01406272648645</v>
      </c>
      <c r="E772" s="18" t="n">
        <v>7.97954885832975</v>
      </c>
      <c r="F772" s="18" t="n">
        <v>7.82211516393969</v>
      </c>
      <c r="G772" s="18" t="n">
        <v>4.68748708302132</v>
      </c>
      <c r="H772" s="18" t="n">
        <v>4.7040798050244</v>
      </c>
      <c r="I772" s="18" t="n">
        <v>4.75095587930919</v>
      </c>
      <c r="J772" s="18" t="n">
        <v>4.77934743049379</v>
      </c>
    </row>
    <row r="773" customFormat="false" ht="15" hidden="false" customHeight="false" outlineLevel="0" collapsed="false">
      <c r="A773" s="28" t="n">
        <v>76809.0363572185</v>
      </c>
      <c r="B773" s="29" t="n">
        <v>8</v>
      </c>
      <c r="C773" s="18" t="n">
        <v>9.55494003187969</v>
      </c>
      <c r="D773" s="18" t="n">
        <v>8.72499517392901</v>
      </c>
      <c r="E773" s="18" t="n">
        <v>7.98102184369188</v>
      </c>
      <c r="F773" s="18" t="n">
        <v>8.64542722869063</v>
      </c>
      <c r="G773" s="18" t="n">
        <v>4.5962822937178</v>
      </c>
      <c r="H773" s="18" t="n">
        <v>4.71013974093904</v>
      </c>
      <c r="I773" s="18" t="n">
        <v>4.75095918610232</v>
      </c>
      <c r="J773" s="18" t="n">
        <v>4.73980959473363</v>
      </c>
    </row>
    <row r="774" customFormat="false" ht="15" hidden="false" customHeight="false" outlineLevel="0" collapsed="false">
      <c r="A774" s="28" t="n">
        <v>76909.0481233086</v>
      </c>
      <c r="B774" s="29" t="n">
        <v>8</v>
      </c>
      <c r="C774" s="18" t="n">
        <v>9.30857154536013</v>
      </c>
      <c r="D774" s="18" t="n">
        <v>7.85061705577718</v>
      </c>
      <c r="E774" s="18" t="n">
        <v>7.98250399768631</v>
      </c>
      <c r="F774" s="18" t="n">
        <v>8.60383370749604</v>
      </c>
      <c r="G774" s="18" t="n">
        <v>4.57324616587134</v>
      </c>
      <c r="H774" s="18" t="n">
        <v>4.73741457273582</v>
      </c>
      <c r="I774" s="18" t="n">
        <v>4.75096198194533</v>
      </c>
      <c r="J774" s="18" t="n">
        <v>4.73353702197689</v>
      </c>
    </row>
    <row r="775" customFormat="false" ht="15" hidden="false" customHeight="false" outlineLevel="0" collapsed="false">
      <c r="A775" s="28" t="n">
        <v>77009.0598893988</v>
      </c>
      <c r="B775" s="29" t="n">
        <v>8</v>
      </c>
      <c r="C775" s="18" t="n">
        <v>8.35440159973454</v>
      </c>
      <c r="D775" s="18" t="n">
        <v>5.72186754906111</v>
      </c>
      <c r="E775" s="18" t="n">
        <v>7.9839712752623</v>
      </c>
      <c r="F775" s="18" t="n">
        <v>8.34505210083012</v>
      </c>
      <c r="G775" s="18" t="n">
        <v>4.60862700321807</v>
      </c>
      <c r="H775" s="18" t="n">
        <v>4.86480194320783</v>
      </c>
      <c r="I775" s="18" t="n">
        <v>4.75096432016878</v>
      </c>
      <c r="J775" s="18" t="n">
        <v>4.73595497912071</v>
      </c>
    </row>
    <row r="776" customFormat="false" ht="15" hidden="false" customHeight="false" outlineLevel="0" collapsed="false">
      <c r="A776" s="28" t="n">
        <v>77109.0716554889</v>
      </c>
      <c r="B776" s="29" t="n">
        <v>8</v>
      </c>
      <c r="C776" s="18" t="n">
        <v>4.86528439259046</v>
      </c>
      <c r="D776" s="18" t="n">
        <v>8.73296416940811</v>
      </c>
      <c r="E776" s="18" t="n">
        <v>7.98540447724895</v>
      </c>
      <c r="F776" s="18" t="n">
        <v>7.73232299734324</v>
      </c>
      <c r="G776" s="18" t="n">
        <v>5.10426824367694</v>
      </c>
      <c r="H776" s="18" t="n">
        <v>4.73847917056851</v>
      </c>
      <c r="I776" s="18" t="n">
        <v>4.75096625069611</v>
      </c>
      <c r="J776" s="18" t="n">
        <v>4.74919795155658</v>
      </c>
    </row>
    <row r="777" customFormat="false" ht="15" hidden="false" customHeight="false" outlineLevel="0" collapsed="false">
      <c r="A777" s="28" t="n">
        <v>77209.083421579</v>
      </c>
      <c r="B777" s="29" t="n">
        <v>8</v>
      </c>
      <c r="C777" s="18" t="n">
        <v>8.90334970692665</v>
      </c>
      <c r="D777" s="18" t="n">
        <v>9.0557521766467</v>
      </c>
      <c r="E777" s="18" t="n">
        <v>7.98678860184313</v>
      </c>
      <c r="F777" s="18" t="n">
        <v>6.57524766416826</v>
      </c>
      <c r="G777" s="18" t="n">
        <v>4.83406035714224</v>
      </c>
      <c r="H777" s="18" t="n">
        <v>4.70460150323131</v>
      </c>
      <c r="I777" s="18" t="n">
        <v>4.75096781999744</v>
      </c>
      <c r="J777" s="18" t="n">
        <v>4.79404328114382</v>
      </c>
    </row>
    <row r="778" customFormat="false" ht="15" hidden="false" customHeight="false" outlineLevel="0" collapsed="false">
      <c r="A778" s="28" t="n">
        <v>77309.0951876691</v>
      </c>
      <c r="B778" s="29" t="n">
        <v>8</v>
      </c>
      <c r="C778" s="18" t="n">
        <v>9.59169855101425</v>
      </c>
      <c r="D778" s="18" t="n">
        <v>8.83152232014081</v>
      </c>
      <c r="E778" s="18" t="n">
        <v>7.98811225440642</v>
      </c>
      <c r="F778" s="18" t="n">
        <v>8.34658743034448</v>
      </c>
      <c r="G778" s="18" t="n">
        <v>4.61557056939885</v>
      </c>
      <c r="H778" s="18" t="n">
        <v>4.70710997852198</v>
      </c>
      <c r="I778" s="18" t="n">
        <v>4.7509690711022</v>
      </c>
      <c r="J778" s="18" t="n">
        <v>4.75511308652908</v>
      </c>
    </row>
    <row r="779" customFormat="false" ht="15" hidden="false" customHeight="false" outlineLevel="0" collapsed="false">
      <c r="A779" s="28" t="n">
        <v>77409.1069537593</v>
      </c>
      <c r="B779" s="29" t="n">
        <v>8</v>
      </c>
      <c r="C779" s="18" t="n">
        <v>9.43535896773561</v>
      </c>
      <c r="D779" s="18" t="n">
        <v>8.27521083645496</v>
      </c>
      <c r="E779" s="18" t="n">
        <v>7.989367116245</v>
      </c>
      <c r="F779" s="18" t="n">
        <v>8.66553236332152</v>
      </c>
      <c r="G779" s="18" t="n">
        <v>4.57861154215084</v>
      </c>
      <c r="H779" s="18" t="n">
        <v>4.72493228515026</v>
      </c>
      <c r="I779" s="18" t="n">
        <v>4.75097004365559</v>
      </c>
      <c r="J779" s="18" t="n">
        <v>4.73568857136097</v>
      </c>
    </row>
    <row r="780" customFormat="false" ht="15" hidden="false" customHeight="false" outlineLevel="0" collapsed="false">
      <c r="A780" s="28" t="n">
        <v>77509.1187198494</v>
      </c>
      <c r="B780" s="29" t="n">
        <v>8</v>
      </c>
      <c r="C780" s="18" t="n">
        <v>8.97837259896192</v>
      </c>
      <c r="D780" s="18" t="n">
        <v>5.81594660081403</v>
      </c>
      <c r="E780" s="18" t="n">
        <v>7.99054747073955</v>
      </c>
      <c r="F780" s="18" t="n">
        <v>8.52278848201608</v>
      </c>
      <c r="G780" s="18" t="n">
        <v>4.57981410499444</v>
      </c>
      <c r="H780" s="18" t="n">
        <v>4.85081783386988</v>
      </c>
      <c r="I780" s="18" t="n">
        <v>4.7509707740079</v>
      </c>
      <c r="J780" s="18" t="n">
        <v>4.73366730250997</v>
      </c>
    </row>
    <row r="781" customFormat="false" ht="15" hidden="false" customHeight="false" outlineLevel="0" collapsed="false">
      <c r="A781" s="28" t="n">
        <v>77609.1304859395</v>
      </c>
      <c r="B781" s="29" t="n">
        <v>8</v>
      </c>
      <c r="C781" s="18" t="n">
        <v>5.09565598786815</v>
      </c>
      <c r="D781" s="18" t="n">
        <v>8.35045783887001</v>
      </c>
      <c r="E781" s="18" t="n">
        <v>7.99164978375576</v>
      </c>
      <c r="F781" s="18" t="n">
        <v>8.17228103049691</v>
      </c>
      <c r="G781" s="18" t="n">
        <v>5.02584423753691</v>
      </c>
      <c r="H781" s="18" t="n">
        <v>4.79076372526191</v>
      </c>
      <c r="I781" s="18" t="n">
        <v>4.75097129532825</v>
      </c>
      <c r="J781" s="18" t="n">
        <v>4.73930090014833</v>
      </c>
    </row>
    <row r="782" customFormat="false" ht="15" hidden="false" customHeight="false" outlineLevel="0" collapsed="false">
      <c r="A782" s="28" t="n">
        <v>77709.1422520297</v>
      </c>
      <c r="B782" s="29" t="n">
        <v>8</v>
      </c>
      <c r="C782" s="18" t="n">
        <v>5.26504054812894</v>
      </c>
      <c r="D782" s="18" t="n">
        <v>9.06798744676576</v>
      </c>
      <c r="E782" s="18" t="n">
        <v>7.99267233445277</v>
      </c>
      <c r="F782" s="18" t="n">
        <v>7.09787081280693</v>
      </c>
      <c r="G782" s="18" t="n">
        <v>5.16263576294882</v>
      </c>
      <c r="H782" s="18" t="n">
        <v>4.70764776166383</v>
      </c>
      <c r="I782" s="18" t="n">
        <v>4.75097163773642</v>
      </c>
      <c r="J782" s="18" t="n">
        <v>4.76334563730212</v>
      </c>
    </row>
    <row r="783" customFormat="false" ht="15" hidden="false" customHeight="false" outlineLevel="0" collapsed="false">
      <c r="A783" s="28" t="n">
        <v>77809.1540181198</v>
      </c>
      <c r="B783" s="29" t="n">
        <v>8</v>
      </c>
      <c r="C783" s="18" t="n">
        <v>9.49061391280391</v>
      </c>
      <c r="D783" s="18" t="n">
        <v>8.90767656232028</v>
      </c>
      <c r="E783" s="18" t="n">
        <v>7.99361489223164</v>
      </c>
      <c r="F783" s="18" t="n">
        <v>7.28646802913498</v>
      </c>
      <c r="G783" s="18" t="n">
        <v>4.65894200602014</v>
      </c>
      <c r="H783" s="18" t="n">
        <v>4.70537925754449</v>
      </c>
      <c r="I783" s="18" t="n">
        <v>4.75097182844801</v>
      </c>
      <c r="J783" s="18" t="n">
        <v>4.79381314259619</v>
      </c>
    </row>
    <row r="784" customFormat="false" ht="15" hidden="false" customHeight="false" outlineLevel="0" collapsed="false">
      <c r="A784" s="28" t="n">
        <v>77909.1657842099</v>
      </c>
      <c r="B784" s="29" t="n">
        <v>8</v>
      </c>
      <c r="C784" s="18" t="n">
        <v>9.52370328683339</v>
      </c>
      <c r="D784" s="18" t="n">
        <v>8.48099864798135</v>
      </c>
      <c r="E784" s="18" t="n">
        <v>7.9944784354831</v>
      </c>
      <c r="F784" s="18" t="n">
        <v>8.59175980853286</v>
      </c>
      <c r="G784" s="18" t="n">
        <v>4.58925987320829</v>
      </c>
      <c r="H784" s="18" t="n">
        <v>4.71806395886154</v>
      </c>
      <c r="I784" s="18" t="n">
        <v>4.7509718919288</v>
      </c>
      <c r="J784" s="18" t="n">
        <v>4.74366918690879</v>
      </c>
    </row>
    <row r="785" customFormat="false" ht="15" hidden="false" customHeight="false" outlineLevel="0" collapsed="false">
      <c r="A785" s="28" t="n">
        <v>78009.1775503</v>
      </c>
      <c r="B785" s="29" t="n">
        <v>8</v>
      </c>
      <c r="C785" s="18" t="n">
        <v>9.22477358974229</v>
      </c>
      <c r="D785" s="18" t="n">
        <v>6.04226787888298</v>
      </c>
      <c r="E785" s="18" t="n">
        <v>7.99526490790271</v>
      </c>
      <c r="F785" s="18" t="n">
        <v>8.63337338713516</v>
      </c>
      <c r="G785" s="18" t="n">
        <v>4.57292721066089</v>
      </c>
      <c r="H785" s="18" t="n">
        <v>4.82111373476801</v>
      </c>
      <c r="I785" s="18" t="n">
        <v>4.75097185005542</v>
      </c>
      <c r="J785" s="18" t="n">
        <v>4.73392356945299</v>
      </c>
    </row>
    <row r="786" customFormat="false" ht="15" hidden="false" customHeight="false" outlineLevel="0" collapsed="false">
      <c r="A786" s="28" t="n">
        <v>78109.1893163902</v>
      </c>
      <c r="B786" s="29" t="n">
        <v>8</v>
      </c>
      <c r="C786" s="18" t="n">
        <v>5.88553423760447</v>
      </c>
      <c r="D786" s="18" t="n">
        <v>6.6611694963611</v>
      </c>
      <c r="E786" s="18" t="n">
        <v>7.99597700836383</v>
      </c>
      <c r="F786" s="18" t="n">
        <v>8.41304998196057</v>
      </c>
      <c r="G786" s="18" t="n">
        <v>4.65330951483331</v>
      </c>
      <c r="H786" s="18" t="n">
        <v>4.87061464740512</v>
      </c>
      <c r="I786" s="18" t="n">
        <v>4.7509717222795</v>
      </c>
      <c r="J786" s="18" t="n">
        <v>4.73488727698413</v>
      </c>
    </row>
    <row r="787" customFormat="false" ht="15" hidden="false" customHeight="false" outlineLevel="0" collapsed="false">
      <c r="A787" s="28" t="n">
        <v>78209.2010824803</v>
      </c>
      <c r="B787" s="29" t="n">
        <v>8</v>
      </c>
      <c r="C787" s="18" t="n">
        <v>4.81554904707343</v>
      </c>
      <c r="D787" s="18" t="n">
        <v>9.0264185647303</v>
      </c>
      <c r="E787" s="18" t="n">
        <v>7.99661801062625</v>
      </c>
      <c r="F787" s="18" t="n">
        <v>7.91799866342698</v>
      </c>
      <c r="G787" s="18" t="n">
        <v>5.1340550784092</v>
      </c>
      <c r="H787" s="18" t="n">
        <v>4.71559609781597</v>
      </c>
      <c r="I787" s="18" t="n">
        <v>4.75097152579335</v>
      </c>
      <c r="J787" s="18" t="n">
        <v>4.74496399632023</v>
      </c>
    </row>
    <row r="788" customFormat="false" ht="15" hidden="false" customHeight="false" outlineLevel="0" collapsed="false">
      <c r="A788" s="28" t="n">
        <v>78309.2128485704</v>
      </c>
      <c r="B788" s="29" t="n">
        <v>8</v>
      </c>
      <c r="C788" s="18" t="n">
        <v>9.18887931863258</v>
      </c>
      <c r="D788" s="18" t="n">
        <v>8.9839100714305</v>
      </c>
      <c r="E788" s="18" t="n">
        <v>7.99719160947116</v>
      </c>
      <c r="F788" s="18" t="n">
        <v>6.59323072139033</v>
      </c>
      <c r="G788" s="18" t="n">
        <v>4.72716100318482</v>
      </c>
      <c r="H788" s="18" t="n">
        <v>4.70414273608075</v>
      </c>
      <c r="I788" s="18" t="n">
        <v>4.75097127569496</v>
      </c>
      <c r="J788" s="18" t="n">
        <v>4.78721856391238</v>
      </c>
    </row>
    <row r="789" customFormat="false" ht="15" hidden="false" customHeight="false" outlineLevel="0" collapsed="false">
      <c r="A789" s="28" t="n">
        <v>78409.2246146606</v>
      </c>
      <c r="B789" s="29" t="n">
        <v>8</v>
      </c>
      <c r="C789" s="18" t="n">
        <v>9.57808876146195</v>
      </c>
      <c r="D789" s="18" t="n">
        <v>8.65253710889121</v>
      </c>
      <c r="E789" s="18" t="n">
        <v>7.99770179017201</v>
      </c>
      <c r="F789" s="18" t="n">
        <v>8.13871319255718</v>
      </c>
      <c r="G789" s="18" t="n">
        <v>4.60452739998132</v>
      </c>
      <c r="H789" s="18" t="n">
        <v>4.71237488814831</v>
      </c>
      <c r="I789" s="18" t="n">
        <v>4.75097098515114</v>
      </c>
      <c r="J789" s="18" t="n">
        <v>4.76450118946988</v>
      </c>
    </row>
    <row r="790" customFormat="false" ht="15" hidden="false" customHeight="false" outlineLevel="0" collapsed="false">
      <c r="A790" s="28" t="n">
        <v>78509.2363807507</v>
      </c>
      <c r="B790" s="29" t="n">
        <v>8</v>
      </c>
      <c r="C790" s="18" t="n">
        <v>9.37747129477763</v>
      </c>
      <c r="D790" s="18" t="n">
        <v>7.17476312657397</v>
      </c>
      <c r="E790" s="18" t="n">
        <v>7.99815271851758</v>
      </c>
      <c r="F790" s="18" t="n">
        <v>8.66411499694524</v>
      </c>
      <c r="G790" s="18" t="n">
        <v>4.57523814008979</v>
      </c>
      <c r="H790" s="18" t="n">
        <v>4.74973050561646</v>
      </c>
      <c r="I790" s="18" t="n">
        <v>4.75097066555704</v>
      </c>
      <c r="J790" s="18" t="n">
        <v>4.73729450723584</v>
      </c>
    </row>
    <row r="791" customFormat="false" ht="15" hidden="false" customHeight="false" outlineLevel="0" collapsed="false">
      <c r="A791" s="28" t="n">
        <v>78609.2481468408</v>
      </c>
      <c r="B791" s="29" t="n">
        <v>8</v>
      </c>
      <c r="C791" s="18" t="n">
        <v>8.76878636543367</v>
      </c>
      <c r="D791" s="18" t="n">
        <v>5.73359864414013</v>
      </c>
      <c r="E791" s="18" t="n">
        <v>7.99854864889247</v>
      </c>
      <c r="F791" s="18" t="n">
        <v>8.56643976385711</v>
      </c>
      <c r="G791" s="18" t="n">
        <v>4.58968300221345</v>
      </c>
      <c r="H791" s="18" t="n">
        <v>4.86943043765092</v>
      </c>
      <c r="I791" s="18" t="n">
        <v>4.75097032669118</v>
      </c>
      <c r="J791" s="18" t="n">
        <v>4.73347291190983</v>
      </c>
    </row>
    <row r="792" customFormat="false" ht="15" hidden="false" customHeight="false" outlineLevel="0" collapsed="false">
      <c r="A792" s="28" t="n">
        <v>78709.2599129309</v>
      </c>
      <c r="B792" s="29" t="n">
        <v>8</v>
      </c>
      <c r="C792" s="18" t="n">
        <v>4.95677358463113</v>
      </c>
      <c r="D792" s="18" t="n">
        <v>8.85724765606017</v>
      </c>
      <c r="E792" s="18" t="n">
        <v>7.9988938481865</v>
      </c>
      <c r="F792" s="18" t="n">
        <v>8.26562290171386</v>
      </c>
      <c r="G792" s="18" t="n">
        <v>5.06968701716766</v>
      </c>
      <c r="H792" s="18" t="n">
        <v>4.72834032987047</v>
      </c>
      <c r="I792" s="18" t="n">
        <v>4.75096997686478</v>
      </c>
      <c r="J792" s="18" t="n">
        <v>4.737411943049</v>
      </c>
    </row>
    <row r="793" customFormat="false" ht="15" hidden="false" customHeight="false" outlineLevel="0" collapsed="false">
      <c r="A793" s="28" t="n">
        <v>78809.2716790211</v>
      </c>
      <c r="B793" s="29" t="n">
        <v>8</v>
      </c>
      <c r="C793" s="18" t="n">
        <v>8.00794691129796</v>
      </c>
      <c r="D793" s="18" t="n">
        <v>9.02854891530964</v>
      </c>
      <c r="E793" s="18" t="n">
        <v>7.99919253354442</v>
      </c>
      <c r="F793" s="18" t="n">
        <v>7.47108793243965</v>
      </c>
      <c r="G793" s="18" t="n">
        <v>5.14441859448807</v>
      </c>
      <c r="H793" s="18" t="n">
        <v>4.70426907614167</v>
      </c>
      <c r="I793" s="18" t="n">
        <v>4.75096962306481</v>
      </c>
      <c r="J793" s="18" t="n">
        <v>4.75499150337508</v>
      </c>
    </row>
    <row r="794" customFormat="false" ht="15" hidden="false" customHeight="false" outlineLevel="0" collapsed="false">
      <c r="A794" s="28" t="n">
        <v>78909.2834451112</v>
      </c>
      <c r="B794" s="29" t="n">
        <v>8</v>
      </c>
      <c r="C794" s="18" t="n">
        <v>9.58132140378438</v>
      </c>
      <c r="D794" s="18" t="n">
        <v>8.76419173978098</v>
      </c>
      <c r="E794" s="18" t="n">
        <v>7.99944882218423</v>
      </c>
      <c r="F794" s="18" t="n">
        <v>6.7451267262362</v>
      </c>
      <c r="G794" s="18" t="n">
        <v>4.63563728417269</v>
      </c>
      <c r="H794" s="18" t="n">
        <v>4.70899534297453</v>
      </c>
      <c r="I794" s="18" t="n">
        <v>4.75096927108992</v>
      </c>
      <c r="J794" s="18" t="n">
        <v>4.79665917666881</v>
      </c>
    </row>
    <row r="795" customFormat="false" ht="15" hidden="false" customHeight="false" outlineLevel="0" collapsed="false">
      <c r="A795" s="28" t="n">
        <v>79009.2952112013</v>
      </c>
      <c r="B795" s="29" t="n">
        <v>8</v>
      </c>
      <c r="C795" s="18" t="n">
        <v>9.48420847825991</v>
      </c>
      <c r="D795" s="18" t="n">
        <v>8.04122386238153</v>
      </c>
      <c r="E795" s="18" t="n">
        <v>7.9996666917066</v>
      </c>
      <c r="F795" s="18" t="n">
        <v>8.49138376320887</v>
      </c>
      <c r="G795" s="18" t="n">
        <v>4.58334614229113</v>
      </c>
      <c r="H795" s="18" t="n">
        <v>4.73224903126795</v>
      </c>
      <c r="I795" s="18" t="n">
        <v>4.75096892567886</v>
      </c>
      <c r="J795" s="18" t="n">
        <v>4.74860879131389</v>
      </c>
    </row>
    <row r="796" customFormat="false" ht="15" hidden="false" customHeight="false" outlineLevel="0" collapsed="false">
      <c r="A796" s="28" t="n">
        <v>79109.3069772915</v>
      </c>
      <c r="B796" s="29" t="n">
        <v>8</v>
      </c>
      <c r="C796" s="18" t="n">
        <v>9.11922831648531</v>
      </c>
      <c r="D796" s="18" t="n">
        <v>5.74020658626023</v>
      </c>
      <c r="E796" s="18" t="n">
        <v>7.99984994948966</v>
      </c>
      <c r="F796" s="18" t="n">
        <v>8.65408751073757</v>
      </c>
      <c r="G796" s="18" t="n">
        <v>4.57481329296087</v>
      </c>
      <c r="H796" s="18" t="n">
        <v>4.86087595316374</v>
      </c>
      <c r="I796" s="18" t="n">
        <v>4.75096859063109</v>
      </c>
      <c r="J796" s="18" t="n">
        <v>4.73462222541038</v>
      </c>
    </row>
    <row r="797" customFormat="false" ht="15" hidden="false" customHeight="false" outlineLevel="0" collapsed="false">
      <c r="A797" s="28" t="n">
        <v>79209.3187433816</v>
      </c>
      <c r="B797" s="29" t="n">
        <v>8</v>
      </c>
      <c r="C797" s="18" t="n">
        <v>5.32401555840946</v>
      </c>
      <c r="D797" s="18" t="n">
        <v>8.62946566080694</v>
      </c>
      <c r="E797" s="18" t="n">
        <v>8.00000220991772</v>
      </c>
      <c r="F797" s="18" t="n">
        <v>8.47145632676188</v>
      </c>
      <c r="G797" s="18" t="n">
        <v>4.94572660974078</v>
      </c>
      <c r="H797" s="18" t="n">
        <v>4.74750775086508</v>
      </c>
      <c r="I797" s="18" t="n">
        <v>4.75096826891925</v>
      </c>
      <c r="J797" s="18" t="n">
        <v>4.7341430404954</v>
      </c>
    </row>
    <row r="798" customFormat="false" ht="15" hidden="false" customHeight="false" outlineLevel="0" collapsed="false">
      <c r="A798" s="28" t="n">
        <v>79309.3305094717</v>
      </c>
      <c r="B798" s="29" t="n">
        <v>8</v>
      </c>
      <c r="C798" s="18" t="n">
        <v>4.95411863622864</v>
      </c>
      <c r="D798" s="18" t="n">
        <v>9.05977228673116</v>
      </c>
      <c r="E798" s="18" t="n">
        <v>8.00012687832908</v>
      </c>
      <c r="F798" s="18" t="n">
        <v>8.05845871179158</v>
      </c>
      <c r="G798" s="18" t="n">
        <v>5.15942661977007</v>
      </c>
      <c r="H798" s="18" t="n">
        <v>4.70524025886912</v>
      </c>
      <c r="I798" s="18" t="n">
        <v>4.75096796279345</v>
      </c>
      <c r="J798" s="18" t="n">
        <v>4.74178205209331</v>
      </c>
    </row>
    <row r="799" customFormat="false" ht="15" hidden="false" customHeight="false" outlineLevel="0" collapsed="false">
      <c r="A799" s="28" t="n">
        <v>79409.3422755618</v>
      </c>
      <c r="B799" s="29" t="n">
        <v>8</v>
      </c>
      <c r="C799" s="18" t="n">
        <v>9.36631336633711</v>
      </c>
      <c r="D799" s="18" t="n">
        <v>8.85513725031441</v>
      </c>
      <c r="E799" s="18" t="n">
        <v>8.00022714069015</v>
      </c>
      <c r="F799" s="18" t="n">
        <v>6.75494807118438</v>
      </c>
      <c r="G799" s="18" t="n">
        <v>4.68748708302163</v>
      </c>
      <c r="H799" s="18" t="n">
        <v>4.70654549964282</v>
      </c>
      <c r="I799" s="18" t="n">
        <v>4.75096767387743</v>
      </c>
      <c r="J799" s="18" t="n">
        <v>4.77555625360193</v>
      </c>
    </row>
    <row r="800" customFormat="false" ht="15" hidden="false" customHeight="false" outlineLevel="0" collapsed="false">
      <c r="A800" s="28" t="n">
        <v>79509.354041652</v>
      </c>
      <c r="B800" s="29" t="n">
        <v>8</v>
      </c>
      <c r="C800" s="18" t="n">
        <v>9.55494003187969</v>
      </c>
      <c r="D800" s="18" t="n">
        <v>8.34527336128507</v>
      </c>
      <c r="E800" s="18" t="n">
        <v>8.00030595811345</v>
      </c>
      <c r="F800" s="18" t="n">
        <v>7.82132778182372</v>
      </c>
      <c r="G800" s="18" t="n">
        <v>4.59628229371853</v>
      </c>
      <c r="H800" s="18" t="n">
        <v>4.72263081761723</v>
      </c>
      <c r="I800" s="18" t="n">
        <v>4.75096740325664</v>
      </c>
      <c r="J800" s="18" t="n">
        <v>4.77931661239754</v>
      </c>
    </row>
    <row r="801" customFormat="false" ht="15" hidden="false" customHeight="false" outlineLevel="0" collapsed="false">
      <c r="A801" s="28" t="n">
        <v>79609.3658077421</v>
      </c>
      <c r="B801" s="29" t="n">
        <v>8</v>
      </c>
      <c r="C801" s="18" t="n">
        <v>9.30857154536013</v>
      </c>
      <c r="D801" s="18" t="n">
        <v>5.8651375972576</v>
      </c>
      <c r="E801" s="18" t="n">
        <v>8.00036606543455</v>
      </c>
      <c r="F801" s="18" t="n">
        <v>8.64472981983273</v>
      </c>
      <c r="G801" s="18" t="n">
        <v>4.57324616587144</v>
      </c>
      <c r="H801" s="18" t="n">
        <v>4.84515715245685</v>
      </c>
      <c r="I801" s="18" t="n">
        <v>4.7509671515584</v>
      </c>
      <c r="J801" s="18" t="n">
        <v>4.7398213736364</v>
      </c>
    </row>
    <row r="802" customFormat="false" ht="15" hidden="false" customHeight="false" outlineLevel="0" collapsed="false">
      <c r="A802" s="28" t="n">
        <v>79709.3775738322</v>
      </c>
      <c r="B802" s="29" t="n">
        <v>8</v>
      </c>
      <c r="C802" s="18" t="n">
        <v>8.35440159974105</v>
      </c>
      <c r="D802" s="18" t="n">
        <v>8.18887621696864</v>
      </c>
      <c r="E802" s="18" t="n">
        <v>8.00040997315188</v>
      </c>
      <c r="F802" s="18" t="n">
        <v>8.60325014698217</v>
      </c>
      <c r="G802" s="18" t="n">
        <v>4.60862700321786</v>
      </c>
      <c r="H802" s="18" t="n">
        <v>4.84149422806622</v>
      </c>
      <c r="I802" s="18" t="n">
        <v>4.75096691902449</v>
      </c>
      <c r="J802" s="18" t="n">
        <v>4.73354919292491</v>
      </c>
    </row>
    <row r="803" customFormat="false" ht="15" hidden="false" customHeight="false" outlineLevel="0" collapsed="false">
      <c r="A803" s="28" t="n">
        <v>79809.3893399224</v>
      </c>
      <c r="B803" s="29" t="n">
        <v>8</v>
      </c>
      <c r="C803" s="18" t="n">
        <v>4.86528439259134</v>
      </c>
      <c r="D803" s="18" t="n">
        <v>9.07962839028996</v>
      </c>
      <c r="E803" s="18" t="n">
        <v>8.00043997211382</v>
      </c>
      <c r="F803" s="18" t="n">
        <v>8.34430733667243</v>
      </c>
      <c r="G803" s="18" t="n">
        <v>5.10426824367671</v>
      </c>
      <c r="H803" s="18" t="n">
        <v>4.70992809845724</v>
      </c>
      <c r="I803" s="18" t="n">
        <v>4.75096670557642</v>
      </c>
      <c r="J803" s="18" t="n">
        <v>4.73597527506494</v>
      </c>
    </row>
    <row r="804" customFormat="false" ht="15" hidden="false" customHeight="false" outlineLevel="0" collapsed="false">
      <c r="A804" s="28" t="n">
        <v>79909.4011060125</v>
      </c>
      <c r="B804" s="29" t="n">
        <v>8</v>
      </c>
      <c r="C804" s="18" t="n">
        <v>8.90334970692488</v>
      </c>
      <c r="D804" s="18" t="n">
        <v>8.94363957311453</v>
      </c>
      <c r="E804" s="18" t="n">
        <v>8.00045814041008</v>
      </c>
      <c r="F804" s="18" t="n">
        <v>7.73086095441293</v>
      </c>
      <c r="G804" s="18" t="n">
        <v>4.8340603571436</v>
      </c>
      <c r="H804" s="18" t="n">
        <v>4.70463519203285</v>
      </c>
      <c r="I804" s="18" t="n">
        <v>4.75096651087368</v>
      </c>
      <c r="J804" s="18" t="n">
        <v>4.74924030313111</v>
      </c>
    </row>
    <row r="805" customFormat="false" ht="15" hidden="false" customHeight="false" outlineLevel="0" collapsed="false">
      <c r="A805" s="28" t="n">
        <v>80009.4128721026</v>
      </c>
      <c r="B805" s="29" t="n">
        <v>7</v>
      </c>
      <c r="C805" s="18" t="n">
        <v>9.59169855101425</v>
      </c>
      <c r="D805" s="18" t="n">
        <v>8.56064320125956</v>
      </c>
      <c r="E805" s="18" t="n">
        <v>8.00046635199007</v>
      </c>
      <c r="F805" s="18" t="n">
        <v>6.57713494239919</v>
      </c>
      <c r="G805" s="18" t="n">
        <v>4.49623871076339</v>
      </c>
      <c r="H805" s="18" t="n">
        <v>4.6651122559854</v>
      </c>
      <c r="I805" s="18" t="n">
        <v>4.74853864628064</v>
      </c>
      <c r="J805" s="18" t="n">
        <v>4.7639488063652</v>
      </c>
    </row>
    <row r="806" customFormat="false" ht="15" hidden="false" customHeight="false" outlineLevel="0" collapsed="false">
      <c r="A806" s="28" t="n">
        <v>80109.4246381927</v>
      </c>
      <c r="B806" s="29" t="n">
        <v>7</v>
      </c>
      <c r="C806" s="18" t="n">
        <v>9.39605969007884</v>
      </c>
      <c r="D806" s="18" t="n">
        <v>5.81948755505122</v>
      </c>
      <c r="E806" s="18" t="n">
        <v>7.97931543428527</v>
      </c>
      <c r="F806" s="18" t="n">
        <v>8.21271126323328</v>
      </c>
      <c r="G806" s="18" t="n">
        <v>4.42827762052976</v>
      </c>
      <c r="H806" s="18" t="n">
        <v>4.72267396878512</v>
      </c>
      <c r="I806" s="18" t="n">
        <v>4.74819334162732</v>
      </c>
      <c r="J806" s="18" t="n">
        <v>4.71734264532884</v>
      </c>
    </row>
    <row r="807" customFormat="false" ht="15" hidden="false" customHeight="false" outlineLevel="0" collapsed="false">
      <c r="A807" s="28" t="n">
        <v>80209.4364042829</v>
      </c>
      <c r="B807" s="29" t="n">
        <v>7</v>
      </c>
      <c r="C807" s="18" t="n">
        <v>5.23689625043104</v>
      </c>
      <c r="D807" s="18" t="n">
        <v>5.1356408136134</v>
      </c>
      <c r="E807" s="18" t="n">
        <v>7.85139843658346</v>
      </c>
      <c r="F807" s="18" t="n">
        <v>7.89623029087362</v>
      </c>
      <c r="G807" s="18" t="n">
        <v>4.56223294622516</v>
      </c>
      <c r="H807" s="18" t="n">
        <v>4.83977313617339</v>
      </c>
      <c r="I807" s="18" t="n">
        <v>4.74824810320732</v>
      </c>
      <c r="J807" s="18" t="n">
        <v>4.70705796105417</v>
      </c>
    </row>
    <row r="808" customFormat="false" ht="15" hidden="false" customHeight="false" outlineLevel="0" collapsed="false">
      <c r="A808" s="28" t="n">
        <v>80309.448170373</v>
      </c>
      <c r="B808" s="29" t="n">
        <v>7</v>
      </c>
      <c r="C808" s="18" t="n">
        <v>4.47964388522112</v>
      </c>
      <c r="D808" s="18" t="n">
        <v>7.58769334125994</v>
      </c>
      <c r="E808" s="18" t="n">
        <v>7.68544745296766</v>
      </c>
      <c r="F808" s="18" t="n">
        <v>5.4848056285295</v>
      </c>
      <c r="G808" s="18" t="n">
        <v>4.99924774354196</v>
      </c>
      <c r="H808" s="18" t="n">
        <v>4.81675597092113</v>
      </c>
      <c r="I808" s="18" t="n">
        <v>4.74834902992259</v>
      </c>
      <c r="J808" s="18" t="n">
        <v>4.78416461317962</v>
      </c>
    </row>
    <row r="809" customFormat="false" ht="15" hidden="false" customHeight="false" outlineLevel="0" collapsed="false">
      <c r="A809" s="28" t="n">
        <v>80409.4599364631</v>
      </c>
      <c r="B809" s="29" t="n">
        <v>7</v>
      </c>
      <c r="C809" s="18" t="n">
        <v>4.92168564865902</v>
      </c>
      <c r="D809" s="18" t="n">
        <v>8.922245958906</v>
      </c>
      <c r="E809" s="18" t="n">
        <v>7.46717082163152</v>
      </c>
      <c r="F809" s="18" t="n">
        <v>5.62307287015928</v>
      </c>
      <c r="G809" s="18" t="n">
        <v>5.04653465777668</v>
      </c>
      <c r="H809" s="18" t="n">
        <v>4.65985447449559</v>
      </c>
      <c r="I809" s="18" t="n">
        <v>4.74854442970379</v>
      </c>
      <c r="J809" s="18" t="n">
        <v>4.79863596865006</v>
      </c>
    </row>
    <row r="810" customFormat="false" ht="15" hidden="false" customHeight="false" outlineLevel="0" collapsed="false">
      <c r="A810" s="28" t="n">
        <v>80509.4717025532</v>
      </c>
      <c r="B810" s="29" t="n">
        <v>7</v>
      </c>
      <c r="C810" s="18" t="n">
        <v>9.21566907400885</v>
      </c>
      <c r="D810" s="18" t="n">
        <v>8.13208244656706</v>
      </c>
      <c r="E810" s="18" t="n">
        <v>7.18629255057154</v>
      </c>
      <c r="F810" s="18" t="n">
        <v>8.34630308904531</v>
      </c>
      <c r="G810" s="18" t="n">
        <v>4.56980257807359</v>
      </c>
      <c r="H810" s="18" t="n">
        <v>4.66583783202435</v>
      </c>
      <c r="I810" s="18" t="n">
        <v>4.74888698490941</v>
      </c>
      <c r="J810" s="18" t="n">
        <v>4.72817842169202</v>
      </c>
    </row>
    <row r="811" customFormat="false" ht="15" hidden="false" customHeight="false" outlineLevel="0" collapsed="false">
      <c r="A811" s="28" t="n">
        <v>80609.4834686434</v>
      </c>
      <c r="B811" s="29" t="n">
        <v>7</v>
      </c>
      <c r="C811" s="18" t="n">
        <v>9.35118149128142</v>
      </c>
      <c r="D811" s="18" t="n">
        <v>5.11902625078978</v>
      </c>
      <c r="E811" s="18" t="n">
        <v>6.91304204086953</v>
      </c>
      <c r="F811" s="18" t="n">
        <v>8.58539691996914</v>
      </c>
      <c r="G811" s="18" t="n">
        <v>4.45188110577222</v>
      </c>
      <c r="H811" s="18" t="n">
        <v>4.83248982283351</v>
      </c>
      <c r="I811" s="18" t="n">
        <v>4.7493339441213</v>
      </c>
      <c r="J811" s="18" t="n">
        <v>4.70105475104813</v>
      </c>
    </row>
    <row r="812" customFormat="false" ht="15" hidden="false" customHeight="false" outlineLevel="0" collapsed="false">
      <c r="A812" s="28" t="n">
        <v>80709.4952347335</v>
      </c>
      <c r="B812" s="29" t="n">
        <v>7</v>
      </c>
      <c r="C812" s="18" t="n">
        <v>5.32605338734031</v>
      </c>
      <c r="D812" s="18" t="n">
        <v>5.46285563075103</v>
      </c>
      <c r="E812" s="18" t="n">
        <v>6.76040372052069</v>
      </c>
      <c r="F812" s="18" t="n">
        <v>6.32198699492211</v>
      </c>
      <c r="G812" s="18" t="n">
        <v>4.54340795347237</v>
      </c>
      <c r="H812" s="18" t="n">
        <v>4.84096250392283</v>
      </c>
      <c r="I812" s="18" t="n">
        <v>4.74957578025052</v>
      </c>
      <c r="J812" s="18" t="n">
        <v>4.71748133820726</v>
      </c>
    </row>
    <row r="813" customFormat="false" ht="15" hidden="false" customHeight="false" outlineLevel="0" collapsed="false">
      <c r="A813" s="28" t="n">
        <v>80809.5070008236</v>
      </c>
      <c r="B813" s="29" t="n">
        <v>7</v>
      </c>
      <c r="C813" s="18" t="n">
        <v>4.50765960163661</v>
      </c>
      <c r="D813" s="18" t="n">
        <v>8.76097194566025</v>
      </c>
      <c r="E813" s="18" t="n">
        <v>6.6935222096858</v>
      </c>
      <c r="F813" s="18" t="n">
        <v>5.33008549014868</v>
      </c>
      <c r="G813" s="18" t="n">
        <v>5.00865822979328</v>
      </c>
      <c r="H813" s="18" t="n">
        <v>4.67732894359164</v>
      </c>
      <c r="I813" s="18" t="n">
        <v>4.74971366508965</v>
      </c>
      <c r="J813" s="18" t="n">
        <v>4.79433242734345</v>
      </c>
    </row>
    <row r="814" customFormat="false" ht="15" hidden="false" customHeight="false" outlineLevel="0" collapsed="false">
      <c r="A814" s="28" t="n">
        <v>80909.5187669138</v>
      </c>
      <c r="B814" s="29" t="n">
        <v>7</v>
      </c>
      <c r="C814" s="18" t="n">
        <v>5.03012734682956</v>
      </c>
      <c r="D814" s="18" t="n">
        <v>8.71511559196758</v>
      </c>
      <c r="E814" s="18" t="n">
        <v>6.6631964523769</v>
      </c>
      <c r="F814" s="18" t="n">
        <v>5.87059644838425</v>
      </c>
      <c r="G814" s="18" t="n">
        <v>5.05114823080356</v>
      </c>
      <c r="H814" s="18" t="n">
        <v>4.65460130074616</v>
      </c>
      <c r="I814" s="18" t="n">
        <v>4.74982178702044</v>
      </c>
      <c r="J814" s="18" t="n">
        <v>4.79866769501186</v>
      </c>
    </row>
    <row r="815" customFormat="false" ht="15" hidden="false" customHeight="false" outlineLevel="0" collapsed="false">
      <c r="A815" s="28" t="n">
        <v>81009.5305330039</v>
      </c>
      <c r="B815" s="29" t="n">
        <v>7</v>
      </c>
      <c r="C815" s="18" t="n">
        <v>9.29206951619111</v>
      </c>
      <c r="D815" s="18" t="n">
        <v>5.38932587374847</v>
      </c>
      <c r="E815" s="18" t="n">
        <v>6.655230489484</v>
      </c>
      <c r="F815" s="18" t="n">
        <v>8.5466460950981</v>
      </c>
      <c r="G815" s="18" t="n">
        <v>4.5517334634878</v>
      </c>
      <c r="H815" s="18" t="n">
        <v>4.80705024914393</v>
      </c>
      <c r="I815" s="18" t="n">
        <v>4.74989581021575</v>
      </c>
      <c r="J815" s="18" t="n">
        <v>4.7180969305265</v>
      </c>
    </row>
    <row r="816" customFormat="false" ht="15" hidden="false" customHeight="false" outlineLevel="0" collapsed="false">
      <c r="A816" s="28" t="n">
        <v>81109.542299094</v>
      </c>
      <c r="B816" s="29" t="n">
        <v>7</v>
      </c>
      <c r="C816" s="18" t="n">
        <v>9.2843785788307</v>
      </c>
      <c r="D816" s="18" t="n">
        <v>5.16180708265436</v>
      </c>
      <c r="E816" s="18" t="n">
        <v>6.66158156185179</v>
      </c>
      <c r="F816" s="18" t="n">
        <v>8.51179187829192</v>
      </c>
      <c r="G816" s="18" t="n">
        <v>4.45148738588378</v>
      </c>
      <c r="H816" s="18" t="n">
        <v>4.84620369737217</v>
      </c>
      <c r="I816" s="18" t="n">
        <v>4.74994612866099</v>
      </c>
      <c r="J816" s="18" t="n">
        <v>4.70034289235967</v>
      </c>
    </row>
    <row r="817" customFormat="false" ht="15" hidden="false" customHeight="false" outlineLevel="0" collapsed="false">
      <c r="A817" s="28" t="n">
        <v>81209.5540651841</v>
      </c>
      <c r="B817" s="29" t="n">
        <v>7</v>
      </c>
      <c r="C817" s="18" t="n">
        <v>5.07543160614176</v>
      </c>
      <c r="D817" s="18" t="n">
        <v>8.31227318596207</v>
      </c>
      <c r="E817" s="18" t="n">
        <v>6.67676359341905</v>
      </c>
      <c r="F817" s="18" t="n">
        <v>5.85553675558902</v>
      </c>
      <c r="G817" s="18" t="n">
        <v>4.83858702655899</v>
      </c>
      <c r="H817" s="18" t="n">
        <v>4.74593344067481</v>
      </c>
      <c r="I817" s="18" t="n">
        <v>4.74997968653825</v>
      </c>
      <c r="J817" s="18" t="n">
        <v>4.75841857789343</v>
      </c>
    </row>
    <row r="818" customFormat="false" ht="15" hidden="false" customHeight="false" outlineLevel="0" collapsed="false">
      <c r="A818" s="28" t="n">
        <v>81309.5658312743</v>
      </c>
      <c r="B818" s="29" t="n">
        <v>7</v>
      </c>
      <c r="C818" s="18" t="n">
        <v>4.56077012229484</v>
      </c>
      <c r="D818" s="18" t="n">
        <v>8.91623499954916</v>
      </c>
      <c r="E818" s="18" t="n">
        <v>6.69736976343895</v>
      </c>
      <c r="F818" s="18" t="n">
        <v>5.35849259933033</v>
      </c>
      <c r="G818" s="18" t="n">
        <v>5.02939275743236</v>
      </c>
      <c r="H818" s="18" t="n">
        <v>4.65503884964858</v>
      </c>
      <c r="I818" s="18" t="n">
        <v>4.75000075177628</v>
      </c>
      <c r="J818" s="18" t="n">
        <v>4.79858849193745</v>
      </c>
    </row>
    <row r="819" customFormat="false" ht="15" hidden="false" customHeight="false" outlineLevel="0" collapsed="false">
      <c r="A819" s="28" t="n">
        <v>81409.5775973644</v>
      </c>
      <c r="B819" s="29" t="n">
        <v>7</v>
      </c>
      <c r="C819" s="18" t="n">
        <v>5.46813343830356</v>
      </c>
      <c r="D819" s="18" t="n">
        <v>6.9293184788087</v>
      </c>
      <c r="E819" s="18" t="n">
        <v>6.72094493833063</v>
      </c>
      <c r="F819" s="18" t="n">
        <v>6.45324513581654</v>
      </c>
      <c r="G819" s="18" t="n">
        <v>5.04073529397099</v>
      </c>
      <c r="H819" s="18" t="n">
        <v>4.67639719808675</v>
      </c>
      <c r="I819" s="18" t="n">
        <v>4.75001304731731</v>
      </c>
      <c r="J819" s="18" t="n">
        <v>4.79409213309183</v>
      </c>
    </row>
    <row r="820" customFormat="false" ht="15" hidden="false" customHeight="false" outlineLevel="0" collapsed="false">
      <c r="A820" s="28" t="n">
        <v>81509.5893634545</v>
      </c>
      <c r="B820" s="29" t="n">
        <v>7</v>
      </c>
      <c r="C820" s="18" t="n">
        <v>9.4005081483288</v>
      </c>
      <c r="D820" s="18" t="n">
        <v>5.07101871594731</v>
      </c>
      <c r="E820" s="18" t="n">
        <v>6.74569386783477</v>
      </c>
      <c r="F820" s="18" t="n">
        <v>8.6404389350247</v>
      </c>
      <c r="G820" s="18" t="n">
        <v>4.52069582673945</v>
      </c>
      <c r="H820" s="18" t="n">
        <v>4.83812336090176</v>
      </c>
      <c r="I820" s="18" t="n">
        <v>4.75001942888699</v>
      </c>
      <c r="J820" s="18" t="n">
        <v>4.71197247714887</v>
      </c>
    </row>
    <row r="821" customFormat="false" ht="15" hidden="false" customHeight="false" outlineLevel="0" collapsed="false">
      <c r="A821" s="28" t="n">
        <v>81609.6011295447</v>
      </c>
      <c r="B821" s="29" t="n">
        <v>7</v>
      </c>
      <c r="C821" s="18" t="n">
        <v>9.15828157283769</v>
      </c>
      <c r="D821" s="18" t="n">
        <v>5.65911099120111</v>
      </c>
      <c r="E821" s="18" t="n">
        <v>6.77034424857363</v>
      </c>
      <c r="F821" s="18" t="n">
        <v>8.38913020978691</v>
      </c>
      <c r="G821" s="18" t="n">
        <v>4.44768670762727</v>
      </c>
      <c r="H821" s="18" t="n">
        <v>4.83731417836485</v>
      </c>
      <c r="I821" s="18" t="n">
        <v>4.75002201251307</v>
      </c>
      <c r="J821" s="18" t="n">
        <v>4.70055156715714</v>
      </c>
    </row>
    <row r="822" customFormat="false" ht="15" hidden="false" customHeight="false" outlineLevel="0" collapsed="false">
      <c r="A822" s="28" t="n">
        <v>81709.6128956348</v>
      </c>
      <c r="B822" s="29" t="n">
        <v>7</v>
      </c>
      <c r="C822" s="18" t="n">
        <v>4.84869154322528</v>
      </c>
      <c r="D822" s="18" t="n">
        <v>8.83874138284494</v>
      </c>
      <c r="E822" s="18" t="n">
        <v>6.79403690380761</v>
      </c>
      <c r="F822" s="18" t="n">
        <v>5.633314133533</v>
      </c>
      <c r="G822" s="18" t="n">
        <v>4.90915514701131</v>
      </c>
      <c r="H822" s="18" t="n">
        <v>4.67105982586126</v>
      </c>
      <c r="I822" s="18" t="n">
        <v>4.75002231193088</v>
      </c>
      <c r="J822" s="18" t="n">
        <v>4.77453099754402</v>
      </c>
    </row>
    <row r="823" customFormat="false" ht="15" hidden="false" customHeight="false" outlineLevel="0" collapsed="false">
      <c r="A823" s="28" t="n">
        <v>81809.6246617249</v>
      </c>
      <c r="B823" s="29" t="n">
        <v>7</v>
      </c>
      <c r="C823" s="18" t="n">
        <v>4.62422725845099</v>
      </c>
      <c r="D823" s="18" t="n">
        <v>8.65083639045697</v>
      </c>
      <c r="E823" s="18" t="n">
        <v>6.81624264433021</v>
      </c>
      <c r="F823" s="18" t="n">
        <v>5.41981121606187</v>
      </c>
      <c r="G823" s="18" t="n">
        <v>5.04065675989609</v>
      </c>
      <c r="H823" s="18" t="n">
        <v>4.65584795114669</v>
      </c>
      <c r="I823" s="18" t="n">
        <v>4.75002134570435</v>
      </c>
      <c r="J823" s="18" t="n">
        <v>4.8003799616119</v>
      </c>
    </row>
    <row r="824" customFormat="false" ht="15" hidden="false" customHeight="false" outlineLevel="0" collapsed="false">
      <c r="A824" s="28" t="n">
        <v>81909.636427815</v>
      </c>
      <c r="B824" s="29" t="n">
        <v>7</v>
      </c>
      <c r="C824" s="18" t="n">
        <v>8.39291749414215</v>
      </c>
      <c r="D824" s="18" t="n">
        <v>5.31234332116933</v>
      </c>
      <c r="E824" s="18" t="n">
        <v>6.83668325774471</v>
      </c>
      <c r="F824" s="18" t="n">
        <v>7.84395310773058</v>
      </c>
      <c r="G824" s="18" t="n">
        <v>5.00133835855638</v>
      </c>
      <c r="H824" s="18" t="n">
        <v>4.81451766980794</v>
      </c>
      <c r="I824" s="18" t="n">
        <v>4.75001976078296</v>
      </c>
      <c r="J824" s="18" t="n">
        <v>4.77885220382365</v>
      </c>
    </row>
    <row r="825" customFormat="false" ht="15" hidden="false" customHeight="false" outlineLevel="0" collapsed="false">
      <c r="A825" s="28" t="n">
        <v>82009.6481939052</v>
      </c>
      <c r="B825" s="29" t="n">
        <v>7</v>
      </c>
      <c r="C825" s="18" t="n">
        <v>9.47239102998308</v>
      </c>
      <c r="D825" s="18" t="n">
        <v>5.18646059640613</v>
      </c>
      <c r="E825" s="18" t="n">
        <v>6.855258667549</v>
      </c>
      <c r="F825" s="18" t="n">
        <v>8.68685844344962</v>
      </c>
      <c r="G825" s="18" t="n">
        <v>4.49400472988293</v>
      </c>
      <c r="H825" s="18" t="n">
        <v>4.84652917345563</v>
      </c>
      <c r="I825" s="18" t="n">
        <v>4.75001794440899</v>
      </c>
      <c r="J825" s="18" t="n">
        <v>4.70690832098572</v>
      </c>
    </row>
    <row r="826" customFormat="false" ht="15" hidden="false" customHeight="false" outlineLevel="0" collapsed="false">
      <c r="A826" s="28" t="n">
        <v>82109.6599599953</v>
      </c>
      <c r="B826" s="29" t="n">
        <v>7</v>
      </c>
      <c r="C826" s="18" t="n">
        <v>8.9575077708061</v>
      </c>
      <c r="D826" s="18" t="n">
        <v>8.42054951002037</v>
      </c>
      <c r="E826" s="18" t="n">
        <v>6.87198612136951</v>
      </c>
      <c r="F826" s="18" t="n">
        <v>8.19197171827745</v>
      </c>
      <c r="G826" s="18" t="n">
        <v>4.4487312912436</v>
      </c>
      <c r="H826" s="18" t="n">
        <v>4.71734394700048</v>
      </c>
      <c r="I826" s="18" t="n">
        <v>4.75001611292303</v>
      </c>
      <c r="J826" s="18" t="n">
        <v>4.7020305267533</v>
      </c>
    </row>
    <row r="827" customFormat="false" ht="15" hidden="false" customHeight="false" outlineLevel="0" collapsed="false">
      <c r="A827" s="28" t="n">
        <v>82209.6717260854</v>
      </c>
      <c r="B827" s="29" t="n">
        <v>7</v>
      </c>
      <c r="C827" s="18" t="n">
        <v>4.70205351946701</v>
      </c>
      <c r="D827" s="18" t="n">
        <v>8.902450749152</v>
      </c>
      <c r="E827" s="18" t="n">
        <v>6.88695356322597</v>
      </c>
      <c r="F827" s="18" t="n">
        <v>5.49144819791878</v>
      </c>
      <c r="G827" s="18" t="n">
        <v>4.94854335738438</v>
      </c>
      <c r="H827" s="18" t="n">
        <v>4.65378374691982</v>
      </c>
      <c r="I827" s="18" t="n">
        <v>4.75001437664734</v>
      </c>
      <c r="J827" s="18" t="n">
        <v>4.78304799468338</v>
      </c>
    </row>
    <row r="828" customFormat="false" ht="15" hidden="false" customHeight="false" outlineLevel="0" collapsed="false">
      <c r="A828" s="28" t="n">
        <v>82309.6834921756</v>
      </c>
      <c r="B828" s="29" t="n">
        <v>7</v>
      </c>
      <c r="C828" s="18" t="n">
        <v>4.71328715533976</v>
      </c>
      <c r="D828" s="18" t="n">
        <v>6.25714608964774</v>
      </c>
      <c r="E828" s="18" t="n">
        <v>6.90028661087229</v>
      </c>
      <c r="F828" s="18" t="n">
        <v>5.5120664151967</v>
      </c>
      <c r="G828" s="18" t="n">
        <v>5.04830447325957</v>
      </c>
      <c r="H828" s="18" t="n">
        <v>4.68255188964585</v>
      </c>
      <c r="I828" s="18" t="n">
        <v>4.75001278374528</v>
      </c>
      <c r="J828" s="18" t="n">
        <v>4.80104807911424</v>
      </c>
    </row>
    <row r="829" customFormat="false" ht="15" hidden="false" customHeight="false" outlineLevel="0" collapsed="false">
      <c r="A829" s="28" t="n">
        <v>82409.6952582657</v>
      </c>
      <c r="B829" s="29" t="n">
        <v>7</v>
      </c>
      <c r="C829" s="18" t="n">
        <v>8.92066512162552</v>
      </c>
      <c r="D829" s="18" t="n">
        <v>5.05873923504259</v>
      </c>
      <c r="E829" s="18" t="n">
        <v>6.9121267872822</v>
      </c>
      <c r="F829" s="18" t="n">
        <v>8.2271667491423</v>
      </c>
      <c r="G829" s="18" t="n">
        <v>4.66240099246158</v>
      </c>
      <c r="H829" s="18" t="n">
        <v>4.84015655755845</v>
      </c>
      <c r="I829" s="18" t="n">
        <v>4.75001134808654</v>
      </c>
      <c r="J829" s="18" t="n">
        <v>4.73861024476549</v>
      </c>
    </row>
    <row r="830" customFormat="false" ht="15" hidden="false" customHeight="false" outlineLevel="0" collapsed="false">
      <c r="A830" s="28" t="n">
        <v>82509.7070243558</v>
      </c>
      <c r="B830" s="29" t="n">
        <v>7</v>
      </c>
      <c r="C830" s="18" t="n">
        <v>9.43735316512616</v>
      </c>
      <c r="D830" s="18" t="n">
        <v>5.81186872838916</v>
      </c>
      <c r="E830" s="18" t="n">
        <v>6.92261811007652</v>
      </c>
      <c r="F830" s="18" t="n">
        <v>8.65744749487141</v>
      </c>
      <c r="G830" s="18" t="n">
        <v>4.47064036024842</v>
      </c>
      <c r="H830" s="18" t="n">
        <v>4.83447134145207</v>
      </c>
      <c r="I830" s="18" t="n">
        <v>4.75001006604448</v>
      </c>
      <c r="J830" s="18" t="n">
        <v>4.70297496137397</v>
      </c>
    </row>
    <row r="831" customFormat="false" ht="15" hidden="false" customHeight="false" outlineLevel="0" collapsed="false">
      <c r="A831" s="28" t="n">
        <v>82609.7187904459</v>
      </c>
      <c r="B831" s="29" t="n">
        <v>7</v>
      </c>
      <c r="C831" s="18" t="n">
        <v>8.52709471919156</v>
      </c>
      <c r="D831" s="18" t="n">
        <v>8.8702133036423</v>
      </c>
      <c r="E831" s="18" t="n">
        <v>6.93189942341633</v>
      </c>
      <c r="F831" s="18" t="n">
        <v>7.78276806214207</v>
      </c>
      <c r="G831" s="18" t="n">
        <v>4.45935296344592</v>
      </c>
      <c r="H831" s="18" t="n">
        <v>4.66762514417905</v>
      </c>
      <c r="I831" s="18" t="n">
        <v>4.75000892611124</v>
      </c>
      <c r="J831" s="18" t="n">
        <v>4.70593373558596</v>
      </c>
    </row>
    <row r="832" customFormat="false" ht="15" hidden="false" customHeight="false" outlineLevel="0" collapsed="false">
      <c r="A832" s="28" t="n">
        <v>82709.7305565361</v>
      </c>
      <c r="B832" s="29" t="n">
        <v>7</v>
      </c>
      <c r="C832" s="18" t="n">
        <v>4.59785089023553</v>
      </c>
      <c r="D832" s="18" t="n">
        <v>8.54076278086276</v>
      </c>
      <c r="E832" s="18" t="n">
        <v>6.9401004377484</v>
      </c>
      <c r="F832" s="18" t="n">
        <v>5.39431586741199</v>
      </c>
      <c r="G832" s="18" t="n">
        <v>4.97942785564896</v>
      </c>
      <c r="H832" s="18" t="n">
        <v>4.65837487349707</v>
      </c>
      <c r="I832" s="18" t="n">
        <v>4.75000791409555</v>
      </c>
      <c r="J832" s="18" t="n">
        <v>4.78934088741884</v>
      </c>
    </row>
    <row r="833" customFormat="false" ht="15" hidden="false" customHeight="false" outlineLevel="0" collapsed="false">
      <c r="A833" s="28" t="n">
        <v>82809.7423226262</v>
      </c>
      <c r="B833" s="29" t="n">
        <v>7</v>
      </c>
      <c r="C833" s="18" t="n">
        <v>4.84088406651093</v>
      </c>
      <c r="D833" s="18" t="n">
        <v>5.2378535384586</v>
      </c>
      <c r="E833" s="18" t="n">
        <v>6.94734003694627</v>
      </c>
      <c r="F833" s="18" t="n">
        <v>5.65003656524562</v>
      </c>
      <c r="G833" s="18" t="n">
        <v>5.05241840555348</v>
      </c>
      <c r="H833" s="18" t="n">
        <v>4.82206357707329</v>
      </c>
      <c r="I833" s="18" t="n">
        <v>4.75000701573011</v>
      </c>
      <c r="J833" s="18" t="n">
        <v>4.80069764562029</v>
      </c>
    </row>
    <row r="834" customFormat="false" ht="15" hidden="false" customHeight="false" outlineLevel="0" collapsed="false">
      <c r="A834" s="28" t="n">
        <v>82909.7540887163</v>
      </c>
      <c r="B834" s="29" t="n">
        <v>7</v>
      </c>
      <c r="C834" s="18" t="n">
        <v>9.15085820567774</v>
      </c>
      <c r="D834" s="18" t="n">
        <v>5.2757590347385</v>
      </c>
      <c r="E834" s="18" t="n">
        <v>6.95372589947381</v>
      </c>
      <c r="F834" s="18" t="n">
        <v>8.42420290822476</v>
      </c>
      <c r="G834" s="18" t="n">
        <v>4.59086293336655</v>
      </c>
      <c r="H834" s="18" t="n">
        <v>4.84512735282289</v>
      </c>
      <c r="I834" s="18" t="n">
        <v>4.75000621783034</v>
      </c>
      <c r="J834" s="18" t="n">
        <v>4.72588683991916</v>
      </c>
    </row>
    <row r="835" customFormat="false" ht="15" hidden="false" customHeight="false" outlineLevel="0" collapsed="false">
      <c r="A835" s="28" t="n">
        <v>83009.7658548065</v>
      </c>
      <c r="B835" s="29" t="n">
        <v>7</v>
      </c>
      <c r="C835" s="18" t="n">
        <v>9.37479082812884</v>
      </c>
      <c r="D835" s="18" t="n">
        <v>8.59548809627071</v>
      </c>
      <c r="E835" s="18" t="n">
        <v>6.95935483429546</v>
      </c>
      <c r="F835" s="18" t="n">
        <v>8.59984666992615</v>
      </c>
      <c r="G835" s="18" t="n">
        <v>4.45949770159139</v>
      </c>
      <c r="H835" s="18" t="n">
        <v>4.69402836279158</v>
      </c>
      <c r="I835" s="18" t="n">
        <v>4.75000550868736</v>
      </c>
      <c r="J835" s="18" t="n">
        <v>4.70125923101057</v>
      </c>
    </row>
    <row r="836" customFormat="false" ht="15" hidden="false" customHeight="false" outlineLevel="0" collapsed="false">
      <c r="A836" s="28" t="n">
        <v>83109.7776208966</v>
      </c>
      <c r="B836" s="29" t="n">
        <v>7</v>
      </c>
      <c r="C836" s="18" t="n">
        <v>5.60903875650102</v>
      </c>
      <c r="D836" s="18" t="n">
        <v>8.84286303126337</v>
      </c>
      <c r="E836" s="18" t="n">
        <v>6.9643134709974</v>
      </c>
      <c r="F836" s="18" t="n">
        <v>6.38678448891276</v>
      </c>
      <c r="G836" s="18" t="n">
        <v>4.49858380436697</v>
      </c>
      <c r="H836" s="18" t="n">
        <v>4.65344974599693</v>
      </c>
      <c r="I836" s="18" t="n">
        <v>4.75000487808638</v>
      </c>
      <c r="J836" s="18" t="n">
        <v>4.71660689227658</v>
      </c>
    </row>
    <row r="837" customFormat="false" ht="15" hidden="false" customHeight="false" outlineLevel="0" collapsed="false">
      <c r="A837" s="28" t="n">
        <v>83209.7893869867</v>
      </c>
      <c r="B837" s="29" t="n">
        <v>7</v>
      </c>
      <c r="C837" s="18" t="n">
        <v>4.52651897342185</v>
      </c>
      <c r="D837" s="18" t="n">
        <v>5.70595328968826</v>
      </c>
      <c r="E837" s="18" t="n">
        <v>6.96867909617918</v>
      </c>
      <c r="F837" s="18" t="n">
        <v>5.33570256627216</v>
      </c>
      <c r="G837" s="18" t="n">
        <v>5.0061150269593</v>
      </c>
      <c r="H837" s="18" t="n">
        <v>4.74465447627296</v>
      </c>
      <c r="I837" s="18" t="n">
        <v>4.75000431716488</v>
      </c>
      <c r="J837" s="18" t="n">
        <v>4.7944747854559</v>
      </c>
    </row>
    <row r="838" customFormat="false" ht="15" hidden="false" customHeight="false" outlineLevel="0" collapsed="false">
      <c r="A838" s="28" t="n">
        <v>83309.8011530768</v>
      </c>
      <c r="B838" s="29" t="n">
        <v>7</v>
      </c>
      <c r="C838" s="18" t="n">
        <v>5.0425101057991</v>
      </c>
      <c r="D838" s="18" t="n">
        <v>5.07458189694181</v>
      </c>
      <c r="E838" s="18" t="n">
        <v>6.9725205216897</v>
      </c>
      <c r="F838" s="18" t="n">
        <v>5.88013965449736</v>
      </c>
      <c r="G838" s="18" t="n">
        <v>5.05137214095531</v>
      </c>
      <c r="H838" s="18" t="n">
        <v>4.84439350766719</v>
      </c>
      <c r="I838" s="18" t="n">
        <v>4.7500038182214</v>
      </c>
      <c r="J838" s="18" t="n">
        <v>4.79887035809449</v>
      </c>
    </row>
    <row r="839" customFormat="false" ht="15" hidden="false" customHeight="false" outlineLevel="0" collapsed="false">
      <c r="A839" s="28" t="n">
        <v>83409.812919167</v>
      </c>
      <c r="B839" s="29" t="n">
        <v>7</v>
      </c>
      <c r="C839" s="18" t="n">
        <v>9.29752940922163</v>
      </c>
      <c r="D839" s="18" t="n">
        <v>6.61255496668891</v>
      </c>
      <c r="E839" s="18" t="n">
        <v>6.97589892552905</v>
      </c>
      <c r="F839" s="18" t="n">
        <v>8.55277616324687</v>
      </c>
      <c r="G839" s="18" t="n">
        <v>4.55148791276087</v>
      </c>
      <c r="H839" s="18" t="n">
        <v>4.82563503394197</v>
      </c>
      <c r="I839" s="18" t="n">
        <v>4.75000337452765</v>
      </c>
      <c r="J839" s="18" t="n">
        <v>4.71808463366803</v>
      </c>
    </row>
    <row r="840" customFormat="false" ht="15" hidden="false" customHeight="false" outlineLevel="0" collapsed="false">
      <c r="A840" s="28" t="n">
        <v>83509.8246852571</v>
      </c>
      <c r="B840" s="29" t="n">
        <v>7</v>
      </c>
      <c r="C840" s="18" t="n">
        <v>9.28602709496053</v>
      </c>
      <c r="D840" s="18" t="n">
        <v>8.92073199227589</v>
      </c>
      <c r="E840" s="18" t="n">
        <v>6.97886863774245</v>
      </c>
      <c r="F840" s="18" t="n">
        <v>8.51477586831201</v>
      </c>
      <c r="G840" s="18" t="n">
        <v>4.45185130654166</v>
      </c>
      <c r="H840" s="18" t="n">
        <v>4.66280894986694</v>
      </c>
      <c r="I840" s="18" t="n">
        <v>4.75000298016512</v>
      </c>
      <c r="J840" s="18" t="n">
        <v>4.70044826022358</v>
      </c>
    </row>
    <row r="841" customFormat="false" ht="15" hidden="false" customHeight="false" outlineLevel="0" collapsed="false">
      <c r="A841" s="28" t="n">
        <v>83609.8364513472</v>
      </c>
      <c r="B841" s="29" t="n">
        <v>7</v>
      </c>
      <c r="C841" s="18" t="n">
        <v>5.07993308182427</v>
      </c>
      <c r="D841" s="18" t="n">
        <v>8.41382890496823</v>
      </c>
      <c r="E841" s="18" t="n">
        <v>6.98147786088717</v>
      </c>
      <c r="F841" s="18" t="n">
        <v>5.86421501861445</v>
      </c>
      <c r="G841" s="18" t="n">
        <v>4.83733438478818</v>
      </c>
      <c r="H841" s="18" t="n">
        <v>4.66092253367728</v>
      </c>
      <c r="I841" s="18" t="n">
        <v>4.75000262989177</v>
      </c>
      <c r="J841" s="18" t="n">
        <v>4.75778381135922</v>
      </c>
    </row>
    <row r="842" customFormat="false" ht="15" hidden="false" customHeight="false" outlineLevel="0" collapsed="false">
      <c r="A842" s="28" t="n">
        <v>83709.8482174374</v>
      </c>
      <c r="B842" s="29" t="n">
        <v>7</v>
      </c>
      <c r="C842" s="18" t="n">
        <v>4.56161383359777</v>
      </c>
      <c r="D842" s="18" t="n">
        <v>5.18036394448074</v>
      </c>
      <c r="E842" s="18" t="n">
        <v>6.98376932363818</v>
      </c>
      <c r="F842" s="18" t="n">
        <v>5.35923150338662</v>
      </c>
      <c r="G842" s="18" t="n">
        <v>5.02952189718043</v>
      </c>
      <c r="H842" s="18" t="n">
        <v>4.82693664146748</v>
      </c>
      <c r="I842" s="18" t="n">
        <v>4.75000231903666</v>
      </c>
      <c r="J842" s="18" t="n">
        <v>4.798596518503</v>
      </c>
    </row>
    <row r="843" customFormat="false" ht="15" hidden="false" customHeight="false" outlineLevel="0" collapsed="false">
      <c r="A843" s="28" t="n">
        <v>83809.8599835275</v>
      </c>
      <c r="B843" s="29" t="n">
        <v>7</v>
      </c>
      <c r="C843" s="18" t="n">
        <v>5.47444204947146</v>
      </c>
      <c r="D843" s="18" t="n">
        <v>5.3175883855315</v>
      </c>
      <c r="E843" s="18" t="n">
        <v>6.98578087043031</v>
      </c>
      <c r="F843" s="18" t="n">
        <v>6.45464984012921</v>
      </c>
      <c r="G843" s="18" t="n">
        <v>5.04069934798248</v>
      </c>
      <c r="H843" s="18" t="n">
        <v>4.84461251423072</v>
      </c>
      <c r="I843" s="18" t="n">
        <v>4.75000204341811</v>
      </c>
      <c r="J843" s="18" t="n">
        <v>4.79414023947235</v>
      </c>
    </row>
    <row r="844" customFormat="false" ht="15" hidden="false" customHeight="false" outlineLevel="0" collapsed="false">
      <c r="A844" s="28" t="n">
        <v>83909.8717496176</v>
      </c>
      <c r="B844" s="29" t="n">
        <v>7</v>
      </c>
      <c r="C844" s="18" t="n">
        <v>9.40142716045646</v>
      </c>
      <c r="D844" s="18" t="n">
        <v>8.65512045243401</v>
      </c>
      <c r="E844" s="18" t="n">
        <v>6.98754599184249</v>
      </c>
      <c r="F844" s="18" t="n">
        <v>8.64099495606708</v>
      </c>
      <c r="G844" s="18" t="n">
        <v>4.52064939059197</v>
      </c>
      <c r="H844" s="18" t="n">
        <v>4.68822175168578</v>
      </c>
      <c r="I844" s="18" t="n">
        <v>4.75000179928006</v>
      </c>
      <c r="J844" s="18" t="n">
        <v>4.71200585748125</v>
      </c>
    </row>
    <row r="845" customFormat="false" ht="15" hidden="false" customHeight="false" outlineLevel="0" collapsed="false">
      <c r="A845" s="28" t="n">
        <v>84009.8835157077</v>
      </c>
      <c r="B845" s="29" t="n">
        <v>7</v>
      </c>
      <c r="C845" s="18" t="n">
        <v>9.15873854264851</v>
      </c>
      <c r="D845" s="18" t="n">
        <v>8.8202664919293</v>
      </c>
      <c r="E845" s="18" t="n">
        <v>6.98909430094726</v>
      </c>
      <c r="F845" s="18" t="n">
        <v>8.3904762709254</v>
      </c>
      <c r="G845" s="18" t="n">
        <v>4.44771902412743</v>
      </c>
      <c r="H845" s="18" t="n">
        <v>4.65347411187687</v>
      </c>
      <c r="I845" s="18" t="n">
        <v>4.75000158324206</v>
      </c>
      <c r="J845" s="18" t="n">
        <v>4.70056897906722</v>
      </c>
    </row>
    <row r="846" customFormat="false" ht="15" hidden="false" customHeight="false" outlineLevel="0" collapsed="false">
      <c r="A846" s="28" t="n">
        <v>84109.8952817979</v>
      </c>
      <c r="B846" s="29" t="n">
        <v>7</v>
      </c>
      <c r="C846" s="18" t="n">
        <v>4.84917389511903</v>
      </c>
      <c r="D846" s="18" t="n">
        <v>5.60888442485007</v>
      </c>
      <c r="E846" s="18" t="n">
        <v>6.99045196074301</v>
      </c>
      <c r="F846" s="18" t="n">
        <v>5.6350991747067</v>
      </c>
      <c r="G846" s="18" t="n">
        <v>4.90909852375879</v>
      </c>
      <c r="H846" s="18" t="n">
        <v>4.77690711618178</v>
      </c>
      <c r="I846" s="18" t="n">
        <v>4.75000139225912</v>
      </c>
      <c r="J846" s="18" t="n">
        <v>4.7744589564685</v>
      </c>
    </row>
    <row r="847" customFormat="false" ht="15" hidden="false" customHeight="false" outlineLevel="0" collapsed="false">
      <c r="A847" s="28" t="n">
        <v>84209.907047888</v>
      </c>
      <c r="B847" s="29" t="n">
        <v>7</v>
      </c>
      <c r="C847" s="18" t="n">
        <v>4.6243244098761</v>
      </c>
      <c r="D847" s="18" t="n">
        <v>5.09489099309703</v>
      </c>
      <c r="E847" s="18" t="n">
        <v>6.99164206742006</v>
      </c>
      <c r="F847" s="18" t="n">
        <v>5.41973902389079</v>
      </c>
      <c r="G847" s="18" t="n">
        <v>5.04067059899013</v>
      </c>
      <c r="H847" s="18" t="n">
        <v>4.8458319029546</v>
      </c>
      <c r="I847" s="18" t="n">
        <v>4.75000122358861</v>
      </c>
      <c r="J847" s="18" t="n">
        <v>4.80038324552096</v>
      </c>
    </row>
    <row r="848" customFormat="false" ht="15" hidden="false" customHeight="false" outlineLevel="0" collapsed="false">
      <c r="A848" s="28" t="n">
        <v>84309.9188139781</v>
      </c>
      <c r="B848" s="29" t="n">
        <v>7</v>
      </c>
      <c r="C848" s="18" t="n">
        <v>8.39371386615164</v>
      </c>
      <c r="D848" s="18" t="n">
        <v>7.64142259976612</v>
      </c>
      <c r="E848" s="18" t="n">
        <v>6.99268499377612</v>
      </c>
      <c r="F848" s="18" t="n">
        <v>7.84252295949988</v>
      </c>
      <c r="G848" s="18" t="n">
        <v>5.00129338164863</v>
      </c>
      <c r="H848" s="18" t="n">
        <v>4.81896551159871</v>
      </c>
      <c r="I848" s="18" t="n">
        <v>4.75000107476202</v>
      </c>
      <c r="J848" s="18" t="n">
        <v>4.77894257263965</v>
      </c>
    </row>
    <row r="849" customFormat="false" ht="15" hidden="false" customHeight="false" outlineLevel="0" collapsed="false">
      <c r="A849" s="28" t="n">
        <v>84409.9305800683</v>
      </c>
      <c r="B849" s="29" t="n">
        <v>7</v>
      </c>
      <c r="C849" s="18" t="n">
        <v>9.47244726097556</v>
      </c>
      <c r="D849" s="18" t="n">
        <v>8.93754532894024</v>
      </c>
      <c r="E849" s="18" t="n">
        <v>6.9935986966619</v>
      </c>
      <c r="F849" s="18" t="n">
        <v>8.68693892933566</v>
      </c>
      <c r="G849" s="18" t="n">
        <v>4.49400546915476</v>
      </c>
      <c r="H849" s="18" t="n">
        <v>4.66018451971398</v>
      </c>
      <c r="I849" s="18" t="n">
        <v>4.75000094356033</v>
      </c>
      <c r="J849" s="18" t="n">
        <v>4.7069263822585</v>
      </c>
    </row>
    <row r="850" customFormat="false" ht="15" hidden="false" customHeight="false" outlineLevel="0" collapsed="false">
      <c r="A850" s="28" t="n">
        <v>84509.9423461584</v>
      </c>
      <c r="B850" s="29" t="n">
        <v>7</v>
      </c>
      <c r="C850" s="18" t="n">
        <v>8.95758826084034</v>
      </c>
      <c r="D850" s="18" t="n">
        <v>8.20920665474361</v>
      </c>
      <c r="E850" s="18" t="n">
        <v>6.99439899194902</v>
      </c>
      <c r="F850" s="18" t="n">
        <v>8.19296682319521</v>
      </c>
      <c r="G850" s="18" t="n">
        <v>4.44873429997746</v>
      </c>
      <c r="H850" s="18" t="n">
        <v>4.66511587299427</v>
      </c>
      <c r="I850" s="18" t="n">
        <v>4.75000082799186</v>
      </c>
      <c r="J850" s="18" t="n">
        <v>4.70202675871676</v>
      </c>
    </row>
    <row r="851" customFormat="false" ht="15" hidden="false" customHeight="false" outlineLevel="0" collapsed="false">
      <c r="A851" s="28" t="n">
        <v>84609.9541122485</v>
      </c>
      <c r="B851" s="29" t="n">
        <v>7</v>
      </c>
      <c r="C851" s="18" t="n">
        <v>4.70209613892602</v>
      </c>
      <c r="D851" s="18" t="n">
        <v>5.13295043504976</v>
      </c>
      <c r="E851" s="18" t="n">
        <v>6.99509980017101</v>
      </c>
      <c r="F851" s="18" t="n">
        <v>5.49195649021486</v>
      </c>
      <c r="G851" s="18" t="n">
        <v>4.94854066961018</v>
      </c>
      <c r="H851" s="18" t="n">
        <v>4.83198978052698</v>
      </c>
      <c r="I851" s="18" t="n">
        <v>4.75000072627215</v>
      </c>
      <c r="J851" s="18" t="n">
        <v>4.78302596098431</v>
      </c>
    </row>
    <row r="852" customFormat="false" ht="15" hidden="false" customHeight="false" outlineLevel="0" collapsed="false">
      <c r="A852" s="28" t="n">
        <v>84709.9658783386</v>
      </c>
      <c r="B852" s="29" t="n">
        <v>7</v>
      </c>
      <c r="C852" s="18" t="n">
        <v>4.71330157696982</v>
      </c>
      <c r="D852" s="18" t="n">
        <v>5.44907474349702</v>
      </c>
      <c r="E852" s="18" t="n">
        <v>6.99571336569057</v>
      </c>
      <c r="F852" s="18" t="n">
        <v>5.51186985137979</v>
      </c>
      <c r="G852" s="18" t="n">
        <v>5.04830623229755</v>
      </c>
      <c r="H852" s="18" t="n">
        <v>4.84180566558994</v>
      </c>
      <c r="I852" s="18" t="n">
        <v>4.75000063680525</v>
      </c>
      <c r="J852" s="18" t="n">
        <v>4.80104862509631</v>
      </c>
    </row>
    <row r="853" customFormat="false" ht="15" hidden="false" customHeight="false" outlineLevel="0" collapsed="false">
      <c r="A853" s="28" t="n">
        <v>84809.9776444288</v>
      </c>
      <c r="B853" s="29" t="n">
        <v>7</v>
      </c>
      <c r="C853" s="18" t="n">
        <v>8.92069873644513</v>
      </c>
      <c r="D853" s="18" t="n">
        <v>8.75597186652954</v>
      </c>
      <c r="E853" s="18" t="n">
        <v>6.99625045198652</v>
      </c>
      <c r="F853" s="18" t="n">
        <v>8.22665981319634</v>
      </c>
      <c r="G853" s="18" t="n">
        <v>4.6623903499165</v>
      </c>
      <c r="H853" s="18" t="n">
        <v>4.67848097012685</v>
      </c>
      <c r="I853" s="18" t="n">
        <v>4.75000055816656</v>
      </c>
      <c r="J853" s="18" t="n">
        <v>4.73864962076354</v>
      </c>
    </row>
    <row r="854" customFormat="false" ht="15" hidden="false" customHeight="false" outlineLevel="0" collapsed="false">
      <c r="A854" s="28" t="n">
        <v>84909.9894105189</v>
      </c>
      <c r="B854" s="29" t="n">
        <v>7</v>
      </c>
      <c r="C854" s="18" t="n">
        <v>9.43735773146695</v>
      </c>
      <c r="D854" s="18" t="n">
        <v>8.73175670262227</v>
      </c>
      <c r="E854" s="18" t="n">
        <v>6.99672051542663</v>
      </c>
      <c r="F854" s="18" t="n">
        <v>8.65752466258601</v>
      </c>
      <c r="G854" s="18" t="n">
        <v>4.47064067132084</v>
      </c>
      <c r="H854" s="18" t="n">
        <v>4.65472008605417</v>
      </c>
      <c r="I854" s="18" t="n">
        <v>4.75000048908668</v>
      </c>
      <c r="J854" s="18" t="n">
        <v>4.70298111749376</v>
      </c>
    </row>
    <row r="855" customFormat="false" ht="15" hidden="false" customHeight="false" outlineLevel="0" collapsed="false">
      <c r="A855" s="28" t="n">
        <v>85010.001176609</v>
      </c>
      <c r="B855" s="29" t="n">
        <v>7</v>
      </c>
      <c r="C855" s="18" t="n">
        <v>8.52712040047935</v>
      </c>
      <c r="D855" s="18" t="n">
        <v>5.41555368335583</v>
      </c>
      <c r="E855" s="18" t="n">
        <v>6.99713185968283</v>
      </c>
      <c r="F855" s="18" t="n">
        <v>7.78409508958011</v>
      </c>
      <c r="G855" s="18" t="n">
        <v>4.45935286837618</v>
      </c>
      <c r="H855" s="18" t="n">
        <v>4.80464446417548</v>
      </c>
      <c r="I855" s="18" t="n">
        <v>4.75000042843654</v>
      </c>
      <c r="J855" s="18" t="n">
        <v>4.70592342410628</v>
      </c>
    </row>
    <row r="856" customFormat="false" ht="15" hidden="false" customHeight="false" outlineLevel="0" collapsed="false">
      <c r="A856" s="28" t="n">
        <v>85110.0129426992</v>
      </c>
      <c r="B856" s="29" t="n">
        <v>7</v>
      </c>
      <c r="C856" s="18" t="n">
        <v>4.59785464947108</v>
      </c>
      <c r="D856" s="18" t="n">
        <v>5.14669612783356</v>
      </c>
      <c r="E856" s="18" t="n">
        <v>6.99749177276287</v>
      </c>
      <c r="F856" s="18" t="n">
        <v>5.39448521164909</v>
      </c>
      <c r="G856" s="18" t="n">
        <v>4.97942774208657</v>
      </c>
      <c r="H856" s="18" t="n">
        <v>4.84667020780478</v>
      </c>
      <c r="I856" s="18" t="n">
        <v>4.75000037521354</v>
      </c>
      <c r="J856" s="18" t="n">
        <v>4.78933158107695</v>
      </c>
    </row>
    <row r="857" customFormat="false" ht="15" hidden="false" customHeight="false" outlineLevel="0" collapsed="false">
      <c r="A857" s="28" t="n">
        <v>85210.0247087893</v>
      </c>
      <c r="B857" s="29" t="n">
        <v>7</v>
      </c>
      <c r="C857" s="18" t="n">
        <v>4.84088619233132</v>
      </c>
      <c r="D857" s="18" t="n">
        <v>8.25012378853725</v>
      </c>
      <c r="E857" s="18" t="n">
        <v>6.99780664845427</v>
      </c>
      <c r="F857" s="18" t="n">
        <v>5.64982855876053</v>
      </c>
      <c r="G857" s="18" t="n">
        <v>5.05241859072648</v>
      </c>
      <c r="H857" s="18" t="n">
        <v>4.77536904123711</v>
      </c>
      <c r="I857" s="18" t="n">
        <v>4.75000032852878</v>
      </c>
      <c r="J857" s="18" t="n">
        <v>4.80069877509262</v>
      </c>
    </row>
    <row r="858" customFormat="false" ht="15" hidden="false" customHeight="false" outlineLevel="0" collapsed="false">
      <c r="A858" s="28" t="n">
        <v>85310.0364748794</v>
      </c>
      <c r="B858" s="29" t="n">
        <v>7</v>
      </c>
      <c r="C858" s="18" t="n">
        <v>9.15086059593366</v>
      </c>
      <c r="D858" s="18" t="n">
        <v>8.93983335587883</v>
      </c>
      <c r="E858" s="18" t="n">
        <v>6.99808209382002</v>
      </c>
      <c r="F858" s="18" t="n">
        <v>8.42400278557735</v>
      </c>
      <c r="G858" s="18" t="n">
        <v>4.59086266704771</v>
      </c>
      <c r="H858" s="18" t="n">
        <v>4.65637772527355</v>
      </c>
      <c r="I858" s="18" t="n">
        <v>4.75000028759532</v>
      </c>
      <c r="J858" s="18" t="n">
        <v>4.72589844597162</v>
      </c>
    </row>
    <row r="859" customFormat="false" ht="15" hidden="false" customHeight="false" outlineLevel="0" collapsed="false">
      <c r="A859" s="28" t="n">
        <v>85410.0482409695</v>
      </c>
      <c r="B859" s="29" t="n">
        <v>7</v>
      </c>
      <c r="C859" s="18" t="n">
        <v>9.37479135499408</v>
      </c>
      <c r="D859" s="18" t="n">
        <v>7.78769954990785</v>
      </c>
      <c r="E859" s="18" t="n">
        <v>6.9983230242366</v>
      </c>
      <c r="F859" s="18" t="n">
        <v>8.59991398881966</v>
      </c>
      <c r="G859" s="18" t="n">
        <v>4.45949777712174</v>
      </c>
      <c r="H859" s="18" t="n">
        <v>4.67107797757952</v>
      </c>
      <c r="I859" s="18" t="n">
        <v>4.75000025171739</v>
      </c>
      <c r="J859" s="18" t="n">
        <v>4.70126109807567</v>
      </c>
    </row>
    <row r="860" customFormat="false" ht="15" hidden="false" customHeight="false" outlineLevel="0" collapsed="false">
      <c r="A860" s="28" t="n">
        <v>85510.0600070597</v>
      </c>
      <c r="B860" s="29" t="n">
        <v>7</v>
      </c>
      <c r="C860" s="18" t="n">
        <v>5.60904329093884</v>
      </c>
      <c r="D860" s="18" t="n">
        <v>5.09108778261914</v>
      </c>
      <c r="E860" s="18" t="n">
        <v>6.99853374732361</v>
      </c>
      <c r="F860" s="18" t="n">
        <v>6.38783200322448</v>
      </c>
      <c r="G860" s="18" t="n">
        <v>4.49858354347784</v>
      </c>
      <c r="H860" s="18" t="n">
        <v>4.8357646603557</v>
      </c>
      <c r="I860" s="18" t="n">
        <v>4.75000022028062</v>
      </c>
      <c r="J860" s="18" t="n">
        <v>4.71658701248484</v>
      </c>
    </row>
    <row r="861" customFormat="false" ht="15" hidden="false" customHeight="false" outlineLevel="0" collapsed="false">
      <c r="A861" s="28" t="n">
        <v>85610.0717731498</v>
      </c>
      <c r="B861" s="29" t="n">
        <v>7</v>
      </c>
      <c r="C861" s="18" t="n">
        <v>4.5265192850785</v>
      </c>
      <c r="D861" s="18" t="n">
        <v>5.52714936699911</v>
      </c>
      <c r="E861" s="18" t="n">
        <v>6.99871803698824</v>
      </c>
      <c r="F861" s="18" t="n">
        <v>5.33574135503222</v>
      </c>
      <c r="G861" s="18" t="n">
        <v>5.00611502492246</v>
      </c>
      <c r="H861" s="18" t="n">
        <v>4.84032673556399</v>
      </c>
      <c r="I861" s="18" t="n">
        <v>4.75000019274305</v>
      </c>
      <c r="J861" s="18" t="n">
        <v>4.79447053658948</v>
      </c>
    </row>
    <row r="862" customFormat="false" ht="15" hidden="false" customHeight="false" outlineLevel="0" collapsed="false">
      <c r="A862" s="28" t="n">
        <v>85710.0835392399</v>
      </c>
      <c r="B862" s="29" t="n">
        <v>7</v>
      </c>
      <c r="C862" s="18" t="n">
        <v>5.04251050679608</v>
      </c>
      <c r="D862" s="18" t="n">
        <v>8.7977302013401</v>
      </c>
      <c r="E862" s="18" t="n">
        <v>6.99887919868726</v>
      </c>
      <c r="F862" s="18" t="n">
        <v>5.87990927000798</v>
      </c>
      <c r="G862" s="18" t="n">
        <v>5.05137215518794</v>
      </c>
      <c r="H862" s="18" t="n">
        <v>4.67486535762046</v>
      </c>
      <c r="I862" s="18" t="n">
        <v>4.75000016862715</v>
      </c>
      <c r="J862" s="18" t="n">
        <v>4.79887232711796</v>
      </c>
    </row>
    <row r="863" customFormat="false" ht="15" hidden="false" customHeight="false" outlineLevel="0" collapsed="false">
      <c r="A863" s="28" t="n">
        <v>85810.09530533</v>
      </c>
      <c r="B863" s="29" t="n">
        <v>7</v>
      </c>
      <c r="C863" s="18" t="n">
        <v>9.29752961701812</v>
      </c>
      <c r="D863" s="18" t="n">
        <v>8.69715836004504</v>
      </c>
      <c r="E863" s="18" t="n">
        <v>6.99902012689645</v>
      </c>
      <c r="F863" s="18" t="n">
        <v>8.55269436312852</v>
      </c>
      <c r="G863" s="18" t="n">
        <v>4.55148790000843</v>
      </c>
      <c r="H863" s="18" t="n">
        <v>4.65521123982409</v>
      </c>
      <c r="I863" s="18" t="n">
        <v>4.7500001475125</v>
      </c>
      <c r="J863" s="18" t="n">
        <v>4.71808939461355</v>
      </c>
    </row>
    <row r="864" customFormat="false" ht="15" hidden="false" customHeight="false" outlineLevel="0" collapsed="false">
      <c r="A864" s="28" t="n">
        <v>85910.1070714202</v>
      </c>
      <c r="B864" s="29" t="n">
        <v>7</v>
      </c>
      <c r="C864" s="18" t="n">
        <v>9.28602716520597</v>
      </c>
      <c r="D864" s="18" t="n">
        <v>5.3645567377583</v>
      </c>
      <c r="E864" s="18" t="n">
        <v>6.99914335567922</v>
      </c>
      <c r="F864" s="18" t="n">
        <v>8.51483236845362</v>
      </c>
      <c r="G864" s="18" t="n">
        <v>4.4518513155458</v>
      </c>
      <c r="H864" s="18" t="n">
        <v>4.80996588864318</v>
      </c>
      <c r="I864" s="18" t="n">
        <v>4.75000012902927</v>
      </c>
      <c r="J864" s="18" t="n">
        <v>4.70044870333931</v>
      </c>
    </row>
    <row r="865" customFormat="false" ht="15" hidden="false" customHeight="false" outlineLevel="0" collapsed="false">
      <c r="A865" s="28" t="n">
        <v>86010.1188375103</v>
      </c>
      <c r="B865" s="29" t="n">
        <v>7</v>
      </c>
      <c r="C865" s="18" t="n">
        <v>5.07993324853732</v>
      </c>
      <c r="D865" s="18" t="n">
        <v>5.17481615268731</v>
      </c>
      <c r="E865" s="18" t="n">
        <v>6.99925110315052</v>
      </c>
      <c r="F865" s="18" t="n">
        <v>5.86439784200086</v>
      </c>
      <c r="G865" s="18" t="n">
        <v>4.83733433209148</v>
      </c>
      <c r="H865" s="18" t="n">
        <v>4.84648227787347</v>
      </c>
      <c r="I865" s="18" t="n">
        <v>4.75000011285237</v>
      </c>
      <c r="J865" s="18" t="n">
        <v>4.75776671313896</v>
      </c>
    </row>
    <row r="866" customFormat="false" ht="15" hidden="false" customHeight="false" outlineLevel="0" collapsed="false">
      <c r="A866" s="28" t="n">
        <v>86110.1306036004</v>
      </c>
      <c r="B866" s="29" t="n">
        <v>7</v>
      </c>
      <c r="C866" s="18" t="n">
        <v>4.56161385670972</v>
      </c>
      <c r="D866" s="18" t="n">
        <v>8.36968590810068</v>
      </c>
      <c r="E866" s="18" t="n">
        <v>6.99934531054747</v>
      </c>
      <c r="F866" s="18" t="n">
        <v>5.35921946420884</v>
      </c>
      <c r="G866" s="18" t="n">
        <v>5.02952189884324</v>
      </c>
      <c r="H866" s="18" t="n">
        <v>4.72791559355386</v>
      </c>
      <c r="I866" s="18" t="n">
        <v>4.75000009869622</v>
      </c>
      <c r="J866" s="18" t="n">
        <v>4.79859485695193</v>
      </c>
    </row>
    <row r="867" customFormat="false" ht="15" hidden="false" customHeight="false" outlineLevel="0" collapsed="false">
      <c r="A867" s="28" t="n">
        <v>86210.1423696906</v>
      </c>
      <c r="B867" s="29" t="n">
        <v>7</v>
      </c>
      <c r="C867" s="18" t="n">
        <v>5.47444218217648</v>
      </c>
      <c r="D867" s="18" t="n">
        <v>8.90672246103727</v>
      </c>
      <c r="E867" s="18" t="n">
        <v>6.99942767654074</v>
      </c>
      <c r="F867" s="18" t="n">
        <v>6.45416111293583</v>
      </c>
      <c r="G867" s="18" t="n">
        <v>5.04069934745342</v>
      </c>
      <c r="H867" s="18" t="n">
        <v>4.65444449050013</v>
      </c>
      <c r="I867" s="18" t="n">
        <v>4.75000008631011</v>
      </c>
      <c r="J867" s="18" t="n">
        <v>4.79414324570097</v>
      </c>
    </row>
    <row r="868" customFormat="false" ht="15" hidden="false" customHeight="false" outlineLevel="0" collapsed="false">
      <c r="A868" s="28" t="n">
        <v>86310.1541357807</v>
      </c>
      <c r="B868" s="29" t="n">
        <v>7</v>
      </c>
      <c r="C868" s="18" t="n">
        <v>9.4014271796987</v>
      </c>
      <c r="D868" s="18" t="n">
        <v>6.44982549561252</v>
      </c>
      <c r="E868" s="18" t="n">
        <v>6.9994996873498</v>
      </c>
      <c r="F868" s="18" t="n">
        <v>8.64096318974712</v>
      </c>
      <c r="G868" s="18" t="n">
        <v>4.52064938999053</v>
      </c>
      <c r="H868" s="18" t="n">
        <v>4.67994576833911</v>
      </c>
      <c r="I868" s="18" t="n">
        <v>4.75000007547403</v>
      </c>
      <c r="J868" s="18" t="n">
        <v>4.71200803417932</v>
      </c>
    </row>
    <row r="869" customFormat="false" ht="15" hidden="false" customHeight="false" outlineLevel="0" collapsed="false">
      <c r="A869" s="28" t="n">
        <v>86410.1659018708</v>
      </c>
      <c r="B869" s="29" t="n">
        <v>7</v>
      </c>
      <c r="C869" s="18" t="n">
        <v>9.15873855348167</v>
      </c>
      <c r="D869" s="18" t="n">
        <v>5.06441575629161</v>
      </c>
      <c r="E869" s="18" t="n">
        <v>6.99956264316375</v>
      </c>
      <c r="F869" s="18" t="n">
        <v>8.39052515965959</v>
      </c>
      <c r="G869" s="18" t="n">
        <v>4.44771902506235</v>
      </c>
      <c r="H869" s="18" t="n">
        <v>4.83952682614464</v>
      </c>
      <c r="I869" s="18" t="n">
        <v>4.75000006599503</v>
      </c>
      <c r="J869" s="18" t="n">
        <v>4.70056884433769</v>
      </c>
    </row>
    <row r="870" customFormat="false" ht="15" hidden="false" customHeight="false" outlineLevel="0" collapsed="false">
      <c r="A870" s="28" t="n">
        <v>86510.1776679609</v>
      </c>
      <c r="B870" s="29" t="n">
        <v>7</v>
      </c>
      <c r="C870" s="18" t="n">
        <v>4.84917390732342</v>
      </c>
      <c r="D870" s="18" t="n">
        <v>5.76967044937298</v>
      </c>
      <c r="E870" s="18" t="n">
        <v>6.99961768131107</v>
      </c>
      <c r="F870" s="18" t="n">
        <v>5.63515815120308</v>
      </c>
      <c r="G870" s="18" t="n">
        <v>4.90909852238623</v>
      </c>
      <c r="H870" s="18" t="n">
        <v>4.83527733099595</v>
      </c>
      <c r="I870" s="18" t="n">
        <v>4.75000005770393</v>
      </c>
      <c r="J870" s="18" t="n">
        <v>4.77445561904817</v>
      </c>
    </row>
    <row r="871" customFormat="false" ht="15" hidden="false" customHeight="false" outlineLevel="0" collapsed="false">
      <c r="A871" s="28" t="n">
        <v>86610.1894340511</v>
      </c>
      <c r="B871" s="29" t="n">
        <v>7</v>
      </c>
      <c r="C871" s="18" t="n">
        <v>4.62432441253793</v>
      </c>
      <c r="D871" s="18" t="n">
        <v>8.86301759534399</v>
      </c>
      <c r="E871" s="18" t="n">
        <v>6.99966579656878</v>
      </c>
      <c r="F871" s="18" t="n">
        <v>5.41972367700381</v>
      </c>
      <c r="G871" s="18" t="n">
        <v>5.04067059936655</v>
      </c>
      <c r="H871" s="18" t="n">
        <v>4.66841199230451</v>
      </c>
      <c r="I871" s="18" t="n">
        <v>4.75000005045246</v>
      </c>
      <c r="J871" s="18" t="n">
        <v>4.80038282958482</v>
      </c>
    </row>
    <row r="872" customFormat="false" ht="15" hidden="false" customHeight="false" outlineLevel="0" collapsed="false">
      <c r="A872" s="28" t="n">
        <v>86710.2012001412</v>
      </c>
      <c r="B872" s="29" t="n">
        <v>7</v>
      </c>
      <c r="C872" s="18" t="n">
        <v>8.39371388865886</v>
      </c>
      <c r="D872" s="18" t="n">
        <v>8.56241739562847</v>
      </c>
      <c r="E872" s="18" t="n">
        <v>6.9997078589607</v>
      </c>
      <c r="F872" s="18" t="n">
        <v>7.84237261609817</v>
      </c>
      <c r="G872" s="18" t="n">
        <v>5.0012933803394</v>
      </c>
      <c r="H872" s="18" t="n">
        <v>4.65795750334643</v>
      </c>
      <c r="I872" s="18" t="n">
        <v>4.75000004411074</v>
      </c>
      <c r="J872" s="18" t="n">
        <v>4.77895034569836</v>
      </c>
    </row>
    <row r="873" customFormat="false" ht="15" hidden="false" customHeight="false" outlineLevel="0" collapsed="false">
      <c r="A873" s="28" t="n">
        <v>86810.2129662313</v>
      </c>
      <c r="B873" s="29" t="n">
        <v>7</v>
      </c>
      <c r="C873" s="18" t="n">
        <v>9.4724472625237</v>
      </c>
      <c r="D873" s="18" t="n">
        <v>5.25076872086128</v>
      </c>
      <c r="E873" s="18" t="n">
        <v>6.99974462934908</v>
      </c>
      <c r="F873" s="18" t="n">
        <v>8.68693672187832</v>
      </c>
      <c r="G873" s="18" t="n">
        <v>4.49400546914946</v>
      </c>
      <c r="H873" s="18" t="n">
        <v>4.8207964203893</v>
      </c>
      <c r="I873" s="18" t="n">
        <v>4.75000003856498</v>
      </c>
      <c r="J873" s="18" t="n">
        <v>4.70692739387185</v>
      </c>
    </row>
    <row r="874" customFormat="false" ht="15" hidden="false" customHeight="false" outlineLevel="0" collapsed="false">
      <c r="A874" s="28" t="n">
        <v>86910.2247323215</v>
      </c>
      <c r="B874" s="29" t="n">
        <v>7</v>
      </c>
      <c r="C874" s="18" t="n">
        <v>8.95758826287218</v>
      </c>
      <c r="D874" s="18" t="n">
        <v>5.25564008726809</v>
      </c>
      <c r="E874" s="18" t="n">
        <v>6.99977677308997</v>
      </c>
      <c r="F874" s="18" t="n">
        <v>8.19301481568421</v>
      </c>
      <c r="G874" s="18" t="n">
        <v>4.44873430005055</v>
      </c>
      <c r="H874" s="18" t="n">
        <v>4.8455346580458</v>
      </c>
      <c r="I874" s="18" t="n">
        <v>4.75000003371555</v>
      </c>
      <c r="J874" s="18" t="n">
        <v>4.70202635383301</v>
      </c>
    </row>
    <row r="875" customFormat="false" ht="15" hidden="false" customHeight="false" outlineLevel="0" collapsed="false">
      <c r="A875" s="28" t="n">
        <v>87010.2364984116</v>
      </c>
      <c r="B875" s="29" t="n">
        <v>7</v>
      </c>
      <c r="C875" s="18" t="n">
        <v>4.70209613998808</v>
      </c>
      <c r="D875" s="18" t="n">
        <v>8.56599884152232</v>
      </c>
      <c r="E875" s="18" t="n">
        <v>6.99980487198998</v>
      </c>
      <c r="F875" s="18" t="n">
        <v>5.49197883696547</v>
      </c>
      <c r="G875" s="18" t="n">
        <v>4.94854066954416</v>
      </c>
      <c r="H875" s="18" t="n">
        <v>4.69761279861523</v>
      </c>
      <c r="I875" s="18" t="n">
        <v>4.75000002947523</v>
      </c>
      <c r="J875" s="18" t="n">
        <v>4.78302473277265</v>
      </c>
    </row>
    <row r="876" customFormat="false" ht="15" hidden="false" customHeight="false" outlineLevel="0" collapsed="false">
      <c r="A876" s="28" t="n">
        <v>87110.2482645017</v>
      </c>
      <c r="B876" s="29" t="n">
        <v>7</v>
      </c>
      <c r="C876" s="18" t="n">
        <v>4.71330157732725</v>
      </c>
      <c r="D876" s="18" t="n">
        <v>8.87141867379308</v>
      </c>
      <c r="E876" s="18" t="n">
        <v>6.99982943477254</v>
      </c>
      <c r="F876" s="18" t="n">
        <v>5.51185589325647</v>
      </c>
      <c r="G876" s="18" t="n">
        <v>5.04830623234274</v>
      </c>
      <c r="H876" s="18" t="n">
        <v>4.65311292015913</v>
      </c>
      <c r="I876" s="18" t="n">
        <v>4.75000002576768</v>
      </c>
      <c r="J876" s="18" t="n">
        <v>4.80104853418934</v>
      </c>
    </row>
    <row r="877" customFormat="false" ht="15" hidden="false" customHeight="false" outlineLevel="0" collapsed="false">
      <c r="A877" s="28" t="n">
        <v>87210.2600305918</v>
      </c>
      <c r="B877" s="29" t="n">
        <v>7</v>
      </c>
      <c r="C877" s="18" t="n">
        <v>8.92069873728485</v>
      </c>
      <c r="D877" s="18" t="n">
        <v>5.84431410404772</v>
      </c>
      <c r="E877" s="18" t="n">
        <v>6.99985090624024</v>
      </c>
      <c r="F877" s="18" t="n">
        <v>8.22662435170503</v>
      </c>
      <c r="G877" s="18" t="n">
        <v>4.66239034965225</v>
      </c>
      <c r="H877" s="18" t="n">
        <v>4.70336867735365</v>
      </c>
      <c r="I877" s="18" t="n">
        <v>4.75000002252608</v>
      </c>
      <c r="J877" s="18" t="n">
        <v>4.73865216834745</v>
      </c>
    </row>
    <row r="878" customFormat="false" ht="15" hidden="false" customHeight="false" outlineLevel="0" collapsed="false">
      <c r="A878" s="28" t="n">
        <v>87310.271796682</v>
      </c>
      <c r="B878" s="29" t="n">
        <v>7</v>
      </c>
      <c r="C878" s="18" t="n">
        <v>9.43735773158175</v>
      </c>
      <c r="D878" s="18" t="n">
        <v>5.04911709128742</v>
      </c>
      <c r="E878" s="18" t="n">
        <v>6.99986967529209</v>
      </c>
      <c r="F878" s="18" t="n">
        <v>8.65752815553135</v>
      </c>
      <c r="G878" s="18" t="n">
        <v>4.47064067132965</v>
      </c>
      <c r="H878" s="18" t="n">
        <v>4.84256994818055</v>
      </c>
      <c r="I878" s="18" t="n">
        <v>4.75000001969197</v>
      </c>
      <c r="J878" s="18" t="n">
        <v>4.70298143204941</v>
      </c>
    </row>
    <row r="879" customFormat="false" ht="15" hidden="false" customHeight="false" outlineLevel="0" collapsed="false">
      <c r="A879" s="28" t="n">
        <v>87410.2835627721</v>
      </c>
      <c r="B879" s="29" t="n">
        <v>7</v>
      </c>
      <c r="C879" s="18" t="n">
        <v>8.52712040114921</v>
      </c>
      <c r="D879" s="18" t="n">
        <v>5.99006782137495</v>
      </c>
      <c r="E879" s="18" t="n">
        <v>6.99988608193808</v>
      </c>
      <c r="F879" s="18" t="n">
        <v>7.78416594463166</v>
      </c>
      <c r="G879" s="18" t="n">
        <v>4.45935286837358</v>
      </c>
      <c r="H879" s="18" t="n">
        <v>4.83176581451304</v>
      </c>
      <c r="I879" s="18" t="n">
        <v>4.75000001721419</v>
      </c>
      <c r="J879" s="18" t="n">
        <v>4.70592281731682</v>
      </c>
    </row>
    <row r="880" customFormat="false" ht="15" hidden="false" customHeight="false" outlineLevel="0" collapsed="false">
      <c r="A880" s="28" t="n">
        <v>87510.2953288622</v>
      </c>
      <c r="B880" s="29" t="n">
        <v>7</v>
      </c>
      <c r="C880" s="18" t="n">
        <v>4.59785464956915</v>
      </c>
      <c r="D880" s="18" t="n">
        <v>8.89375318345172</v>
      </c>
      <c r="E880" s="18" t="n">
        <v>6.999900423437</v>
      </c>
      <c r="F880" s="18" t="n">
        <v>5.39449378991157</v>
      </c>
      <c r="G880" s="18" t="n">
        <v>4.97942774208342</v>
      </c>
      <c r="H880" s="18" t="n">
        <v>4.665632876757</v>
      </c>
      <c r="I880" s="18" t="n">
        <v>4.750000015048</v>
      </c>
      <c r="J880" s="18" t="n">
        <v>4.78933104467324</v>
      </c>
    </row>
    <row r="881" customFormat="false" ht="15" hidden="false" customHeight="false" outlineLevel="0" collapsed="false">
      <c r="A881" s="28" t="n">
        <v>87610.3070949524</v>
      </c>
      <c r="B881" s="29" t="n">
        <v>7</v>
      </c>
      <c r="C881" s="18" t="n">
        <v>4.84088619238615</v>
      </c>
      <c r="D881" s="18" t="n">
        <v>8.50349021742048</v>
      </c>
      <c r="E881" s="18" t="n">
        <v>6.9999129596654</v>
      </c>
      <c r="F881" s="18" t="n">
        <v>5.64981589195259</v>
      </c>
      <c r="G881" s="18" t="n">
        <v>5.05241859073117</v>
      </c>
      <c r="H881" s="18" t="n">
        <v>4.65910297213076</v>
      </c>
      <c r="I881" s="18" t="n">
        <v>4.75000001315426</v>
      </c>
      <c r="J881" s="18" t="n">
        <v>4.80069881779881</v>
      </c>
    </row>
    <row r="882" customFormat="false" ht="15" hidden="false" customHeight="false" outlineLevel="0" collapsed="false">
      <c r="A882" s="28" t="n">
        <v>87710.3188610425</v>
      </c>
      <c r="B882" s="29" t="n">
        <v>7</v>
      </c>
      <c r="C882" s="18" t="n">
        <v>9.1508605959951</v>
      </c>
      <c r="D882" s="18" t="n">
        <v>5.21684999705454</v>
      </c>
      <c r="E882" s="18" t="n">
        <v>6.99992391781285</v>
      </c>
      <c r="F882" s="18" t="n">
        <v>8.42399043208537</v>
      </c>
      <c r="G882" s="18" t="n">
        <v>4.59086266704087</v>
      </c>
      <c r="H882" s="18" t="n">
        <v>4.82393819882204</v>
      </c>
      <c r="I882" s="18" t="n">
        <v>4.75000001149874</v>
      </c>
      <c r="J882" s="18" t="n">
        <v>4.72589912812756</v>
      </c>
    </row>
    <row r="883" customFormat="false" ht="15" hidden="false" customHeight="false" outlineLevel="0" collapsed="false">
      <c r="A883" s="28" t="n">
        <v>87810.3306271326</v>
      </c>
      <c r="B883" s="29" t="n">
        <v>7</v>
      </c>
      <c r="C883" s="18" t="n">
        <v>9.37479135500803</v>
      </c>
      <c r="D883" s="18" t="n">
        <v>5.29418745922241</v>
      </c>
      <c r="E883" s="18" t="n">
        <v>6.99993349649001</v>
      </c>
      <c r="F883" s="18" t="n">
        <v>8.59991766599789</v>
      </c>
      <c r="G883" s="18" t="n">
        <v>4.45949777712342</v>
      </c>
      <c r="H883" s="18" t="n">
        <v>4.84489181276196</v>
      </c>
      <c r="I883" s="18" t="n">
        <v>4.75000001005148</v>
      </c>
      <c r="J883" s="18" t="n">
        <v>4.70126119469925</v>
      </c>
    </row>
    <row r="884" customFormat="false" ht="15" hidden="false" customHeight="false" outlineLevel="0" collapsed="false">
      <c r="A884" s="28" t="n">
        <v>87910.3423932227</v>
      </c>
      <c r="B884" s="29" t="n">
        <v>7</v>
      </c>
      <c r="C884" s="18" t="n">
        <v>5.60904329105375</v>
      </c>
      <c r="D884" s="18" t="n">
        <v>8.62276106766984</v>
      </c>
      <c r="E884" s="18" t="n">
        <v>6.99994186932107</v>
      </c>
      <c r="F884" s="18" t="n">
        <v>6.38789037560837</v>
      </c>
      <c r="G884" s="18" t="n">
        <v>4.49858354347117</v>
      </c>
      <c r="H884" s="18" t="n">
        <v>4.69123282483255</v>
      </c>
      <c r="I884" s="18" t="n">
        <v>4.75000000878632</v>
      </c>
      <c r="J884" s="18" t="n">
        <v>4.71658589265612</v>
      </c>
    </row>
    <row r="885" customFormat="false" ht="15" hidden="false" customHeight="false" outlineLevel="0" collapsed="false">
      <c r="A885" s="28" t="n">
        <v>88010.3541593129</v>
      </c>
      <c r="B885" s="29" t="n">
        <v>7</v>
      </c>
      <c r="C885" s="18" t="n">
        <v>4.52651928508639</v>
      </c>
      <c r="D885" s="18" t="n">
        <v>8.82871405611643</v>
      </c>
      <c r="E885" s="18" t="n">
        <v>6.99994918808466</v>
      </c>
      <c r="F885" s="18" t="n">
        <v>5.33574341317966</v>
      </c>
      <c r="G885" s="18" t="n">
        <v>5.00611502492242</v>
      </c>
      <c r="H885" s="18" t="n">
        <v>4.65355832268036</v>
      </c>
      <c r="I885" s="18" t="n">
        <v>4.75000000768036</v>
      </c>
      <c r="J885" s="18" t="n">
        <v>4.79447029144439</v>
      </c>
    </row>
    <row r="886" customFormat="false" ht="15" hidden="false" customHeight="false" outlineLevel="0" collapsed="false">
      <c r="A886" s="28" t="n">
        <v>88110.365925403</v>
      </c>
      <c r="B886" s="29" t="n">
        <v>7</v>
      </c>
      <c r="C886" s="18" t="n">
        <v>5.0425105068063</v>
      </c>
      <c r="D886" s="18" t="n">
        <v>5.64738743760715</v>
      </c>
      <c r="E886" s="18" t="n">
        <v>6.99995558546071</v>
      </c>
      <c r="F886" s="18" t="n">
        <v>5.87989581614784</v>
      </c>
      <c r="G886" s="18" t="n">
        <v>5.05137215518831</v>
      </c>
      <c r="H886" s="18" t="n">
        <v>4.76755455181414</v>
      </c>
      <c r="I886" s="18" t="n">
        <v>4.75000000671357</v>
      </c>
      <c r="J886" s="18" t="n">
        <v>4.79887243671184</v>
      </c>
    </row>
    <row r="887" customFormat="false" ht="15" hidden="false" customHeight="false" outlineLevel="0" collapsed="false">
      <c r="A887" s="28" t="n">
        <v>88210.3776914931</v>
      </c>
      <c r="B887" s="29" t="n">
        <v>7</v>
      </c>
      <c r="C887" s="18" t="n">
        <v>9.29752961702396</v>
      </c>
      <c r="D887" s="18" t="n">
        <v>5.09067497769012</v>
      </c>
      <c r="E887" s="18" t="n">
        <v>6.99996117743267</v>
      </c>
      <c r="F887" s="18" t="n">
        <v>8.552689539758</v>
      </c>
      <c r="G887" s="18" t="n">
        <v>4.55148790000812</v>
      </c>
      <c r="H887" s="18" t="n">
        <v>4.84535218380784</v>
      </c>
      <c r="I887" s="18" t="n">
        <v>4.75000000586845</v>
      </c>
      <c r="J887" s="18" t="n">
        <v>4.71808966855872</v>
      </c>
    </row>
    <row r="888" customFormat="false" ht="15" hidden="false" customHeight="false" outlineLevel="0" collapsed="false">
      <c r="A888" s="28" t="n">
        <v>88310.3894575833</v>
      </c>
      <c r="B888" s="29" t="n">
        <v>7</v>
      </c>
      <c r="C888" s="18" t="n">
        <v>9.28602716520739</v>
      </c>
      <c r="D888" s="18" t="n">
        <v>7.4480249209358</v>
      </c>
      <c r="E888" s="18" t="n">
        <v>6.99996606538696</v>
      </c>
      <c r="F888" s="18" t="n">
        <v>8.51483556184986</v>
      </c>
      <c r="G888" s="18" t="n">
        <v>4.45185131554601</v>
      </c>
      <c r="H888" s="18" t="n">
        <v>4.82103502432946</v>
      </c>
      <c r="I888" s="18" t="n">
        <v>4.7500000051297</v>
      </c>
      <c r="J888" s="18" t="n">
        <v>4.70044872658631</v>
      </c>
    </row>
    <row r="889" customFormat="false" ht="15" hidden="false" customHeight="false" outlineLevel="0" collapsed="false">
      <c r="A889" s="28" t="n">
        <v>88410.4012236734</v>
      </c>
      <c r="B889" s="29" t="n">
        <v>7</v>
      </c>
      <c r="C889" s="18" t="n">
        <v>5.07993324854155</v>
      </c>
      <c r="D889" s="18" t="n">
        <v>8.93313857226847</v>
      </c>
      <c r="E889" s="18" t="n">
        <v>6.9999703379498</v>
      </c>
      <c r="F889" s="18" t="n">
        <v>5.86440818771623</v>
      </c>
      <c r="G889" s="18" t="n">
        <v>4.83733433209014</v>
      </c>
      <c r="H889" s="18" t="n">
        <v>4.66079283717571</v>
      </c>
      <c r="I889" s="18" t="n">
        <v>4.75000000448392</v>
      </c>
      <c r="J889" s="18" t="n">
        <v>4.75776574171867</v>
      </c>
    </row>
    <row r="890" customFormat="false" ht="15" hidden="false" customHeight="false" outlineLevel="0" collapsed="false">
      <c r="A890" s="28" t="n">
        <v>88510.4129897635</v>
      </c>
      <c r="B890" s="29" t="n">
        <v>7</v>
      </c>
      <c r="C890" s="18" t="n">
        <v>4.56161385671033</v>
      </c>
      <c r="D890" s="18" t="n">
        <v>8.25403795961832</v>
      </c>
      <c r="E890" s="18" t="n">
        <v>6.99997407259256</v>
      </c>
      <c r="F890" s="18" t="n">
        <v>5.35921875511062</v>
      </c>
      <c r="G890" s="18" t="n">
        <v>5.02952189884329</v>
      </c>
      <c r="H890" s="18" t="n">
        <v>4.66428507078403</v>
      </c>
      <c r="I890" s="18" t="n">
        <v>4.75000000391943</v>
      </c>
      <c r="J890" s="18" t="n">
        <v>4.79859476113423</v>
      </c>
    </row>
    <row r="891" customFormat="false" ht="15" hidden="false" customHeight="false" outlineLevel="0" collapsed="false">
      <c r="A891" s="28" t="n">
        <v>88610.4247558536</v>
      </c>
      <c r="B891" s="29" t="n">
        <v>7</v>
      </c>
      <c r="C891" s="18" t="n">
        <v>5.47444218218008</v>
      </c>
      <c r="D891" s="18" t="n">
        <v>5.14123073574429</v>
      </c>
      <c r="E891" s="18" t="n">
        <v>6.99997733703497</v>
      </c>
      <c r="F891" s="18" t="n">
        <v>6.45413295480947</v>
      </c>
      <c r="G891" s="18" t="n">
        <v>5.0406993474534</v>
      </c>
      <c r="H891" s="18" t="n">
        <v>4.83109105992048</v>
      </c>
      <c r="I891" s="18" t="n">
        <v>4.750000003426</v>
      </c>
      <c r="J891" s="18" t="n">
        <v>4.79414341780103</v>
      </c>
    </row>
    <row r="892" customFormat="false" ht="15" hidden="false" customHeight="false" outlineLevel="0" collapsed="false">
      <c r="A892" s="28" t="n">
        <v>88710.4365219438</v>
      </c>
      <c r="B892" s="29" t="n">
        <v>7</v>
      </c>
      <c r="C892" s="18" t="n">
        <v>9.40142717970055</v>
      </c>
      <c r="D892" s="18" t="n">
        <v>5.42041615456258</v>
      </c>
      <c r="E892" s="18" t="n">
        <v>6.99998019047276</v>
      </c>
      <c r="F892" s="18" t="n">
        <v>8.64096134902736</v>
      </c>
      <c r="G892" s="18" t="n">
        <v>4.52064938999059</v>
      </c>
      <c r="H892" s="18" t="n">
        <v>4.84243637506926</v>
      </c>
      <c r="I892" s="18" t="n">
        <v>4.75000000299468</v>
      </c>
      <c r="J892" s="18" t="n">
        <v>4.71200815882979</v>
      </c>
    </row>
    <row r="893" customFormat="false" ht="15" hidden="false" customHeight="false" outlineLevel="0" collapsed="false">
      <c r="A893" s="28" t="n">
        <v>88810.4482880339</v>
      </c>
      <c r="B893" s="29" t="n">
        <v>7</v>
      </c>
      <c r="C893" s="18" t="n">
        <v>9.1587385534822</v>
      </c>
      <c r="D893" s="18" t="n">
        <v>8.73872692181573</v>
      </c>
      <c r="E893" s="18" t="n">
        <v>6.99998268465043</v>
      </c>
      <c r="F893" s="18" t="n">
        <v>8.39052794621954</v>
      </c>
      <c r="G893" s="18" t="n">
        <v>4.44771902506239</v>
      </c>
      <c r="H893" s="18" t="n">
        <v>4.68038660968892</v>
      </c>
      <c r="I893" s="18" t="n">
        <v>4.75000000261765</v>
      </c>
      <c r="J893" s="18" t="n">
        <v>4.7005688362366</v>
      </c>
    </row>
    <row r="894" customFormat="false" ht="15" hidden="false" customHeight="false" outlineLevel="0" collapsed="false">
      <c r="A894" s="28" t="n">
        <v>88910.460054124</v>
      </c>
      <c r="B894" s="29" t="n">
        <v>7</v>
      </c>
      <c r="C894" s="18" t="n">
        <v>4.8491739073237</v>
      </c>
      <c r="D894" s="18" t="n">
        <v>8.76655171990647</v>
      </c>
      <c r="E894" s="18" t="n">
        <v>6.9999848647979</v>
      </c>
      <c r="F894" s="18" t="n">
        <v>5.63516151008798</v>
      </c>
      <c r="G894" s="18" t="n">
        <v>4.90909852238621</v>
      </c>
      <c r="H894" s="18" t="n">
        <v>4.65404095412493</v>
      </c>
      <c r="I894" s="18" t="n">
        <v>4.75000000228809</v>
      </c>
      <c r="J894" s="18" t="n">
        <v>4.77445542837706</v>
      </c>
    </row>
    <row r="895" customFormat="false" ht="15" hidden="false" customHeight="false" outlineLevel="0" collapsed="false">
      <c r="A895" s="28" t="n">
        <v>89010.4718202141</v>
      </c>
      <c r="B895" s="29" t="n">
        <v>7</v>
      </c>
      <c r="C895" s="18" t="n">
        <v>4.62432441253803</v>
      </c>
      <c r="D895" s="18" t="n">
        <v>5.47042110077245</v>
      </c>
      <c r="E895" s="18" t="n">
        <v>6.99998677045162</v>
      </c>
      <c r="F895" s="18" t="n">
        <v>5.41972279497289</v>
      </c>
      <c r="G895" s="18" t="n">
        <v>5.04067059936656</v>
      </c>
      <c r="H895" s="18" t="n">
        <v>4.79797812881712</v>
      </c>
      <c r="I895" s="18" t="n">
        <v>4.75000000200002</v>
      </c>
      <c r="J895" s="18" t="n">
        <v>4.80038280557192</v>
      </c>
    </row>
    <row r="896" customFormat="false" ht="15" hidden="false" customHeight="false" outlineLevel="0" collapsed="false">
      <c r="A896" s="28" t="n">
        <v>89110.4835863043</v>
      </c>
      <c r="B896" s="29" t="n">
        <v>7</v>
      </c>
      <c r="C896" s="18" t="n">
        <v>8.39371388865972</v>
      </c>
      <c r="D896" s="18" t="n">
        <v>5.10879686238511</v>
      </c>
      <c r="E896" s="18" t="n">
        <v>6.99998843617095</v>
      </c>
      <c r="F896" s="18" t="n">
        <v>7.84236398845172</v>
      </c>
      <c r="G896" s="18" t="n">
        <v>5.00129338033934</v>
      </c>
      <c r="H896" s="18" t="n">
        <v>4.84699801267011</v>
      </c>
      <c r="I896" s="18" t="n">
        <v>4.75000000174821</v>
      </c>
      <c r="J896" s="18" t="n">
        <v>4.77895079122407</v>
      </c>
    </row>
    <row r="897" customFormat="false" ht="15" hidden="false" customHeight="false" outlineLevel="0" collapsed="false">
      <c r="A897" s="28" t="n">
        <v>89210.4953523944</v>
      </c>
      <c r="B897" s="29" t="n">
        <v>7</v>
      </c>
      <c r="C897" s="18" t="n">
        <v>9.4724472625237</v>
      </c>
      <c r="D897" s="18" t="n">
        <v>8.00470197190814</v>
      </c>
      <c r="E897" s="18" t="n">
        <v>6.99998989216445</v>
      </c>
      <c r="F897" s="18" t="n">
        <v>8.68693659289166</v>
      </c>
      <c r="G897" s="18" t="n">
        <v>4.49400546914947</v>
      </c>
      <c r="H897" s="18" t="n">
        <v>4.80926124201262</v>
      </c>
      <c r="I897" s="18" t="n">
        <v>4.75000000152811</v>
      </c>
      <c r="J897" s="18" t="n">
        <v>4.70692745173994</v>
      </c>
    </row>
    <row r="898" customFormat="false" ht="15" hidden="false" customHeight="false" outlineLevel="0" collapsed="false">
      <c r="A898" s="28" t="n">
        <v>89310.5071184845</v>
      </c>
      <c r="B898" s="29" t="n">
        <v>7</v>
      </c>
      <c r="C898" s="18" t="n">
        <v>8.95758826287251</v>
      </c>
      <c r="D898" s="18" t="n">
        <v>8.94950920955428</v>
      </c>
      <c r="E898" s="18" t="n">
        <v>6.99999116483735</v>
      </c>
      <c r="F898" s="18" t="n">
        <v>8.19301755763713</v>
      </c>
      <c r="G898" s="18" t="n">
        <v>4.44873430005056</v>
      </c>
      <c r="H898" s="18" t="n">
        <v>4.65852676704233</v>
      </c>
      <c r="I898" s="18" t="n">
        <v>4.75000000133571</v>
      </c>
      <c r="J898" s="18" t="n">
        <v>4.70202633061012</v>
      </c>
    </row>
    <row r="899" customFormat="false" ht="15" hidden="false" customHeight="false" outlineLevel="0" collapsed="false">
      <c r="A899" s="28" t="n">
        <v>89410.5188845747</v>
      </c>
      <c r="B899" s="29" t="n">
        <v>7</v>
      </c>
      <c r="C899" s="18" t="n">
        <v>4.70209613998812</v>
      </c>
      <c r="D899" s="18" t="n">
        <v>8.10910044637733</v>
      </c>
      <c r="E899" s="18" t="n">
        <v>6.99999227727039</v>
      </c>
      <c r="F899" s="18" t="n">
        <v>5.49198011295447</v>
      </c>
      <c r="G899" s="18" t="n">
        <v>4.94854066954416</v>
      </c>
      <c r="H899" s="18" t="n">
        <v>4.66675904484433</v>
      </c>
      <c r="I899" s="18" t="n">
        <v>4.75000000116754</v>
      </c>
      <c r="J899" s="18" t="n">
        <v>4.78302466252329</v>
      </c>
    </row>
    <row r="900" customFormat="false" ht="15" hidden="false" customHeight="false" outlineLevel="0" collapsed="false">
      <c r="A900" s="28" t="n">
        <v>89510.5306506648</v>
      </c>
      <c r="B900" s="29" t="n">
        <v>7</v>
      </c>
      <c r="C900" s="18" t="n">
        <v>4.71330157732725</v>
      </c>
      <c r="D900" s="18" t="n">
        <v>5.1171409719673</v>
      </c>
      <c r="E900" s="18" t="n">
        <v>6.9999932496386</v>
      </c>
      <c r="F900" s="18" t="n">
        <v>5.51185509383003</v>
      </c>
      <c r="G900" s="18" t="n">
        <v>5.04830623234274</v>
      </c>
      <c r="H900" s="18" t="n">
        <v>4.83342401060694</v>
      </c>
      <c r="I900" s="18" t="n">
        <v>4.75000000102054</v>
      </c>
      <c r="J900" s="18" t="n">
        <v>4.80104852894564</v>
      </c>
    </row>
    <row r="901" customFormat="false" ht="15" hidden="false" customHeight="false" outlineLevel="0" collapsed="false">
      <c r="A901" s="28" t="n">
        <v>89610.5424167549</v>
      </c>
      <c r="B901" s="29" t="n">
        <v>7</v>
      </c>
      <c r="C901" s="18" t="n">
        <v>8.92069873728485</v>
      </c>
      <c r="D901" s="18" t="n">
        <v>5.47989157378825</v>
      </c>
      <c r="E901" s="18" t="n">
        <v>6.99999409957696</v>
      </c>
      <c r="F901" s="18" t="n">
        <v>8.22662232073577</v>
      </c>
      <c r="G901" s="18" t="n">
        <v>4.66239034965226</v>
      </c>
      <c r="H901" s="18" t="n">
        <v>4.84120702706363</v>
      </c>
      <c r="I901" s="18" t="n">
        <v>4.75000000089204</v>
      </c>
      <c r="J901" s="18" t="n">
        <v>4.73865231419955</v>
      </c>
    </row>
    <row r="902" customFormat="false" ht="15" hidden="false" customHeight="false" outlineLevel="0" collapsed="false">
      <c r="A902" s="28" t="n">
        <v>89710.554182845</v>
      </c>
      <c r="B902" s="29" t="n">
        <v>7</v>
      </c>
      <c r="C902" s="18" t="n">
        <v>9.43735773158377</v>
      </c>
      <c r="D902" s="18" t="n">
        <v>8.77384328017721</v>
      </c>
      <c r="E902" s="18" t="n">
        <v>6.99999484250029</v>
      </c>
      <c r="F902" s="18" t="n">
        <v>8.65752835495961</v>
      </c>
      <c r="G902" s="18" t="n">
        <v>4.47064067132941</v>
      </c>
      <c r="H902" s="18" t="n">
        <v>4.67683694281763</v>
      </c>
      <c r="I902" s="18" t="n">
        <v>4.75000000077973</v>
      </c>
      <c r="J902" s="18" t="n">
        <v>4.70298145003171</v>
      </c>
    </row>
    <row r="903" customFormat="false" ht="15" hidden="false" customHeight="false" outlineLevel="0" collapsed="false">
      <c r="A903" s="28" t="n">
        <v>89810.5659489352</v>
      </c>
      <c r="B903" s="29" t="n">
        <v>7</v>
      </c>
      <c r="C903" s="18" t="n">
        <v>8.52712040114921</v>
      </c>
      <c r="D903" s="18" t="n">
        <v>8.71191229522425</v>
      </c>
      <c r="E903" s="18" t="n">
        <v>6.99999549188276</v>
      </c>
      <c r="F903" s="18" t="n">
        <v>7.78416999546865</v>
      </c>
      <c r="G903" s="18" t="n">
        <v>4.45935286837357</v>
      </c>
      <c r="H903" s="18" t="n">
        <v>4.65505142001787</v>
      </c>
      <c r="I903" s="18" t="n">
        <v>4.75000000068156</v>
      </c>
      <c r="J903" s="18" t="n">
        <v>4.70592278260498</v>
      </c>
    </row>
    <row r="904" customFormat="false" ht="15" hidden="false" customHeight="false" outlineLevel="0" collapsed="false">
      <c r="A904" s="28" t="n">
        <v>89910.5777150253</v>
      </c>
      <c r="B904" s="29" t="n">
        <v>7</v>
      </c>
      <c r="C904" s="18" t="n">
        <v>4.59785464956905</v>
      </c>
      <c r="D904" s="18" t="n">
        <v>5.38668340638223</v>
      </c>
      <c r="E904" s="18" t="n">
        <v>6.99999605950171</v>
      </c>
      <c r="F904" s="18" t="n">
        <v>5.39449428021998</v>
      </c>
      <c r="G904" s="18" t="n">
        <v>4.97942774208343</v>
      </c>
      <c r="H904" s="18" t="n">
        <v>4.80782854130162</v>
      </c>
      <c r="I904" s="18" t="n">
        <v>4.75000000059574</v>
      </c>
      <c r="J904" s="18" t="n">
        <v>4.78933101398876</v>
      </c>
    </row>
    <row r="905" customFormat="false" ht="15" hidden="false" customHeight="false" outlineLevel="0" collapsed="false">
      <c r="A905" s="28" t="n">
        <v>90010.5894811154</v>
      </c>
      <c r="B905" s="29" t="n">
        <v>7</v>
      </c>
      <c r="C905" s="18" t="n">
        <v>4.84088619238608</v>
      </c>
      <c r="D905" s="18" t="n">
        <v>5.16726978349827</v>
      </c>
      <c r="E905" s="18" t="n">
        <v>6.99999655565178</v>
      </c>
      <c r="F905" s="18" t="n">
        <v>5.64981516713542</v>
      </c>
      <c r="G905" s="18" t="n">
        <v>5.05241859073118</v>
      </c>
      <c r="H905" s="18" t="n">
        <v>4.84646719606173</v>
      </c>
      <c r="I905" s="18" t="n">
        <v>4.75000000052073</v>
      </c>
      <c r="J905" s="18" t="n">
        <v>4.80069882023394</v>
      </c>
    </row>
    <row r="906" customFormat="false" ht="15" hidden="false" customHeight="false" outlineLevel="0" collapsed="false">
      <c r="A906" s="28" t="n">
        <v>90110.6012472056</v>
      </c>
      <c r="B906" s="29" t="n">
        <v>7</v>
      </c>
      <c r="C906" s="18" t="n">
        <v>9.1508605959951</v>
      </c>
      <c r="D906" s="18" t="n">
        <v>8.33696447009256</v>
      </c>
      <c r="E906" s="18" t="n">
        <v>6.99999698933141</v>
      </c>
      <c r="F906" s="18" t="n">
        <v>8.42398972511968</v>
      </c>
      <c r="G906" s="18" t="n">
        <v>4.59086266704088</v>
      </c>
      <c r="H906" s="18" t="n">
        <v>4.73730698108548</v>
      </c>
      <c r="I906" s="18" t="n">
        <v>4.75000000045517</v>
      </c>
      <c r="J906" s="18" t="n">
        <v>4.72589916715467</v>
      </c>
    </row>
    <row r="907" customFormat="false" ht="15" hidden="false" customHeight="false" outlineLevel="0" collapsed="false">
      <c r="A907" s="28" t="n">
        <v>90210.6130132957</v>
      </c>
      <c r="B907" s="29" t="n">
        <v>7</v>
      </c>
      <c r="C907" s="18" t="n">
        <v>9.37479135500803</v>
      </c>
      <c r="D907" s="18" t="n">
        <v>8.91196953682464</v>
      </c>
      <c r="E907" s="18" t="n">
        <v>6.99999736840652</v>
      </c>
      <c r="F907" s="18" t="n">
        <v>8.59991787625629</v>
      </c>
      <c r="G907" s="18" t="n">
        <v>4.45949777712341</v>
      </c>
      <c r="H907" s="18" t="n">
        <v>4.65489056712335</v>
      </c>
      <c r="I907" s="18" t="n">
        <v>4.75000000039786</v>
      </c>
      <c r="J907" s="18" t="n">
        <v>4.70126120022298</v>
      </c>
    </row>
    <row r="908" customFormat="false" ht="15" hidden="false" customHeight="false" outlineLevel="0" collapsed="false">
      <c r="A908" s="28" t="n">
        <v>90310.6247793858</v>
      </c>
      <c r="B908" s="29" t="n">
        <v>7</v>
      </c>
      <c r="C908" s="18" t="n">
        <v>5.6090432910531</v>
      </c>
      <c r="D908" s="18" t="n">
        <v>6.69822094080418</v>
      </c>
      <c r="E908" s="18" t="n">
        <v>6.99999769975223</v>
      </c>
      <c r="F908" s="18" t="n">
        <v>6.38789371407927</v>
      </c>
      <c r="G908" s="18" t="n">
        <v>4.49858354347122</v>
      </c>
      <c r="H908" s="18" t="n">
        <v>4.67791071617931</v>
      </c>
      <c r="I908" s="18" t="n">
        <v>4.75000000034776</v>
      </c>
      <c r="J908" s="18" t="n">
        <v>4.71658582861274</v>
      </c>
    </row>
    <row r="909" customFormat="false" ht="15" hidden="false" customHeight="false" outlineLevel="0" collapsed="false">
      <c r="A909" s="28" t="n">
        <v>90410.6365454759</v>
      </c>
      <c r="B909" s="29" t="n">
        <v>7</v>
      </c>
      <c r="C909" s="18" t="n">
        <v>4.52651928508635</v>
      </c>
      <c r="D909" s="18" t="n">
        <v>5.06905858818877</v>
      </c>
      <c r="E909" s="18" t="n">
        <v>6.99999798937821</v>
      </c>
      <c r="F909" s="18" t="n">
        <v>5.3357435308577</v>
      </c>
      <c r="G909" s="18" t="n">
        <v>5.00611502492243</v>
      </c>
      <c r="H909" s="18" t="n">
        <v>4.83883884549663</v>
      </c>
      <c r="I909" s="18" t="n">
        <v>4.75000000030398</v>
      </c>
      <c r="J909" s="18" t="n">
        <v>4.79447027742152</v>
      </c>
    </row>
    <row r="910" customFormat="false" ht="15" hidden="false" customHeight="false" outlineLevel="0" collapsed="false">
      <c r="A910" s="28" t="n">
        <v>90510.6483115661</v>
      </c>
      <c r="B910" s="29" t="n">
        <v>7</v>
      </c>
      <c r="C910" s="18" t="n">
        <v>5.0425105068063</v>
      </c>
      <c r="D910" s="18" t="n">
        <v>5.7142085914418</v>
      </c>
      <c r="E910" s="18" t="n">
        <v>6.99999824253714</v>
      </c>
      <c r="F910" s="18" t="n">
        <v>5.87989504651373</v>
      </c>
      <c r="G910" s="18" t="n">
        <v>5.05137215518831</v>
      </c>
      <c r="H910" s="18" t="n">
        <v>4.83635483487783</v>
      </c>
      <c r="I910" s="18" t="n">
        <v>4.7500000002657</v>
      </c>
      <c r="J910" s="18" t="n">
        <v>4.79887244297941</v>
      </c>
    </row>
    <row r="911" customFormat="false" ht="15" hidden="false" customHeight="false" outlineLevel="0" collapsed="false">
      <c r="A911" s="28" t="n">
        <v>90610.6600776562</v>
      </c>
      <c r="B911" s="29" t="n">
        <v>7</v>
      </c>
      <c r="C911" s="18" t="n">
        <v>9.29752961702396</v>
      </c>
      <c r="D911" s="18" t="n">
        <v>8.85219161420108</v>
      </c>
      <c r="E911" s="18" t="n">
        <v>6.99999846382075</v>
      </c>
      <c r="F911" s="18" t="n">
        <v>8.55268926381315</v>
      </c>
      <c r="G911" s="18" t="n">
        <v>4.55148790000812</v>
      </c>
      <c r="H911" s="18" t="n">
        <v>4.66972030838796</v>
      </c>
      <c r="I911" s="18" t="n">
        <v>4.75000000023225</v>
      </c>
      <c r="J911" s="18" t="n">
        <v>4.71808968422873</v>
      </c>
    </row>
    <row r="912" customFormat="false" ht="15" hidden="false" customHeight="false" outlineLevel="0" collapsed="false">
      <c r="A912" s="28" t="n">
        <v>90710.6718437463</v>
      </c>
      <c r="B912" s="29" t="n">
        <v>7</v>
      </c>
      <c r="C912" s="18" t="n">
        <v>9.28602716520739</v>
      </c>
      <c r="D912" s="18" t="n">
        <v>8.60919981391984</v>
      </c>
      <c r="E912" s="18" t="n">
        <v>6.99999865724248</v>
      </c>
      <c r="F912" s="18" t="n">
        <v>8.51483574448853</v>
      </c>
      <c r="G912" s="18" t="n">
        <v>4.45185131554602</v>
      </c>
      <c r="H912" s="18" t="n">
        <v>4.65690438058789</v>
      </c>
      <c r="I912" s="18" t="n">
        <v>4.75000000020301</v>
      </c>
      <c r="J912" s="18" t="n">
        <v>4.70044872791542</v>
      </c>
    </row>
    <row r="913" customFormat="false" ht="15" hidden="false" customHeight="false" outlineLevel="0" collapsed="false">
      <c r="A913" s="28" t="n">
        <v>90810.6836098365</v>
      </c>
      <c r="B913" s="29" t="n">
        <v>7</v>
      </c>
      <c r="C913" s="18" t="n">
        <v>5.07993324854163</v>
      </c>
      <c r="D913" s="18" t="n">
        <v>5.28081000262354</v>
      </c>
      <c r="E913" s="18" t="n">
        <v>6.99999882631041</v>
      </c>
      <c r="F913" s="18" t="n">
        <v>5.86440877943728</v>
      </c>
      <c r="G913" s="18" t="n">
        <v>4.83733433209011</v>
      </c>
      <c r="H913" s="18" t="n">
        <v>4.8175635230637</v>
      </c>
      <c r="I913" s="18" t="n">
        <v>4.75000000017745</v>
      </c>
      <c r="J913" s="18" t="n">
        <v>4.75776568615617</v>
      </c>
    </row>
    <row r="914" customFormat="false" ht="15" hidden="false" customHeight="false" outlineLevel="0" collapsed="false">
      <c r="A914" s="28" t="n">
        <v>90910.6953759266</v>
      </c>
      <c r="B914" s="29" t="n">
        <v>7</v>
      </c>
      <c r="C914" s="18" t="n">
        <v>4.56161385671034</v>
      </c>
      <c r="D914" s="18" t="n">
        <v>5.20498394726389</v>
      </c>
      <c r="E914" s="18" t="n">
        <v>6.9999989740909</v>
      </c>
      <c r="F914" s="18" t="n">
        <v>5.35921871454497</v>
      </c>
      <c r="G914" s="18" t="n">
        <v>5.02952189884328</v>
      </c>
      <c r="H914" s="18" t="n">
        <v>4.8464741309332</v>
      </c>
      <c r="I914" s="18" t="n">
        <v>4.7500000001551</v>
      </c>
      <c r="J914" s="18" t="n">
        <v>4.79859475565331</v>
      </c>
    </row>
    <row r="915" customFormat="false" ht="15" hidden="false" customHeight="false" outlineLevel="0" collapsed="false">
      <c r="A915" s="28" t="n">
        <v>91010.7071420167</v>
      </c>
      <c r="B915" s="29" t="n">
        <v>7</v>
      </c>
      <c r="C915" s="18" t="n">
        <v>5.47444218218015</v>
      </c>
      <c r="D915" s="18" t="n">
        <v>8.4734823583652</v>
      </c>
      <c r="E915" s="18" t="n">
        <v>6.9999991032641</v>
      </c>
      <c r="F915" s="18" t="n">
        <v>6.45413134419157</v>
      </c>
      <c r="G915" s="18" t="n">
        <v>5.0406993474534</v>
      </c>
      <c r="H915" s="18" t="n">
        <v>4.70925768341736</v>
      </c>
      <c r="I915" s="18" t="n">
        <v>4.75000000013558</v>
      </c>
      <c r="J915" s="18" t="n">
        <v>4.79414342764477</v>
      </c>
    </row>
    <row r="916" customFormat="false" ht="15" hidden="false" customHeight="false" outlineLevel="0" collapsed="false">
      <c r="A916" s="28" t="n">
        <v>91110.7189081068</v>
      </c>
      <c r="B916" s="29" t="n">
        <v>7</v>
      </c>
      <c r="C916" s="18" t="n">
        <v>9.4014271796987</v>
      </c>
      <c r="D916" s="18" t="n">
        <v>8.89987911489787</v>
      </c>
      <c r="E916" s="18" t="n">
        <v>6.99999921617307</v>
      </c>
      <c r="F916" s="18" t="n">
        <v>8.64096124373321</v>
      </c>
      <c r="G916" s="18" t="n">
        <v>4.52064938999059</v>
      </c>
      <c r="H916" s="18" t="n">
        <v>4.6533622812147</v>
      </c>
      <c r="I916" s="18" t="n">
        <v>4.7500000001185</v>
      </c>
      <c r="J916" s="18" t="n">
        <v>4.71200816595959</v>
      </c>
    </row>
    <row r="917" customFormat="false" ht="15" hidden="false" customHeight="false" outlineLevel="0" collapsed="false">
      <c r="A917" s="28" t="n">
        <v>91210.730674197</v>
      </c>
      <c r="B917" s="29" t="n">
        <v>7</v>
      </c>
      <c r="C917" s="18" t="n">
        <v>9.15873855348167</v>
      </c>
      <c r="D917" s="18" t="n">
        <v>6.14470968484701</v>
      </c>
      <c r="E917" s="18" t="n">
        <v>6.99999931486557</v>
      </c>
      <c r="F917" s="18" t="n">
        <v>8.39052810559854</v>
      </c>
      <c r="G917" s="18" t="n">
        <v>4.44771902506241</v>
      </c>
      <c r="H917" s="18" t="n">
        <v>4.68512190589204</v>
      </c>
      <c r="I917" s="18" t="n">
        <v>4.75000000010358</v>
      </c>
      <c r="J917" s="18" t="n">
        <v>4.70056883577316</v>
      </c>
    </row>
    <row r="918" customFormat="false" ht="15" hidden="false" customHeight="false" outlineLevel="0" collapsed="false">
      <c r="A918" s="28" t="n">
        <v>91310.7424402871</v>
      </c>
      <c r="B918" s="29" t="n">
        <v>7</v>
      </c>
      <c r="C918" s="18" t="n">
        <v>4.84917390732386</v>
      </c>
      <c r="D918" s="18" t="n">
        <v>5.05515814178409</v>
      </c>
      <c r="E918" s="18" t="n">
        <v>6.99999940113165</v>
      </c>
      <c r="F918" s="18" t="n">
        <v>5.63516170220319</v>
      </c>
      <c r="G918" s="18" t="n">
        <v>4.90909852238618</v>
      </c>
      <c r="H918" s="18" t="n">
        <v>4.84070298695101</v>
      </c>
      <c r="I918" s="18" t="n">
        <v>4.75000000009054</v>
      </c>
      <c r="J918" s="18" t="n">
        <v>4.77445541747121</v>
      </c>
    </row>
    <row r="919" customFormat="false" ht="15" hidden="false" customHeight="false" outlineLevel="0" collapsed="false">
      <c r="A919" s="28" t="n">
        <v>91410.7542063772</v>
      </c>
      <c r="B919" s="29" t="n">
        <v>7</v>
      </c>
      <c r="C919" s="18" t="n">
        <v>4.62432441253807</v>
      </c>
      <c r="D919" s="18" t="n">
        <v>5.84344163560848</v>
      </c>
      <c r="E919" s="18" t="n">
        <v>6.99999947653582</v>
      </c>
      <c r="F919" s="18" t="n">
        <v>5.41972274452174</v>
      </c>
      <c r="G919" s="18" t="n">
        <v>5.04067059936656</v>
      </c>
      <c r="H919" s="18" t="n">
        <v>4.83400164492369</v>
      </c>
      <c r="I919" s="18" t="n">
        <v>4.75000000007914</v>
      </c>
      <c r="J919" s="18" t="n">
        <v>4.80038280419837</v>
      </c>
    </row>
    <row r="920" customFormat="false" ht="15" hidden="false" customHeight="false" outlineLevel="0" collapsed="false">
      <c r="A920" s="28" t="n">
        <v>91510.7659724673</v>
      </c>
      <c r="B920" s="29" t="n">
        <v>7</v>
      </c>
      <c r="C920" s="18" t="n">
        <v>8.3937138886599</v>
      </c>
      <c r="D920" s="18" t="n">
        <v>8.87565095673968</v>
      </c>
      <c r="E920" s="18" t="n">
        <v>6.99999954244576</v>
      </c>
      <c r="F920" s="18" t="n">
        <v>7.84236349495908</v>
      </c>
      <c r="G920" s="18" t="n">
        <v>5.00129338033932</v>
      </c>
      <c r="H920" s="18" t="n">
        <v>4.66719325651043</v>
      </c>
      <c r="I920" s="18" t="n">
        <v>4.75000000006918</v>
      </c>
      <c r="J920" s="18" t="n">
        <v>4.77895081670689</v>
      </c>
    </row>
    <row r="921" customFormat="false" ht="15" hidden="false" customHeight="false" outlineLevel="0" collapsed="false">
      <c r="A921" s="28" t="n">
        <v>91610.7777385575</v>
      </c>
      <c r="B921" s="29" t="n">
        <v>7</v>
      </c>
      <c r="C921" s="18" t="n">
        <v>9.47244726252588</v>
      </c>
      <c r="D921" s="18" t="n">
        <v>8.531372192232</v>
      </c>
      <c r="E921" s="18" t="n">
        <v>6.99999960005693</v>
      </c>
      <c r="F921" s="18" t="n">
        <v>8.6869365855123</v>
      </c>
      <c r="G921" s="18" t="n">
        <v>4.49400546914946</v>
      </c>
      <c r="H921" s="18" t="n">
        <v>4.65859929154784</v>
      </c>
      <c r="I921" s="18" t="n">
        <v>4.75000000006047</v>
      </c>
      <c r="J921" s="18" t="n">
        <v>4.70692745504984</v>
      </c>
    </row>
    <row r="922" customFormat="false" ht="15" hidden="false" customHeight="false" outlineLevel="0" collapsed="false">
      <c r="A922" s="28" t="n">
        <v>91710.7895046476</v>
      </c>
      <c r="B922" s="29" t="n">
        <v>7</v>
      </c>
      <c r="C922" s="18" t="n">
        <v>8.95758826287218</v>
      </c>
      <c r="D922" s="18" t="n">
        <v>5.23260601255102</v>
      </c>
      <c r="E922" s="18" t="n">
        <v>6.99999965041434</v>
      </c>
      <c r="F922" s="18" t="n">
        <v>8.19301771446682</v>
      </c>
      <c r="G922" s="18" t="n">
        <v>4.44873430005054</v>
      </c>
      <c r="H922" s="18" t="n">
        <v>4.82259403981656</v>
      </c>
      <c r="I922" s="18" t="n">
        <v>4.75000000005285</v>
      </c>
      <c r="J922" s="18" t="n">
        <v>4.70202632928184</v>
      </c>
    </row>
    <row r="923" customFormat="false" ht="15" hidden="false" customHeight="false" outlineLevel="0" collapsed="false">
      <c r="A923" s="28" t="n">
        <v>91810.8012707377</v>
      </c>
      <c r="B923" s="29" t="n">
        <v>7</v>
      </c>
      <c r="C923" s="18" t="n">
        <v>4.70209613998795</v>
      </c>
      <c r="D923" s="18" t="n">
        <v>5.28221309181501</v>
      </c>
      <c r="E923" s="18" t="n">
        <v>6.99999969443121</v>
      </c>
      <c r="F923" s="18" t="n">
        <v>5.49198018593674</v>
      </c>
      <c r="G923" s="18" t="n">
        <v>4.94854066954418</v>
      </c>
      <c r="H923" s="18" t="n">
        <v>4.8450504195823</v>
      </c>
      <c r="I923" s="18" t="n">
        <v>4.7500000000462</v>
      </c>
      <c r="J923" s="18" t="n">
        <v>4.78302465850524</v>
      </c>
    </row>
    <row r="924" customFormat="false" ht="15" hidden="false" customHeight="false" outlineLevel="0" collapsed="false">
      <c r="A924" s="28" t="n">
        <v>91910.8130368279</v>
      </c>
      <c r="B924" s="29" t="n">
        <v>7</v>
      </c>
      <c r="C924" s="18" t="n">
        <v>4.71330157732722</v>
      </c>
      <c r="D924" s="18" t="n">
        <v>8.60500377895946</v>
      </c>
      <c r="E924" s="18" t="n">
        <v>6.99999973290602</v>
      </c>
      <c r="F924" s="18" t="n">
        <v>5.51185504810494</v>
      </c>
      <c r="G924" s="18" t="n">
        <v>5.04830623234275</v>
      </c>
      <c r="H924" s="18" t="n">
        <v>4.69302934290154</v>
      </c>
      <c r="I924" s="18" t="n">
        <v>4.75000000004038</v>
      </c>
      <c r="J924" s="18" t="n">
        <v>4.8010485286457</v>
      </c>
    </row>
    <row r="925" customFormat="false" ht="15" hidden="false" customHeight="false" outlineLevel="0" collapsed="false">
      <c r="A925" s="28" t="n">
        <v>92010.824802918</v>
      </c>
      <c r="B925" s="29" t="n">
        <v>7</v>
      </c>
      <c r="C925" s="18" t="n">
        <v>8.92069873728485</v>
      </c>
      <c r="D925" s="18" t="n">
        <v>8.83678571091552</v>
      </c>
      <c r="E925" s="18" t="n">
        <v>6.99999976653642</v>
      </c>
      <c r="F925" s="18" t="n">
        <v>8.22662220456928</v>
      </c>
      <c r="G925" s="18" t="n">
        <v>4.66239034965226</v>
      </c>
      <c r="H925" s="18" t="n">
        <v>4.65352848714785</v>
      </c>
      <c r="I925" s="18" t="n">
        <v>4.7500000000353</v>
      </c>
      <c r="J925" s="18" t="n">
        <v>4.73865232254193</v>
      </c>
    </row>
    <row r="926" customFormat="false" ht="15" hidden="false" customHeight="false" outlineLevel="0" collapsed="false">
      <c r="A926" s="28" t="n">
        <v>92110.8365690081</v>
      </c>
      <c r="B926" s="29" t="n">
        <v>7</v>
      </c>
      <c r="C926" s="18" t="n">
        <v>9.43735773158377</v>
      </c>
      <c r="D926" s="18" t="n">
        <v>5.68106832832093</v>
      </c>
      <c r="E926" s="18" t="n">
        <v>6.99999979593219</v>
      </c>
      <c r="F926" s="18" t="n">
        <v>8.65752836636605</v>
      </c>
      <c r="G926" s="18" t="n">
        <v>4.47064067132967</v>
      </c>
      <c r="H926" s="18" t="n">
        <v>4.75601941124139</v>
      </c>
      <c r="I926" s="18" t="n">
        <v>4.75000000003085</v>
      </c>
      <c r="J926" s="18" t="n">
        <v>4.70298145106025</v>
      </c>
    </row>
    <row r="927" customFormat="false" ht="15" hidden="false" customHeight="false" outlineLevel="0" collapsed="false">
      <c r="A927" s="28" t="n">
        <v>92210.8483350982</v>
      </c>
      <c r="B927" s="29" t="n">
        <v>7</v>
      </c>
      <c r="C927" s="18" t="n">
        <v>8.52712040114995</v>
      </c>
      <c r="D927" s="18" t="n">
        <v>5.08319623335906</v>
      </c>
      <c r="E927" s="18" t="n">
        <v>6.9999998216267</v>
      </c>
      <c r="F927" s="18" t="n">
        <v>7.78417022716197</v>
      </c>
      <c r="G927" s="18" t="n">
        <v>4.45935286837355</v>
      </c>
      <c r="H927" s="18" t="n">
        <v>4.84484926836012</v>
      </c>
      <c r="I927" s="18" t="n">
        <v>4.75000000002697</v>
      </c>
      <c r="J927" s="18" t="n">
        <v>4.70592278061959</v>
      </c>
    </row>
    <row r="928" customFormat="false" ht="15" hidden="false" customHeight="false" outlineLevel="0" collapsed="false">
      <c r="A928" s="28" t="n">
        <v>92310.8601011884</v>
      </c>
      <c r="B928" s="29" t="n">
        <v>7</v>
      </c>
      <c r="C928" s="18" t="n">
        <v>4.59785464956916</v>
      </c>
      <c r="D928" s="18" t="n">
        <v>7.05112765231366</v>
      </c>
      <c r="E928" s="18" t="n">
        <v>6.99999984408582</v>
      </c>
      <c r="F928" s="18" t="n">
        <v>5.39449430826403</v>
      </c>
      <c r="G928" s="18" t="n">
        <v>4.97942774208341</v>
      </c>
      <c r="H928" s="18" t="n">
        <v>4.82345206783871</v>
      </c>
      <c r="I928" s="18" t="n">
        <v>4.75000000002357</v>
      </c>
      <c r="J928" s="18" t="n">
        <v>4.7893310122337</v>
      </c>
    </row>
    <row r="929" customFormat="false" ht="15" hidden="false" customHeight="false" outlineLevel="0" collapsed="false">
      <c r="A929" s="28" t="n">
        <v>92410.8718672785</v>
      </c>
      <c r="B929" s="29" t="n">
        <v>7</v>
      </c>
      <c r="C929" s="18" t="n">
        <v>4.8408861923861</v>
      </c>
      <c r="D929" s="18" t="n">
        <v>8.92721946508738</v>
      </c>
      <c r="E929" s="18" t="n">
        <v>6.99999986371713</v>
      </c>
      <c r="F929" s="18" t="n">
        <v>5.64981512567816</v>
      </c>
      <c r="G929" s="18" t="n">
        <v>5.05241859073117</v>
      </c>
      <c r="H929" s="18" t="n">
        <v>4.66176762952581</v>
      </c>
      <c r="I929" s="18" t="n">
        <v>4.7500000000206</v>
      </c>
      <c r="J929" s="18" t="n">
        <v>4.80069882037322</v>
      </c>
    </row>
    <row r="930" customFormat="false" ht="15" hidden="false" customHeight="false" outlineLevel="0" collapsed="false">
      <c r="A930" s="28" t="n">
        <v>92510.8836333686</v>
      </c>
      <c r="B930" s="29" t="n">
        <v>7</v>
      </c>
      <c r="C930" s="18" t="n">
        <v>9.1508605959951</v>
      </c>
      <c r="D930" s="18" t="n">
        <v>8.33711526302582</v>
      </c>
      <c r="E930" s="18" t="n">
        <v>6.99999988087665</v>
      </c>
      <c r="F930" s="18" t="n">
        <v>8.42398968468335</v>
      </c>
      <c r="G930" s="18" t="n">
        <v>4.59086266704088</v>
      </c>
      <c r="H930" s="18" t="n">
        <v>4.66259473224287</v>
      </c>
      <c r="I930" s="18" t="n">
        <v>4.75000000001801</v>
      </c>
      <c r="J930" s="18" t="n">
        <v>4.7258991693869</v>
      </c>
    </row>
    <row r="931" customFormat="false" ht="15" hidden="false" customHeight="false" outlineLevel="0" collapsed="false">
      <c r="A931" s="28" t="n">
        <v>92610.8953994588</v>
      </c>
      <c r="B931" s="29" t="n">
        <v>7</v>
      </c>
      <c r="C931" s="18" t="n">
        <v>9.37479135500803</v>
      </c>
      <c r="D931" s="18" t="n">
        <v>5.15916912974237</v>
      </c>
      <c r="E931" s="18" t="n">
        <v>6.99999989587552</v>
      </c>
      <c r="F931" s="18" t="n">
        <v>8.59991788828233</v>
      </c>
      <c r="G931" s="18" t="n">
        <v>4.45949777712365</v>
      </c>
      <c r="H931" s="18" t="n">
        <v>4.82892562842403</v>
      </c>
      <c r="I931" s="18" t="n">
        <v>4.75000000001574</v>
      </c>
      <c r="J931" s="18" t="n">
        <v>4.70126120053892</v>
      </c>
    </row>
    <row r="932" customFormat="false" ht="15" hidden="false" customHeight="false" outlineLevel="0" collapsed="false">
      <c r="A932" s="28" t="n">
        <v>92710.9071655489</v>
      </c>
      <c r="B932" s="29" t="n">
        <v>7</v>
      </c>
      <c r="C932" s="18" t="n">
        <v>5.60904329105374</v>
      </c>
      <c r="D932" s="18" t="n">
        <v>5.34877545453982</v>
      </c>
      <c r="E932" s="18" t="n">
        <v>6.99999990898597</v>
      </c>
      <c r="F932" s="18" t="n">
        <v>6.38789390502911</v>
      </c>
      <c r="G932" s="18" t="n">
        <v>4.49858354347125</v>
      </c>
      <c r="H932" s="18" t="n">
        <v>4.84404286436118</v>
      </c>
      <c r="I932" s="18" t="n">
        <v>4.75000000001376</v>
      </c>
      <c r="J932" s="18" t="n">
        <v>4.71658582494969</v>
      </c>
    </row>
    <row r="933" customFormat="false" ht="15" hidden="false" customHeight="false" outlineLevel="0" collapsed="false">
      <c r="A933" s="28" t="n">
        <v>92810.918931639</v>
      </c>
      <c r="B933" s="29" t="n">
        <v>7</v>
      </c>
      <c r="C933" s="18" t="n">
        <v>4.52651928508644</v>
      </c>
      <c r="D933" s="18" t="n">
        <v>8.68661645263823</v>
      </c>
      <c r="E933" s="18" t="n">
        <v>6.99999992044573</v>
      </c>
      <c r="F933" s="18" t="n">
        <v>5.3357435375885</v>
      </c>
      <c r="G933" s="18" t="n">
        <v>5.00611502492242</v>
      </c>
      <c r="H933" s="18" t="n">
        <v>4.68541845242601</v>
      </c>
      <c r="I933" s="18" t="n">
        <v>4.75000000001203</v>
      </c>
      <c r="J933" s="18" t="n">
        <v>4.79447027661946</v>
      </c>
    </row>
    <row r="934" customFormat="false" ht="15" hidden="false" customHeight="false" outlineLevel="0" collapsed="false">
      <c r="A934" s="28" t="n">
        <v>92910.9306977291</v>
      </c>
      <c r="B934" s="29" t="n">
        <v>7</v>
      </c>
      <c r="C934" s="18" t="n">
        <v>5.04251050680646</v>
      </c>
      <c r="D934" s="18" t="n">
        <v>8.81223953188609</v>
      </c>
      <c r="E934" s="18" t="n">
        <v>6.99999993046253</v>
      </c>
      <c r="F934" s="18" t="n">
        <v>5.87989500249323</v>
      </c>
      <c r="G934" s="18" t="n">
        <v>5.0513721551883</v>
      </c>
      <c r="H934" s="18" t="n">
        <v>4.65341175690363</v>
      </c>
      <c r="I934" s="18" t="n">
        <v>4.75000000001051</v>
      </c>
      <c r="J934" s="18" t="n">
        <v>4.7988724433379</v>
      </c>
    </row>
    <row r="935" customFormat="false" ht="15" hidden="false" customHeight="false" outlineLevel="0" collapsed="false">
      <c r="A935" s="28" t="n">
        <v>93010.9424638193</v>
      </c>
      <c r="B935" s="29" t="n">
        <v>7</v>
      </c>
      <c r="C935" s="18" t="n">
        <v>9.29752961702396</v>
      </c>
      <c r="D935" s="18" t="n">
        <v>5.57604497011502</v>
      </c>
      <c r="E935" s="18" t="n">
        <v>6.99999993921812</v>
      </c>
      <c r="F935" s="18" t="n">
        <v>8.55268924802998</v>
      </c>
      <c r="G935" s="18" t="n">
        <v>4.55148790000812</v>
      </c>
      <c r="H935" s="18" t="n">
        <v>4.78310637943746</v>
      </c>
      <c r="I935" s="18" t="n">
        <v>4.75000000000919</v>
      </c>
      <c r="J935" s="18" t="n">
        <v>4.71808968512501</v>
      </c>
    </row>
    <row r="936" customFormat="false" ht="15" hidden="false" customHeight="false" outlineLevel="0" collapsed="false">
      <c r="A936" s="28" t="n">
        <v>93110.9542299094</v>
      </c>
      <c r="B936" s="29" t="n">
        <v>7</v>
      </c>
      <c r="C936" s="18" t="n">
        <v>9.28602716520739</v>
      </c>
      <c r="D936" s="18" t="n">
        <v>5.09685679218003</v>
      </c>
      <c r="E936" s="18" t="n">
        <v>6.9999999468713</v>
      </c>
      <c r="F936" s="18" t="n">
        <v>8.5148357549348</v>
      </c>
      <c r="G936" s="18" t="n">
        <v>4.45185131554601</v>
      </c>
      <c r="H936" s="18" t="n">
        <v>4.84620040180207</v>
      </c>
      <c r="I936" s="18" t="n">
        <v>4.75000000000803</v>
      </c>
      <c r="J936" s="18" t="n">
        <v>4.70044872799145</v>
      </c>
    </row>
    <row r="937" customFormat="false" ht="15" hidden="false" customHeight="false" outlineLevel="0" collapsed="false">
      <c r="A937" s="28" t="n">
        <v>93210.9659959995</v>
      </c>
      <c r="B937" s="29" t="n">
        <v>7</v>
      </c>
      <c r="C937" s="18" t="n">
        <v>5.0799332485416</v>
      </c>
      <c r="D937" s="18" t="n">
        <v>7.73980991790305</v>
      </c>
      <c r="E937" s="18" t="n">
        <v>6.99999995356103</v>
      </c>
      <c r="F937" s="18" t="n">
        <v>5.86440881328175</v>
      </c>
      <c r="G937" s="18" t="n">
        <v>4.83733433209012</v>
      </c>
      <c r="H937" s="18" t="n">
        <v>4.81743984997621</v>
      </c>
      <c r="I937" s="18" t="n">
        <v>4.75000000000702</v>
      </c>
      <c r="J937" s="18" t="n">
        <v>4.75776568297818</v>
      </c>
    </row>
    <row r="938" customFormat="false" ht="15" hidden="false" customHeight="false" outlineLevel="0" collapsed="false">
      <c r="A938" s="28" t="n">
        <v>93310.9777620897</v>
      </c>
      <c r="B938" s="29" t="n">
        <v>7</v>
      </c>
      <c r="C938" s="18" t="n">
        <v>4.56161385671031</v>
      </c>
      <c r="D938" s="18" t="n">
        <v>8.94053252322754</v>
      </c>
      <c r="E938" s="18" t="n">
        <v>6.99999995940841</v>
      </c>
      <c r="F938" s="18" t="n">
        <v>5.35921871222477</v>
      </c>
      <c r="G938" s="18" t="n">
        <v>5.02952189884328</v>
      </c>
      <c r="H938" s="18" t="n">
        <v>4.65981945921374</v>
      </c>
      <c r="I938" s="18" t="n">
        <v>4.75000000000614</v>
      </c>
      <c r="J938" s="18" t="n">
        <v>4.79859475533982</v>
      </c>
    </row>
    <row r="939" customFormat="false" ht="15" hidden="false" customHeight="false" outlineLevel="0" collapsed="false">
      <c r="A939" s="28" t="n">
        <v>93410.9895281798</v>
      </c>
      <c r="B939" s="29" t="n">
        <v>7</v>
      </c>
      <c r="C939" s="18" t="n">
        <v>5.47444218217984</v>
      </c>
      <c r="D939" s="18" t="n">
        <v>8.18612487009007</v>
      </c>
      <c r="E939" s="18" t="n">
        <v>6.99999996451955</v>
      </c>
      <c r="F939" s="18" t="n">
        <v>6.45413125207001</v>
      </c>
      <c r="G939" s="18" t="n">
        <v>5.0406993474534</v>
      </c>
      <c r="H939" s="18" t="n">
        <v>4.66552229435141</v>
      </c>
      <c r="I939" s="18" t="n">
        <v>4.75000000000537</v>
      </c>
      <c r="J939" s="18" t="n">
        <v>4.7941434282078</v>
      </c>
    </row>
    <row r="940" customFormat="false" ht="15" hidden="false" customHeight="false" outlineLevel="0" collapsed="false">
      <c r="A940" s="28" t="n">
        <v>93511.0012942699</v>
      </c>
      <c r="B940" s="29" t="n">
        <v>7</v>
      </c>
      <c r="C940" s="18" t="n">
        <v>9.4014271796987</v>
      </c>
      <c r="D940" s="18" t="n">
        <v>5.1289785222458</v>
      </c>
      <c r="E940" s="18" t="n">
        <v>6.99999996898704</v>
      </c>
      <c r="F940" s="18" t="n">
        <v>8.64096123771076</v>
      </c>
      <c r="G940" s="18" t="n">
        <v>4.52064938999059</v>
      </c>
      <c r="H940" s="18" t="n">
        <v>4.83237857342007</v>
      </c>
      <c r="I940" s="18" t="n">
        <v>4.75000000000469</v>
      </c>
      <c r="J940" s="18" t="n">
        <v>4.71200816636739</v>
      </c>
    </row>
    <row r="941" customFormat="false" ht="15" hidden="false" customHeight="false" outlineLevel="0" collapsed="false">
      <c r="A941" s="28" t="n">
        <v>93611.01306036</v>
      </c>
      <c r="B941" s="29" t="n">
        <v>7</v>
      </c>
      <c r="C941" s="18" t="n">
        <v>9.1587385534822</v>
      </c>
      <c r="D941" s="18" t="n">
        <v>5.45902166127767</v>
      </c>
      <c r="E941" s="18" t="n">
        <v>6.99999997289201</v>
      </c>
      <c r="F941" s="18" t="n">
        <v>8.39052811471443</v>
      </c>
      <c r="G941" s="18" t="n">
        <v>4.44771902506241</v>
      </c>
      <c r="H941" s="18" t="n">
        <v>4.84160311214993</v>
      </c>
      <c r="I941" s="18" t="n">
        <v>4.7500000000041</v>
      </c>
      <c r="J941" s="18" t="n">
        <v>4.70056883574665</v>
      </c>
    </row>
    <row r="942" customFormat="false" ht="15" hidden="false" customHeight="false" outlineLevel="0" collapsed="false">
      <c r="A942" s="28" t="n">
        <v>93711.0248264502</v>
      </c>
      <c r="B942" s="29" t="n">
        <v>7</v>
      </c>
      <c r="C942" s="18" t="n">
        <v>4.84917390732383</v>
      </c>
      <c r="D942" s="18" t="n">
        <v>8.76177335051049</v>
      </c>
      <c r="E942" s="18" t="n">
        <v>6.99999997630531</v>
      </c>
      <c r="F942" s="18" t="n">
        <v>5.63516171319147</v>
      </c>
      <c r="G942" s="18" t="n">
        <v>4.90909852238619</v>
      </c>
      <c r="H942" s="18" t="n">
        <v>4.67791773180093</v>
      </c>
      <c r="I942" s="18" t="n">
        <v>4.75000000000358</v>
      </c>
      <c r="J942" s="18" t="n">
        <v>4.77445541684744</v>
      </c>
    </row>
    <row r="943" customFormat="false" ht="15" hidden="false" customHeight="false" outlineLevel="0" collapsed="false">
      <c r="A943" s="28" t="n">
        <v>93811.0365925403</v>
      </c>
      <c r="B943" s="29" t="n">
        <v>7</v>
      </c>
      <c r="C943" s="18" t="n">
        <v>4.62432441253804</v>
      </c>
      <c r="D943" s="18" t="n">
        <v>8.72370117047509</v>
      </c>
      <c r="E943" s="18" t="n">
        <v>6.99999997928884</v>
      </c>
      <c r="F943" s="18" t="n">
        <v>5.41972274163611</v>
      </c>
      <c r="G943" s="18" t="n">
        <v>5.04067059936656</v>
      </c>
      <c r="H943" s="18" t="n">
        <v>4.65486736517594</v>
      </c>
      <c r="I943" s="18" t="n">
        <v>4.75000000000313</v>
      </c>
      <c r="J943" s="18" t="n">
        <v>4.80038280411981</v>
      </c>
    </row>
    <row r="944" customFormat="false" ht="15" hidden="false" customHeight="false" outlineLevel="0" collapsed="false">
      <c r="A944" s="28" t="n">
        <v>93911.0483586304</v>
      </c>
      <c r="B944" s="29" t="n">
        <v>7</v>
      </c>
      <c r="C944" s="18" t="n">
        <v>8.39371388865965</v>
      </c>
      <c r="D944" s="18" t="n">
        <v>5.40386583433385</v>
      </c>
      <c r="E944" s="18" t="n">
        <v>6.99999998189674</v>
      </c>
      <c r="F944" s="18" t="n">
        <v>7.84236346673289</v>
      </c>
      <c r="G944" s="18" t="n">
        <v>5.00129338033934</v>
      </c>
      <c r="H944" s="18" t="n">
        <v>4.80600150376429</v>
      </c>
      <c r="I944" s="18" t="n">
        <v>4.75000000000274</v>
      </c>
      <c r="J944" s="18" t="n">
        <v>4.77895081816442</v>
      </c>
    </row>
    <row r="945" customFormat="false" ht="15" hidden="false" customHeight="false" outlineLevel="0" collapsed="false">
      <c r="A945" s="28" t="n">
        <v>94011.0601247206</v>
      </c>
      <c r="B945" s="29" t="n">
        <v>7</v>
      </c>
      <c r="C945" s="18" t="n">
        <v>9.4724472625237</v>
      </c>
      <c r="D945" s="18" t="n">
        <v>5.15700261192531</v>
      </c>
      <c r="E945" s="18" t="n">
        <v>6.99999998417621</v>
      </c>
      <c r="F945" s="18" t="n">
        <v>8.68693658509017</v>
      </c>
      <c r="G945" s="18" t="n">
        <v>4.49400546914924</v>
      </c>
      <c r="H945" s="18" t="n">
        <v>4.84654745841019</v>
      </c>
      <c r="I945" s="18" t="n">
        <v>4.75000000000239</v>
      </c>
      <c r="J945" s="18" t="n">
        <v>4.70692745523916</v>
      </c>
    </row>
    <row r="946" customFormat="false" ht="15" hidden="false" customHeight="false" outlineLevel="0" collapsed="false">
      <c r="A946" s="28" t="n">
        <v>94111.0718908107</v>
      </c>
      <c r="B946" s="29" t="n">
        <v>7</v>
      </c>
      <c r="C946" s="18" t="n">
        <v>8.95758826287218</v>
      </c>
      <c r="D946" s="18" t="n">
        <v>8.29467559713443</v>
      </c>
      <c r="E946" s="18" t="n">
        <v>6.99999998616861</v>
      </c>
      <c r="F946" s="18" t="n">
        <v>8.19301772343686</v>
      </c>
      <c r="G946" s="18" t="n">
        <v>4.4487343000506</v>
      </c>
      <c r="H946" s="18" t="n">
        <v>4.75497489052698</v>
      </c>
      <c r="I946" s="18" t="n">
        <v>4.75000000000209</v>
      </c>
      <c r="J946" s="18" t="n">
        <v>4.70202632920587</v>
      </c>
    </row>
    <row r="947" customFormat="false" ht="15" hidden="false" customHeight="false" outlineLevel="0" collapsed="false">
      <c r="A947" s="28" t="n">
        <v>94211.0836569008</v>
      </c>
      <c r="B947" s="29" t="n">
        <v>7</v>
      </c>
      <c r="C947" s="18" t="n">
        <v>4.70209613998792</v>
      </c>
      <c r="D947" s="18" t="n">
        <v>8.92471399537157</v>
      </c>
      <c r="E947" s="18" t="n">
        <v>6.99999998791017</v>
      </c>
      <c r="F947" s="18" t="n">
        <v>5.49198019011102</v>
      </c>
      <c r="G947" s="18" t="n">
        <v>4.94854066954419</v>
      </c>
      <c r="H947" s="18" t="n">
        <v>4.65559749509134</v>
      </c>
      <c r="I947" s="18" t="n">
        <v>4.75000000000183</v>
      </c>
      <c r="J947" s="18" t="n">
        <v>4.78302465827542</v>
      </c>
    </row>
    <row r="948" customFormat="false" ht="15" hidden="false" customHeight="false" outlineLevel="0" collapsed="false">
      <c r="A948" s="28" t="n">
        <v>94311.0954229909</v>
      </c>
      <c r="B948" s="29" t="n">
        <v>7</v>
      </c>
      <c r="C948" s="18" t="n">
        <v>4.71330157732721</v>
      </c>
      <c r="D948" s="18" t="n">
        <v>7.37388093497719</v>
      </c>
      <c r="E948" s="18" t="n">
        <v>6.99999998943257</v>
      </c>
      <c r="F948" s="18" t="n">
        <v>5.5118550454896</v>
      </c>
      <c r="G948" s="18" t="n">
        <v>5.04830623234275</v>
      </c>
      <c r="H948" s="18" t="n">
        <v>4.67443981492484</v>
      </c>
      <c r="I948" s="18" t="n">
        <v>4.7500000000016</v>
      </c>
      <c r="J948" s="18" t="n">
        <v>4.80104852862855</v>
      </c>
    </row>
    <row r="949" customFormat="false" ht="15" hidden="false" customHeight="false" outlineLevel="0" collapsed="false">
      <c r="A949" s="28" t="n">
        <v>94411.1071890811</v>
      </c>
      <c r="B949" s="29" t="n">
        <v>7</v>
      </c>
      <c r="C949" s="18" t="n">
        <v>8.92069873728485</v>
      </c>
      <c r="D949" s="18" t="n">
        <v>5.07863644054884</v>
      </c>
      <c r="E949" s="18" t="n">
        <v>6.99999999076317</v>
      </c>
      <c r="F949" s="18" t="n">
        <v>8.22662219792486</v>
      </c>
      <c r="G949" s="18" t="n">
        <v>4.66239034965227</v>
      </c>
      <c r="H949" s="18" t="n">
        <v>4.83723178700715</v>
      </c>
      <c r="I949" s="18" t="n">
        <v>4.7500000000014</v>
      </c>
      <c r="J949" s="18" t="n">
        <v>4.73865232301909</v>
      </c>
    </row>
    <row r="950" customFormat="false" ht="15" hidden="false" customHeight="false" outlineLevel="0" collapsed="false">
      <c r="A950" s="28" t="n">
        <v>94511.1189551712</v>
      </c>
      <c r="B950" s="29" t="n">
        <v>7</v>
      </c>
      <c r="C950" s="18" t="n">
        <v>9.43735773158175</v>
      </c>
      <c r="D950" s="18" t="n">
        <v>5.58805272292914</v>
      </c>
      <c r="E950" s="18" t="n">
        <v>6.99999999192632</v>
      </c>
      <c r="F950" s="18" t="n">
        <v>8.65752836701843</v>
      </c>
      <c r="G950" s="18" t="n">
        <v>4.47064067132941</v>
      </c>
      <c r="H950" s="18" t="n">
        <v>4.8390362706382</v>
      </c>
      <c r="I950" s="18" t="n">
        <v>4.75000000000122</v>
      </c>
      <c r="J950" s="18" t="n">
        <v>4.70298145111908</v>
      </c>
    </row>
    <row r="951" customFormat="false" ht="15" hidden="false" customHeight="false" outlineLevel="0" collapsed="false">
      <c r="A951" s="28" t="n">
        <v>94611.1307212613</v>
      </c>
      <c r="B951" s="29" t="n">
        <v>7</v>
      </c>
      <c r="C951" s="18" t="n">
        <v>8.52712040114937</v>
      </c>
      <c r="D951" s="18" t="n">
        <v>8.82001885249284</v>
      </c>
      <c r="E951" s="18" t="n">
        <v>6.99999999294276</v>
      </c>
      <c r="F951" s="18" t="n">
        <v>7.78417024041386</v>
      </c>
      <c r="G951" s="18" t="n">
        <v>4.45935286837355</v>
      </c>
      <c r="H951" s="18" t="n">
        <v>4.67300932622275</v>
      </c>
      <c r="I951" s="18" t="n">
        <v>4.75000000000107</v>
      </c>
      <c r="J951" s="18" t="n">
        <v>4.70592278050603</v>
      </c>
    </row>
    <row r="952" customFormat="false" ht="15" hidden="false" customHeight="false" outlineLevel="0" collapsed="false">
      <c r="A952" s="28" t="n">
        <v>94711.1424873515</v>
      </c>
      <c r="B952" s="29" t="n">
        <v>7</v>
      </c>
      <c r="C952" s="18" t="n">
        <v>4.59785464956916</v>
      </c>
      <c r="D952" s="18" t="n">
        <v>8.6815797936332</v>
      </c>
      <c r="E952" s="18" t="n">
        <v>6.99999999383105</v>
      </c>
      <c r="F952" s="18" t="n">
        <v>5.39449430986803</v>
      </c>
      <c r="G952" s="18" t="n">
        <v>4.97942774208342</v>
      </c>
      <c r="H952" s="18" t="n">
        <v>4.65540613103459</v>
      </c>
      <c r="I952" s="18" t="n">
        <v>4.75000000000093</v>
      </c>
      <c r="J952" s="18" t="n">
        <v>4.78933101213332</v>
      </c>
    </row>
    <row r="953" customFormat="false" ht="15" hidden="false" customHeight="false" outlineLevel="0" collapsed="false">
      <c r="A953" s="28" t="n">
        <v>94811.1542534416</v>
      </c>
      <c r="B953" s="29" t="n">
        <v>7</v>
      </c>
      <c r="C953" s="18" t="n">
        <v>4.84088619238615</v>
      </c>
      <c r="D953" s="18" t="n">
        <v>5.34403962684653</v>
      </c>
      <c r="E953" s="18" t="n">
        <v>6.99999999460758</v>
      </c>
      <c r="F953" s="18" t="n">
        <v>5.64981512330694</v>
      </c>
      <c r="G953" s="18" t="n">
        <v>5.05241859073117</v>
      </c>
      <c r="H953" s="18" t="n">
        <v>4.81183909558006</v>
      </c>
      <c r="I953" s="18" t="n">
        <v>4.75000000000082</v>
      </c>
      <c r="J953" s="18" t="n">
        <v>4.80069882038119</v>
      </c>
    </row>
    <row r="954" customFormat="false" ht="15" hidden="false" customHeight="false" outlineLevel="0" collapsed="false">
      <c r="A954" s="28" t="n">
        <v>94911.1660195317</v>
      </c>
      <c r="B954" s="29" t="n">
        <v>7</v>
      </c>
      <c r="C954" s="18" t="n">
        <v>9.1508605959951</v>
      </c>
      <c r="D954" s="18" t="n">
        <v>5.17960258793122</v>
      </c>
      <c r="E954" s="18" t="n">
        <v>6.9999999952865</v>
      </c>
      <c r="F954" s="18" t="n">
        <v>8.42398968237055</v>
      </c>
      <c r="G954" s="18" t="n">
        <v>4.59086266704087</v>
      </c>
      <c r="H954" s="18" t="n">
        <v>4.84654177204906</v>
      </c>
      <c r="I954" s="18" t="n">
        <v>4.75000000000071</v>
      </c>
      <c r="J954" s="18" t="n">
        <v>4.72589916951458</v>
      </c>
    </row>
    <row r="955" customFormat="false" ht="15" hidden="false" customHeight="false" outlineLevel="0" collapsed="false">
      <c r="A955" s="28" t="n">
        <v>95011.1777856218</v>
      </c>
      <c r="B955" s="29" t="n">
        <v>7</v>
      </c>
      <c r="C955" s="18" t="n">
        <v>9.37479135500803</v>
      </c>
      <c r="D955" s="18" t="n">
        <v>8.39186876306256</v>
      </c>
      <c r="E955" s="18" t="n">
        <v>6.99999999587976</v>
      </c>
      <c r="F955" s="18" t="n">
        <v>8.59991788897015</v>
      </c>
      <c r="G955" s="18" t="n">
        <v>4.45949777712342</v>
      </c>
      <c r="H955" s="18" t="n">
        <v>4.72292263068733</v>
      </c>
      <c r="I955" s="18" t="n">
        <v>4.75000000000062</v>
      </c>
      <c r="J955" s="18" t="n">
        <v>4.701261200557</v>
      </c>
    </row>
    <row r="956" customFormat="false" ht="15" hidden="false" customHeight="false" outlineLevel="0" collapsed="false">
      <c r="A956" s="28" t="n">
        <v>95111.189551712</v>
      </c>
      <c r="B956" s="29" t="n">
        <v>7</v>
      </c>
      <c r="C956" s="18" t="n">
        <v>5.60904329105375</v>
      </c>
      <c r="D956" s="18" t="n">
        <v>8.90472385746076</v>
      </c>
      <c r="E956" s="18" t="n">
        <v>6.99999999639825</v>
      </c>
      <c r="F956" s="18" t="n">
        <v>6.3878939159511</v>
      </c>
      <c r="G956" s="18" t="n">
        <v>4.49858354347117</v>
      </c>
      <c r="H956" s="18" t="n">
        <v>4.65417467168382</v>
      </c>
      <c r="I956" s="18" t="n">
        <v>4.75000000000054</v>
      </c>
      <c r="J956" s="18" t="n">
        <v>4.71658582474017</v>
      </c>
    </row>
    <row r="957" customFormat="false" ht="15" hidden="false" customHeight="false" outlineLevel="0" collapsed="false">
      <c r="A957" s="28" t="n">
        <v>95211.2013178021</v>
      </c>
      <c r="B957" s="29" t="n">
        <v>7</v>
      </c>
      <c r="C957" s="18" t="n">
        <v>4.52651928508641</v>
      </c>
      <c r="D957" s="18" t="n">
        <v>6.3566356844439</v>
      </c>
      <c r="E957" s="18" t="n">
        <v>6.99999999685159</v>
      </c>
      <c r="F957" s="18" t="n">
        <v>5.33574353797352</v>
      </c>
      <c r="G957" s="18" t="n">
        <v>5.00611502492242</v>
      </c>
      <c r="H957" s="18" t="n">
        <v>4.68106659813441</v>
      </c>
      <c r="I957" s="18" t="n">
        <v>4.75000000000048</v>
      </c>
      <c r="J957" s="18" t="n">
        <v>4.79447027657358</v>
      </c>
    </row>
    <row r="958" customFormat="false" ht="15" hidden="false" customHeight="false" outlineLevel="0" collapsed="false">
      <c r="A958" s="28" t="n">
        <v>95311.2130838922</v>
      </c>
      <c r="B958" s="29" t="n">
        <v>7</v>
      </c>
      <c r="C958" s="18" t="n">
        <v>5.04251050680637</v>
      </c>
      <c r="D958" s="18" t="n">
        <v>5.06206372585973</v>
      </c>
      <c r="E958" s="18" t="n">
        <v>6.99999999724803</v>
      </c>
      <c r="F958" s="18" t="n">
        <v>5.87989499997548</v>
      </c>
      <c r="G958" s="18" t="n">
        <v>5.05137215518831</v>
      </c>
      <c r="H958" s="18" t="n">
        <v>4.839835932905</v>
      </c>
      <c r="I958" s="18" t="n">
        <v>4.75000000000042</v>
      </c>
      <c r="J958" s="18" t="n">
        <v>4.7988724433584</v>
      </c>
    </row>
    <row r="959" customFormat="false" ht="15" hidden="false" customHeight="false" outlineLevel="0" collapsed="false">
      <c r="A959" s="28" t="n">
        <v>95411.2248499824</v>
      </c>
      <c r="B959" s="29" t="n">
        <v>7</v>
      </c>
      <c r="C959" s="18" t="n">
        <v>9.29752961702396</v>
      </c>
      <c r="D959" s="18" t="n">
        <v>5.79142993495971</v>
      </c>
      <c r="E959" s="18" t="n">
        <v>6.99999999759434</v>
      </c>
      <c r="F959" s="18" t="n">
        <v>8.5526892471273</v>
      </c>
      <c r="G959" s="18" t="n">
        <v>4.55148790000812</v>
      </c>
      <c r="H959" s="18" t="n">
        <v>4.83488064346486</v>
      </c>
      <c r="I959" s="18" t="n">
        <v>4.75000000000036</v>
      </c>
      <c r="J959" s="18" t="n">
        <v>4.71808968517627</v>
      </c>
    </row>
    <row r="960" customFormat="false" ht="15" hidden="false" customHeight="false" outlineLevel="0" collapsed="false">
      <c r="A960" s="28" t="n">
        <v>95511.2366160725</v>
      </c>
      <c r="B960" s="29" t="n">
        <v>7</v>
      </c>
      <c r="C960" s="18" t="n">
        <v>9.28602716520739</v>
      </c>
      <c r="D960" s="18" t="n">
        <v>8.86692077846946</v>
      </c>
      <c r="E960" s="18" t="n">
        <v>6.99999999789705</v>
      </c>
      <c r="F960" s="18" t="n">
        <v>8.51483575553232</v>
      </c>
      <c r="G960" s="18" t="n">
        <v>4.45185131554601</v>
      </c>
      <c r="H960" s="18" t="n">
        <v>4.66800685827869</v>
      </c>
      <c r="I960" s="18" t="n">
        <v>4.75000000000032</v>
      </c>
      <c r="J960" s="18" t="n">
        <v>4.70044872799579</v>
      </c>
    </row>
    <row r="961" customFormat="false" ht="15" hidden="false" customHeight="false" outlineLevel="0" collapsed="false">
      <c r="A961" s="28" t="n">
        <v>95611.2483821626</v>
      </c>
      <c r="B961" s="29" t="n">
        <v>7</v>
      </c>
      <c r="C961" s="18" t="n">
        <v>5.07993324854157</v>
      </c>
      <c r="D961" s="18" t="n">
        <v>8.55050442996363</v>
      </c>
      <c r="E961" s="18" t="n">
        <v>6.99999999816166</v>
      </c>
      <c r="F961" s="18" t="n">
        <v>5.86440881521759</v>
      </c>
      <c r="G961" s="18" t="n">
        <v>4.83733433209013</v>
      </c>
      <c r="H961" s="18" t="n">
        <v>4.65821315302967</v>
      </c>
      <c r="I961" s="18" t="n">
        <v>4.75000000000028</v>
      </c>
      <c r="J961" s="18" t="n">
        <v>4.7577656827964</v>
      </c>
    </row>
    <row r="962" customFormat="false" ht="15" hidden="false" customHeight="false" outlineLevel="0" collapsed="false">
      <c r="A962" s="28" t="n">
        <v>95711.2601482527</v>
      </c>
      <c r="B962" s="29" t="n">
        <v>7</v>
      </c>
      <c r="C962" s="18" t="n">
        <v>4.56161385671032</v>
      </c>
      <c r="D962" s="18" t="n">
        <v>5.24372502186063</v>
      </c>
      <c r="E962" s="18" t="n">
        <v>6.99999999839283</v>
      </c>
      <c r="F962" s="18" t="n">
        <v>5.35921871209205</v>
      </c>
      <c r="G962" s="18" t="n">
        <v>5.02952189884328</v>
      </c>
      <c r="H962" s="18" t="n">
        <v>4.82153799561351</v>
      </c>
      <c r="I962" s="18" t="n">
        <v>4.75000000000024</v>
      </c>
      <c r="J962" s="18" t="n">
        <v>4.79859475532189</v>
      </c>
    </row>
    <row r="963" customFormat="false" ht="15" hidden="false" customHeight="false" outlineLevel="0" collapsed="false">
      <c r="A963" s="28" t="n">
        <v>95811.2719143429</v>
      </c>
      <c r="B963" s="29" t="n">
        <v>7</v>
      </c>
      <c r="C963" s="18" t="n">
        <v>5.47444218217995</v>
      </c>
      <c r="D963" s="18" t="n">
        <v>5.26827280541085</v>
      </c>
      <c r="E963" s="18" t="n">
        <v>6.99999999859481</v>
      </c>
      <c r="F963" s="18" t="n">
        <v>6.45413124680077</v>
      </c>
      <c r="G963" s="18" t="n">
        <v>5.0406993474534</v>
      </c>
      <c r="H963" s="18" t="n">
        <v>4.84529185648785</v>
      </c>
      <c r="I963" s="18" t="n">
        <v>4.75000000000021</v>
      </c>
      <c r="J963" s="18" t="n">
        <v>4.79414342824001</v>
      </c>
    </row>
    <row r="964" customFormat="false" ht="15" hidden="false" customHeight="false" outlineLevel="0" collapsed="false">
      <c r="A964" s="28" t="n">
        <v>95911.283680433</v>
      </c>
      <c r="B964" s="29" t="n">
        <v>7</v>
      </c>
      <c r="C964" s="18" t="n">
        <v>9.40142717970055</v>
      </c>
      <c r="D964" s="18" t="n">
        <v>8.58481018104653</v>
      </c>
      <c r="E964" s="18" t="n">
        <v>6.99999999877148</v>
      </c>
      <c r="F964" s="18" t="n">
        <v>8.64096123736629</v>
      </c>
      <c r="G964" s="18" t="n">
        <v>4.52064938999059</v>
      </c>
      <c r="H964" s="18" t="n">
        <v>4.69530403694866</v>
      </c>
      <c r="I964" s="18" t="n">
        <v>4.75000000000019</v>
      </c>
      <c r="J964" s="18" t="n">
        <v>4.71200816639072</v>
      </c>
    </row>
    <row r="965" customFormat="false" ht="15" hidden="false" customHeight="false" outlineLevel="0" collapsed="false">
      <c r="A965" s="28" t="n">
        <v>96011.2954465231</v>
      </c>
      <c r="B965" s="29" t="n">
        <v>7</v>
      </c>
      <c r="C965" s="18" t="n">
        <v>9.15873855348167</v>
      </c>
      <c r="D965" s="18" t="n">
        <v>8.85260701226756</v>
      </c>
      <c r="E965" s="18" t="n">
        <v>6.99999999892617</v>
      </c>
      <c r="F965" s="18" t="n">
        <v>8.39052811523589</v>
      </c>
      <c r="G965" s="18" t="n">
        <v>4.44771902506241</v>
      </c>
      <c r="H965" s="18" t="n">
        <v>4.65335444971499</v>
      </c>
      <c r="I965" s="18" t="n">
        <v>4.75000000000016</v>
      </c>
      <c r="J965" s="18" t="n">
        <v>4.70056883574513</v>
      </c>
    </row>
    <row r="966" customFormat="false" ht="15" hidden="false" customHeight="false" outlineLevel="0" collapsed="false">
      <c r="A966" s="28" t="n">
        <v>96111.3072126133</v>
      </c>
      <c r="B966" s="29" t="n">
        <v>7</v>
      </c>
      <c r="C966" s="18" t="n">
        <v>4.84917390732388</v>
      </c>
      <c r="D966" s="18" t="n">
        <v>5.74829278023542</v>
      </c>
      <c r="E966" s="18" t="n">
        <v>6.99999999906137</v>
      </c>
      <c r="F966" s="18" t="n">
        <v>5.63516171382007</v>
      </c>
      <c r="G966" s="18" t="n">
        <v>4.90909852238618</v>
      </c>
      <c r="H966" s="18" t="n">
        <v>4.72523786636825</v>
      </c>
      <c r="I966" s="18" t="n">
        <v>4.75000000000014</v>
      </c>
      <c r="J966" s="18" t="n">
        <v>4.77445541681176</v>
      </c>
    </row>
    <row r="967" customFormat="false" ht="15" hidden="false" customHeight="false" outlineLevel="0" collapsed="false">
      <c r="A967" s="28" t="n">
        <v>96211.3189787034</v>
      </c>
      <c r="B967" s="29" t="n">
        <v>7</v>
      </c>
      <c r="C967" s="18" t="n">
        <v>4.62432441253809</v>
      </c>
      <c r="D967" s="18" t="n">
        <v>5.06025898572362</v>
      </c>
      <c r="E967" s="18" t="n">
        <v>6.99999999917957</v>
      </c>
      <c r="F967" s="18" t="n">
        <v>5.41972274147107</v>
      </c>
      <c r="G967" s="18" t="n">
        <v>5.04067059936656</v>
      </c>
      <c r="H967" s="18" t="n">
        <v>4.84366536287748</v>
      </c>
      <c r="I967" s="18" t="n">
        <v>4.75000000000012</v>
      </c>
      <c r="J967" s="18" t="n">
        <v>4.80038280411532</v>
      </c>
    </row>
    <row r="968" customFormat="false" ht="15" hidden="false" customHeight="false" outlineLevel="0" collapsed="false">
      <c r="A968" s="28" t="n">
        <v>96311.3307447935</v>
      </c>
      <c r="B968" s="29" t="n">
        <v>7</v>
      </c>
      <c r="C968" s="18" t="n">
        <v>8.39371388866006</v>
      </c>
      <c r="D968" s="18" t="n">
        <v>6.22181928310402</v>
      </c>
      <c r="E968" s="18" t="n">
        <v>6.99999999928293</v>
      </c>
      <c r="F968" s="18" t="n">
        <v>7.84236346511849</v>
      </c>
      <c r="G968" s="18" t="n">
        <v>5.0012933803393</v>
      </c>
      <c r="H968" s="18" t="n">
        <v>4.82882948147601</v>
      </c>
      <c r="I968" s="18" t="n">
        <v>4.75000000000011</v>
      </c>
      <c r="J968" s="18" t="n">
        <v>4.77895081824779</v>
      </c>
    </row>
    <row r="969" customFormat="false" ht="15" hidden="false" customHeight="false" outlineLevel="0" collapsed="false">
      <c r="A969" s="28" t="n">
        <v>96411.3425108836</v>
      </c>
      <c r="B969" s="29" t="n">
        <v>7</v>
      </c>
      <c r="C969" s="18" t="n">
        <v>9.47244726252588</v>
      </c>
      <c r="D969" s="18" t="n">
        <v>8.90908395608787</v>
      </c>
      <c r="E969" s="18" t="n">
        <v>6.99999999937312</v>
      </c>
      <c r="F969" s="18" t="n">
        <v>8.68693658506602</v>
      </c>
      <c r="G969" s="18" t="n">
        <v>4.49400546914946</v>
      </c>
      <c r="H969" s="18" t="n">
        <v>4.6642035166582</v>
      </c>
      <c r="I969" s="18" t="n">
        <v>4.7500000000001</v>
      </c>
      <c r="J969" s="18" t="n">
        <v>4.70692745524998</v>
      </c>
    </row>
    <row r="970" customFormat="false" ht="15" hidden="false" customHeight="false" outlineLevel="0" collapsed="false">
      <c r="A970" s="28" t="n">
        <v>96511.3542769738</v>
      </c>
      <c r="B970" s="29" t="n">
        <v>7</v>
      </c>
      <c r="C970" s="18" t="n">
        <v>8.95758826287251</v>
      </c>
      <c r="D970" s="18" t="n">
        <v>8.47163390287475</v>
      </c>
      <c r="E970" s="18" t="n">
        <v>6.99999999945209</v>
      </c>
      <c r="F970" s="18" t="n">
        <v>8.19301772394995</v>
      </c>
      <c r="G970" s="18" t="n">
        <v>4.4487343000506</v>
      </c>
      <c r="H970" s="18" t="n">
        <v>4.65970926275822</v>
      </c>
      <c r="I970" s="18" t="n">
        <v>4.75000000000008</v>
      </c>
      <c r="J970" s="18" t="n">
        <v>4.70202632920152</v>
      </c>
    </row>
    <row r="971" customFormat="false" ht="15" hidden="false" customHeight="false" outlineLevel="0" collapsed="false">
      <c r="A971" s="28" t="n">
        <v>96611.3660430639</v>
      </c>
      <c r="B971" s="29" t="n">
        <v>7</v>
      </c>
      <c r="C971" s="18" t="n">
        <v>4.702096139988</v>
      </c>
      <c r="D971" s="18" t="n">
        <v>5.20163026761801</v>
      </c>
      <c r="E971" s="18" t="n">
        <v>6.99999999952099</v>
      </c>
      <c r="F971" s="18" t="n">
        <v>5.49198019034981</v>
      </c>
      <c r="G971" s="18" t="n">
        <v>4.94854066954418</v>
      </c>
      <c r="H971" s="18" t="n">
        <v>4.82518007917957</v>
      </c>
      <c r="I971" s="18" t="n">
        <v>4.75000000000007</v>
      </c>
      <c r="J971" s="18" t="n">
        <v>4.78302465826227</v>
      </c>
    </row>
    <row r="972" customFormat="false" ht="15" hidden="false" customHeight="false" outlineLevel="0" collapsed="false">
      <c r="A972" s="28" t="n">
        <v>96711.377809154</v>
      </c>
      <c r="B972" s="29" t="n">
        <v>7</v>
      </c>
      <c r="C972" s="18" t="n">
        <v>4.71330157732724</v>
      </c>
      <c r="D972" s="18" t="n">
        <v>5.30298509942974</v>
      </c>
      <c r="E972" s="18" t="n">
        <v>6.99999999958147</v>
      </c>
      <c r="F972" s="18" t="n">
        <v>5.51185504534004</v>
      </c>
      <c r="G972" s="18" t="n">
        <v>5.04830623234274</v>
      </c>
      <c r="H972" s="18" t="n">
        <v>4.84480192504366</v>
      </c>
      <c r="I972" s="18" t="n">
        <v>4.75000000000007</v>
      </c>
      <c r="J972" s="18" t="n">
        <v>4.80104852862757</v>
      </c>
    </row>
    <row r="973" customFormat="false" ht="15" hidden="false" customHeight="false" outlineLevel="0" collapsed="false">
      <c r="A973" s="28" t="n">
        <v>96811.3895752442</v>
      </c>
      <c r="B973" s="29" t="n">
        <v>7</v>
      </c>
      <c r="C973" s="18" t="n">
        <v>8.92069873728485</v>
      </c>
      <c r="D973" s="18" t="n">
        <v>8.63589392318281</v>
      </c>
      <c r="E973" s="18" t="n">
        <v>6.99999999963447</v>
      </c>
      <c r="F973" s="18" t="n">
        <v>8.22662219754492</v>
      </c>
      <c r="G973" s="18" t="n">
        <v>4.66239034965225</v>
      </c>
      <c r="H973" s="18" t="n">
        <v>4.68998680691225</v>
      </c>
      <c r="I973" s="18" t="n">
        <v>4.75000000000006</v>
      </c>
      <c r="J973" s="18" t="n">
        <v>4.73865232304638</v>
      </c>
    </row>
    <row r="974" customFormat="false" ht="15" hidden="false" customHeight="false" outlineLevel="0" collapsed="false">
      <c r="A974" s="28" t="n">
        <v>96911.4013413343</v>
      </c>
      <c r="B974" s="29" t="n">
        <v>7</v>
      </c>
      <c r="C974" s="18" t="n">
        <v>9.43735773158377</v>
      </c>
      <c r="D974" s="18" t="n">
        <v>8.82481372167644</v>
      </c>
      <c r="E974" s="18" t="n">
        <v>6.99999999968068</v>
      </c>
      <c r="F974" s="18" t="n">
        <v>8.65752836705571</v>
      </c>
      <c r="G974" s="18" t="n">
        <v>4.47064067132939</v>
      </c>
      <c r="H974" s="18" t="n">
        <v>4.65353570465119</v>
      </c>
      <c r="I974" s="18" t="n">
        <v>4.75000000000005</v>
      </c>
      <c r="J974" s="18" t="n">
        <v>4.70298145112245</v>
      </c>
    </row>
    <row r="975" customFormat="false" ht="15" hidden="false" customHeight="false" outlineLevel="0" collapsed="false">
      <c r="A975" s="28" t="n">
        <v>97011.4131074244</v>
      </c>
      <c r="B975" s="29" t="n">
        <v>7</v>
      </c>
      <c r="C975" s="18" t="n">
        <v>8.52712040114859</v>
      </c>
      <c r="D975" s="18" t="n">
        <v>5.62997499393182</v>
      </c>
      <c r="E975" s="18" t="n">
        <v>6.99999999972078</v>
      </c>
      <c r="F975" s="18" t="n">
        <v>7.78417024117205</v>
      </c>
      <c r="G975" s="18" t="n">
        <v>4.45935286837356</v>
      </c>
      <c r="H975" s="18" t="n">
        <v>4.77216377335173</v>
      </c>
      <c r="I975" s="18" t="n">
        <v>4.75000000000004</v>
      </c>
      <c r="J975" s="18" t="n">
        <v>4.70592278049953</v>
      </c>
    </row>
    <row r="976" customFormat="false" ht="15" hidden="false" customHeight="false" outlineLevel="0" collapsed="false">
      <c r="A976" s="28" t="n">
        <v>97111.4248735145</v>
      </c>
      <c r="B976" s="29" t="n">
        <v>7</v>
      </c>
      <c r="C976" s="18" t="n">
        <v>4.59785464956898</v>
      </c>
      <c r="D976" s="18" t="n">
        <v>5.09302057857936</v>
      </c>
      <c r="E976" s="18" t="n">
        <v>6.9999999997559</v>
      </c>
      <c r="F976" s="18" t="n">
        <v>5.39449430995981</v>
      </c>
      <c r="G976" s="18" t="n">
        <v>4.97942774208344</v>
      </c>
      <c r="H976" s="18" t="n">
        <v>4.84557980411195</v>
      </c>
      <c r="I976" s="18" t="n">
        <v>4.75000000000004</v>
      </c>
      <c r="J976" s="18" t="n">
        <v>4.78933101212758</v>
      </c>
    </row>
    <row r="977" customFormat="false" ht="15" hidden="false" customHeight="false" outlineLevel="0" collapsed="false">
      <c r="A977" s="28" t="n">
        <v>97211.4366396047</v>
      </c>
      <c r="B977" s="29" t="n">
        <v>7</v>
      </c>
      <c r="C977" s="18" t="n">
        <v>4.8408861923861</v>
      </c>
      <c r="D977" s="18" t="n">
        <v>7.5540181154873</v>
      </c>
      <c r="E977" s="18" t="n">
        <v>6.99999999978681</v>
      </c>
      <c r="F977" s="18" t="n">
        <v>5.6498151231713</v>
      </c>
      <c r="G977" s="18" t="n">
        <v>5.05241859073118</v>
      </c>
      <c r="H977" s="18" t="n">
        <v>4.82002401030943</v>
      </c>
      <c r="I977" s="18" t="n">
        <v>4.75000000000003</v>
      </c>
      <c r="J977" s="18" t="n">
        <v>4.80069882038164</v>
      </c>
    </row>
    <row r="978" customFormat="false" ht="15" hidden="false" customHeight="false" outlineLevel="0" collapsed="false">
      <c r="A978" s="28" t="n">
        <v>97311.4484056948</v>
      </c>
      <c r="B978" s="29" t="n">
        <v>7</v>
      </c>
      <c r="C978" s="18" t="n">
        <v>9.1508605959951</v>
      </c>
      <c r="D978" s="18" t="n">
        <v>8.93536096497913</v>
      </c>
      <c r="E978" s="18" t="n">
        <v>6.99999999981397</v>
      </c>
      <c r="F978" s="18" t="n">
        <v>8.42398968223826</v>
      </c>
      <c r="G978" s="18" t="n">
        <v>4.59086266704088</v>
      </c>
      <c r="H978" s="18" t="n">
        <v>4.66047799486847</v>
      </c>
      <c r="I978" s="18" t="n">
        <v>4.75000000000003</v>
      </c>
      <c r="J978" s="18" t="n">
        <v>4.72589916952188</v>
      </c>
    </row>
    <row r="979" customFormat="false" ht="15" hidden="false" customHeight="false" outlineLevel="0" collapsed="false">
      <c r="A979" s="28" t="n">
        <v>97411.4601717849</v>
      </c>
      <c r="B979" s="29" t="n">
        <v>7</v>
      </c>
      <c r="C979" s="18" t="n">
        <v>9.37479135500803</v>
      </c>
      <c r="D979" s="18" t="n">
        <v>8.22979766939468</v>
      </c>
      <c r="E979" s="18" t="n">
        <v>6.99999999983763</v>
      </c>
      <c r="F979" s="18" t="n">
        <v>8.59991788900953</v>
      </c>
      <c r="G979" s="18" t="n">
        <v>4.45949777712341</v>
      </c>
      <c r="H979" s="18" t="n">
        <v>4.66474406668374</v>
      </c>
      <c r="I979" s="18" t="n">
        <v>4.75000000000003</v>
      </c>
      <c r="J979" s="18" t="n">
        <v>4.70126120055803</v>
      </c>
    </row>
    <row r="980" customFormat="false" ht="15" hidden="false" customHeight="false" outlineLevel="0" collapsed="false">
      <c r="A980" s="28" t="n">
        <v>97511.4719378751</v>
      </c>
      <c r="B980" s="29" t="n">
        <v>7</v>
      </c>
      <c r="C980" s="18" t="n">
        <v>5.60904329105303</v>
      </c>
      <c r="D980" s="18" t="n">
        <v>5.13666734019061</v>
      </c>
      <c r="E980" s="18" t="n">
        <v>6.99999999985817</v>
      </c>
      <c r="F980" s="18" t="n">
        <v>6.38789391657598</v>
      </c>
      <c r="G980" s="18" t="n">
        <v>4.49858354347122</v>
      </c>
      <c r="H980" s="18" t="n">
        <v>4.83160826611821</v>
      </c>
      <c r="I980" s="18" t="n">
        <v>4.75000000000002</v>
      </c>
      <c r="J980" s="18" t="n">
        <v>4.71658582472819</v>
      </c>
    </row>
    <row r="981" customFormat="false" ht="15" hidden="false" customHeight="false" outlineLevel="0" collapsed="false">
      <c r="A981" s="28" t="n">
        <v>97611.4837039652</v>
      </c>
      <c r="B981" s="29" t="n">
        <v>7</v>
      </c>
      <c r="C981" s="18" t="n">
        <v>4.52651928508636</v>
      </c>
      <c r="D981" s="18" t="n">
        <v>5.43783114804278</v>
      </c>
      <c r="E981" s="18" t="n">
        <v>6.99999999987597</v>
      </c>
      <c r="F981" s="18" t="n">
        <v>5.33574353799553</v>
      </c>
      <c r="G981" s="18" t="n">
        <v>5.00611502492243</v>
      </c>
      <c r="H981" s="18" t="n">
        <v>4.8420497141046</v>
      </c>
      <c r="I981" s="18" t="n">
        <v>4.75000000000002</v>
      </c>
      <c r="J981" s="18" t="n">
        <v>4.79447027657096</v>
      </c>
    </row>
    <row r="982" customFormat="false" ht="15" hidden="false" customHeight="false" outlineLevel="0" collapsed="false">
      <c r="A982" s="28" t="n">
        <v>97711.4954700553</v>
      </c>
      <c r="B982" s="29" t="n">
        <v>7</v>
      </c>
      <c r="C982" s="18" t="n">
        <v>5.04251050680631</v>
      </c>
      <c r="D982" s="18" t="n">
        <v>8.74934927422319</v>
      </c>
      <c r="E982" s="18" t="n">
        <v>6.99999999989142</v>
      </c>
      <c r="F982" s="18" t="n">
        <v>5.87989499983132</v>
      </c>
      <c r="G982" s="18" t="n">
        <v>5.05137215518831</v>
      </c>
      <c r="H982" s="18" t="n">
        <v>4.67918111298998</v>
      </c>
      <c r="I982" s="18" t="n">
        <v>4.75000000000002</v>
      </c>
      <c r="J982" s="18" t="n">
        <v>4.79887244335957</v>
      </c>
    </row>
    <row r="983" customFormat="false" ht="15" hidden="false" customHeight="false" outlineLevel="0" collapsed="false">
      <c r="A983" s="28" t="n">
        <v>97811.5072361454</v>
      </c>
      <c r="B983" s="29" t="n">
        <v>7</v>
      </c>
      <c r="C983" s="18" t="n">
        <v>9.29752961702396</v>
      </c>
      <c r="D983" s="18" t="n">
        <v>8.74365495956075</v>
      </c>
      <c r="E983" s="18" t="n">
        <v>6.99999999990511</v>
      </c>
      <c r="F983" s="18" t="n">
        <v>8.55268924707558</v>
      </c>
      <c r="G983" s="18" t="n">
        <v>4.55148790000812</v>
      </c>
      <c r="H983" s="18" t="n">
        <v>4.6544936765186</v>
      </c>
      <c r="I983" s="18" t="n">
        <v>4.75000000000001</v>
      </c>
      <c r="J983" s="18" t="n">
        <v>4.71808968517921</v>
      </c>
    </row>
    <row r="984" customFormat="false" ht="15" hidden="false" customHeight="false" outlineLevel="0" collapsed="false">
      <c r="A984" s="28" t="n">
        <v>97911.5190022356</v>
      </c>
      <c r="B984" s="29" t="n">
        <v>7</v>
      </c>
      <c r="C984" s="18" t="n">
        <v>9.28602716520739</v>
      </c>
      <c r="D984" s="18" t="n">
        <v>5.43330254589599</v>
      </c>
      <c r="E984" s="18" t="n">
        <v>6.99999999991701</v>
      </c>
      <c r="F984" s="18" t="n">
        <v>8.51483575556651</v>
      </c>
      <c r="G984" s="18" t="n">
        <v>4.45185131554602</v>
      </c>
      <c r="H984" s="18" t="n">
        <v>4.8024683578168</v>
      </c>
      <c r="I984" s="18" t="n">
        <v>4.75000000000001</v>
      </c>
      <c r="J984" s="18" t="n">
        <v>4.70044872799604</v>
      </c>
    </row>
    <row r="985" customFormat="false" ht="15" hidden="false" customHeight="false" outlineLevel="0" collapsed="false">
      <c r="A985" s="28" t="n">
        <v>98011.5307683257</v>
      </c>
      <c r="B985" s="29" t="n">
        <v>7</v>
      </c>
      <c r="C985" s="18" t="n">
        <v>5.0799332485416</v>
      </c>
      <c r="D985" s="18" t="n">
        <v>5.12889433809374</v>
      </c>
      <c r="E985" s="18" t="n">
        <v>6.99999999992724</v>
      </c>
      <c r="F985" s="18" t="n">
        <v>5.86440881532835</v>
      </c>
      <c r="G985" s="18" t="n">
        <v>4.83733433209012</v>
      </c>
      <c r="H985" s="18" t="n">
        <v>4.84690128338105</v>
      </c>
      <c r="I985" s="18" t="n">
        <v>4.75000000000001</v>
      </c>
      <c r="J985" s="18" t="n">
        <v>4.75776568278601</v>
      </c>
    </row>
    <row r="986" customFormat="false" ht="15" hidden="false" customHeight="false" outlineLevel="0" collapsed="false">
      <c r="A986" s="28" t="n">
        <v>98111.5425344158</v>
      </c>
      <c r="B986" s="29" t="n">
        <v>7</v>
      </c>
      <c r="C986" s="18" t="n">
        <v>4.56161385671035</v>
      </c>
      <c r="D986" s="18" t="n">
        <v>8.15966323833917</v>
      </c>
      <c r="E986" s="18" t="n">
        <v>6.99999999993645</v>
      </c>
      <c r="F986" s="18" t="n">
        <v>5.35921871208447</v>
      </c>
      <c r="G986" s="18" t="n">
        <v>5.02952189884328</v>
      </c>
      <c r="H986" s="18" t="n">
        <v>4.79610107296749</v>
      </c>
      <c r="I986" s="18" t="n">
        <v>4.75000000000001</v>
      </c>
      <c r="J986" s="18" t="n">
        <v>4.79859475532086</v>
      </c>
    </row>
    <row r="987" customFormat="false" ht="15" hidden="false" customHeight="false" outlineLevel="0" collapsed="false">
      <c r="A987" s="28" t="n">
        <v>98211.5543005059</v>
      </c>
      <c r="B987" s="29" t="n">
        <v>7</v>
      </c>
      <c r="C987" s="18" t="n">
        <v>5.47444218218019</v>
      </c>
      <c r="D987" s="18" t="n">
        <v>8.95043147155438</v>
      </c>
      <c r="E987" s="18" t="n">
        <v>6.99999999994481</v>
      </c>
      <c r="F987" s="18" t="n">
        <v>6.4541312464996</v>
      </c>
      <c r="G987" s="18" t="n">
        <v>5.04069934745339</v>
      </c>
      <c r="H987" s="18" t="n">
        <v>4.657414022192</v>
      </c>
      <c r="I987" s="18" t="n">
        <v>4.75000000000001</v>
      </c>
      <c r="J987" s="18" t="n">
        <v>4.79414342824185</v>
      </c>
    </row>
    <row r="988" customFormat="false" ht="15" hidden="false" customHeight="false" outlineLevel="0" collapsed="false">
      <c r="A988" s="28" t="n">
        <v>98311.5660665961</v>
      </c>
      <c r="B988" s="29" t="n">
        <v>7</v>
      </c>
      <c r="C988" s="18" t="n">
        <v>9.40142717970055</v>
      </c>
      <c r="D988" s="18" t="n">
        <v>8.00625184414319</v>
      </c>
      <c r="E988" s="18" t="n">
        <v>6.99999999995239</v>
      </c>
      <c r="F988" s="18" t="n">
        <v>8.64096123734665</v>
      </c>
      <c r="G988" s="18" t="n">
        <v>4.52064938999059</v>
      </c>
      <c r="H988" s="18" t="n">
        <v>4.66829891755757</v>
      </c>
      <c r="I988" s="18" t="n">
        <v>4.75000000000001</v>
      </c>
      <c r="J988" s="18" t="n">
        <v>4.71200816639205</v>
      </c>
    </row>
    <row r="989" customFormat="false" ht="15" hidden="false" customHeight="false" outlineLevel="0" collapsed="false">
      <c r="A989" s="28" t="n">
        <v>98411.5778326862</v>
      </c>
      <c r="B989" s="29" t="n">
        <v>7</v>
      </c>
      <c r="C989" s="18" t="n">
        <v>9.1587385534822</v>
      </c>
      <c r="D989" s="18" t="n">
        <v>5.10565002001011</v>
      </c>
      <c r="E989" s="18" t="n">
        <v>6.99999999995881</v>
      </c>
      <c r="F989" s="18" t="n">
        <v>8.39052811526572</v>
      </c>
      <c r="G989" s="18" t="n">
        <v>4.44771902506239</v>
      </c>
      <c r="H989" s="18" t="n">
        <v>4.83441021231394</v>
      </c>
      <c r="I989" s="18" t="n">
        <v>4.75000000000001</v>
      </c>
      <c r="J989" s="18" t="n">
        <v>4.70056883574505</v>
      </c>
    </row>
    <row r="990" customFormat="false" ht="15" hidden="false" customHeight="false" outlineLevel="0" collapsed="false">
      <c r="A990" s="28" t="n">
        <v>98511.5895987763</v>
      </c>
      <c r="B990" s="29" t="n">
        <v>7</v>
      </c>
      <c r="C990" s="18" t="n">
        <v>4.84917390732367</v>
      </c>
      <c r="D990" s="18" t="n">
        <v>5.49710796149464</v>
      </c>
      <c r="E990" s="18" t="n">
        <v>6.9999999999639</v>
      </c>
      <c r="F990" s="18" t="n">
        <v>5.63516171385603</v>
      </c>
      <c r="G990" s="18" t="n">
        <v>4.90909852238622</v>
      </c>
      <c r="H990" s="18" t="n">
        <v>4.84089856418633</v>
      </c>
      <c r="I990" s="18" t="n">
        <v>4.75000000000001</v>
      </c>
      <c r="J990" s="18" t="n">
        <v>4.77445541680972</v>
      </c>
    </row>
    <row r="991" customFormat="false" ht="15" hidden="false" customHeight="false" outlineLevel="0" collapsed="false">
      <c r="A991" s="28" t="n">
        <v>98611.6013648665</v>
      </c>
      <c r="B991" s="29" t="n">
        <v>7</v>
      </c>
      <c r="C991" s="18" t="n">
        <v>4.62432441253802</v>
      </c>
      <c r="D991" s="18" t="n">
        <v>8.78337535021791</v>
      </c>
      <c r="E991" s="18" t="n">
        <v>6.99999999996848</v>
      </c>
      <c r="F991" s="18" t="n">
        <v>5.41972274146163</v>
      </c>
      <c r="G991" s="18" t="n">
        <v>5.04067059936657</v>
      </c>
      <c r="H991" s="18" t="n">
        <v>4.67603724812536</v>
      </c>
      <c r="I991" s="18" t="n">
        <v>4.75000000000001</v>
      </c>
      <c r="J991" s="18" t="n">
        <v>4.80038280411506</v>
      </c>
    </row>
    <row r="992" customFormat="false" ht="15" hidden="false" customHeight="false" outlineLevel="0" collapsed="false">
      <c r="A992" s="28" t="n">
        <v>98711.6131309566</v>
      </c>
      <c r="B992" s="29" t="n">
        <v>7</v>
      </c>
      <c r="C992" s="18" t="n">
        <v>8.3937138886597</v>
      </c>
      <c r="D992" s="18" t="n">
        <v>8.70544011851202</v>
      </c>
      <c r="E992" s="18" t="n">
        <v>6.99999999997263</v>
      </c>
      <c r="F992" s="18" t="n">
        <v>7.84236346502622</v>
      </c>
      <c r="G992" s="18" t="n">
        <v>5.00129338033934</v>
      </c>
      <c r="H992" s="18" t="n">
        <v>4.65512750579694</v>
      </c>
      <c r="I992" s="18" t="n">
        <v>4.75000000000001</v>
      </c>
      <c r="J992" s="18" t="n">
        <v>4.77895081825255</v>
      </c>
    </row>
    <row r="993" customFormat="false" ht="15" hidden="false" customHeight="false" outlineLevel="0" collapsed="false">
      <c r="A993" s="28" t="n">
        <v>98811.6248970467</v>
      </c>
      <c r="B993" s="29" t="n">
        <v>7</v>
      </c>
      <c r="C993" s="18" t="n">
        <v>9.4724472625237</v>
      </c>
      <c r="D993" s="18" t="n">
        <v>5.37695223067802</v>
      </c>
      <c r="E993" s="18" t="n">
        <v>6.9999999999764</v>
      </c>
      <c r="F993" s="18" t="n">
        <v>8.68693658506468</v>
      </c>
      <c r="G993" s="18" t="n">
        <v>4.49400546914925</v>
      </c>
      <c r="H993" s="18" t="n">
        <v>4.80879017649993</v>
      </c>
      <c r="I993" s="18" t="n">
        <v>4.75000000000001</v>
      </c>
      <c r="J993" s="18" t="n">
        <v>4.7069274552506</v>
      </c>
    </row>
    <row r="994" customFormat="false" ht="15" hidden="false" customHeight="false" outlineLevel="0" collapsed="false">
      <c r="A994" s="28" t="n">
        <v>98911.6366631368</v>
      </c>
      <c r="B994" s="29" t="n">
        <v>7</v>
      </c>
      <c r="C994" s="18" t="n">
        <v>8.95758826287218</v>
      </c>
      <c r="D994" s="18" t="n">
        <v>5.17112698710523</v>
      </c>
      <c r="E994" s="18" t="n">
        <v>6.99999999997982</v>
      </c>
      <c r="F994" s="18" t="n">
        <v>8.19301772397935</v>
      </c>
      <c r="G994" s="18" t="n">
        <v>4.44873430005055</v>
      </c>
      <c r="H994" s="18" t="n">
        <v>4.84646156283359</v>
      </c>
      <c r="I994" s="18" t="n">
        <v>4.75000000000001</v>
      </c>
      <c r="J994" s="18" t="n">
        <v>4.70202632920127</v>
      </c>
    </row>
    <row r="995" customFormat="false" ht="15" hidden="false" customHeight="false" outlineLevel="0" collapsed="false">
      <c r="A995" s="28" t="n">
        <v>99011.648429227</v>
      </c>
      <c r="B995" s="29" t="n">
        <v>7</v>
      </c>
      <c r="C995" s="18" t="n">
        <v>4.70209613998802</v>
      </c>
      <c r="D995" s="18" t="n">
        <v>8.35325484943116</v>
      </c>
      <c r="E995" s="18" t="n">
        <v>6.99999999998292</v>
      </c>
      <c r="F995" s="18" t="n">
        <v>5.49198019036348</v>
      </c>
      <c r="G995" s="18" t="n">
        <v>4.94854066954418</v>
      </c>
      <c r="H995" s="18" t="n">
        <v>4.73225987031372</v>
      </c>
      <c r="I995" s="18" t="n">
        <v>4.75000000000001</v>
      </c>
      <c r="J995" s="18" t="n">
        <v>4.78302465826152</v>
      </c>
    </row>
    <row r="996" customFormat="false" ht="15" hidden="false" customHeight="false" outlineLevel="0" collapsed="false">
      <c r="A996" s="28" t="n">
        <v>99111.6601953171</v>
      </c>
      <c r="B996" s="29" t="n">
        <v>7</v>
      </c>
      <c r="C996" s="18" t="n">
        <v>4.71330157732724</v>
      </c>
      <c r="D996" s="18" t="n">
        <v>8.90893031904126</v>
      </c>
      <c r="E996" s="18" t="n">
        <v>6.99999999998574</v>
      </c>
      <c r="F996" s="18" t="n">
        <v>5.51185504533147</v>
      </c>
      <c r="G996" s="18" t="n">
        <v>5.04830623234274</v>
      </c>
      <c r="H996" s="18" t="n">
        <v>4.65465930715211</v>
      </c>
      <c r="I996" s="18" t="n">
        <v>4.75000000000001</v>
      </c>
      <c r="J996" s="18" t="n">
        <v>4.80104852862751</v>
      </c>
    </row>
    <row r="997" customFormat="false" ht="15" hidden="false" customHeight="false" outlineLevel="0" collapsed="false">
      <c r="A997" s="28" t="n">
        <v>99211.6719614072</v>
      </c>
      <c r="B997" s="29" t="n">
        <v>7</v>
      </c>
      <c r="C997" s="18" t="n">
        <v>8.92069873728485</v>
      </c>
      <c r="D997" s="18" t="n">
        <v>6.54998417085446</v>
      </c>
      <c r="E997" s="18" t="n">
        <v>6.99999999998829</v>
      </c>
      <c r="F997" s="18" t="n">
        <v>8.22662219752317</v>
      </c>
      <c r="G997" s="18" t="n">
        <v>4.66239034965225</v>
      </c>
      <c r="H997" s="18" t="n">
        <v>4.67899334069018</v>
      </c>
      <c r="I997" s="18" t="n">
        <v>4.75000000000001</v>
      </c>
      <c r="J997" s="18" t="n">
        <v>4.73865232304795</v>
      </c>
    </row>
    <row r="998" customFormat="false" ht="15" hidden="false" customHeight="false" outlineLevel="0" collapsed="false">
      <c r="A998" s="28" t="n">
        <v>99311.6837274974</v>
      </c>
      <c r="B998" s="29" t="n">
        <v>7</v>
      </c>
      <c r="C998" s="18" t="n">
        <v>9.43735773158377</v>
      </c>
      <c r="D998" s="18" t="n">
        <v>5.06651699528398</v>
      </c>
      <c r="E998" s="18" t="n">
        <v>6.9999999999906</v>
      </c>
      <c r="F998" s="18" t="n">
        <v>8.65752836705788</v>
      </c>
      <c r="G998" s="18" t="n">
        <v>4.47064067132967</v>
      </c>
      <c r="H998" s="18" t="n">
        <v>4.83922964900163</v>
      </c>
      <c r="I998" s="18" t="n">
        <v>4.75000000000001</v>
      </c>
      <c r="J998" s="18" t="n">
        <v>4.70298145112264</v>
      </c>
    </row>
    <row r="999" customFormat="false" ht="15" hidden="false" customHeight="false" outlineLevel="0" collapsed="false">
      <c r="A999" s="28" t="n">
        <v>99411.6954935875</v>
      </c>
      <c r="B999" s="29" t="n">
        <v>7</v>
      </c>
      <c r="C999" s="18" t="n">
        <v>8.52712040114992</v>
      </c>
      <c r="D999" s="18" t="n">
        <v>5.74675622342866</v>
      </c>
      <c r="E999" s="18" t="n">
        <v>6.9999999999927</v>
      </c>
      <c r="F999" s="18" t="n">
        <v>7.7841702412156</v>
      </c>
      <c r="G999" s="18" t="n">
        <v>4.45935286837355</v>
      </c>
      <c r="H999" s="18" t="n">
        <v>4.83571149792109</v>
      </c>
      <c r="I999" s="18" t="n">
        <v>4.75000000000001</v>
      </c>
      <c r="J999" s="18" t="n">
        <v>4.70592278049916</v>
      </c>
    </row>
    <row r="1000" customFormat="false" ht="15" hidden="false" customHeight="false" outlineLevel="0" collapsed="false">
      <c r="A1000" s="28" t="n">
        <v>99511.7072596776</v>
      </c>
      <c r="B1000" s="29" t="n">
        <v>7</v>
      </c>
      <c r="C1000" s="18" t="n">
        <v>4.59785464956917</v>
      </c>
      <c r="D1000" s="18" t="n">
        <v>8.85871386970537</v>
      </c>
      <c r="E1000" s="18" t="n">
        <v>6.99999999999461</v>
      </c>
      <c r="F1000" s="18" t="n">
        <v>5.39449430996509</v>
      </c>
      <c r="G1000" s="18" t="n">
        <v>4.97942774208341</v>
      </c>
      <c r="H1000" s="18" t="n">
        <v>4.66889975342786</v>
      </c>
      <c r="I1000" s="18" t="n">
        <v>4.75000000000001</v>
      </c>
      <c r="J1000" s="18" t="n">
        <v>4.78933101212725</v>
      </c>
    </row>
    <row r="1001" customFormat="false" ht="15" hidden="false" customHeight="false" outlineLevel="0" collapsed="false">
      <c r="A1001" s="28" t="n">
        <v>99611.7190257677</v>
      </c>
      <c r="B1001" s="29" t="n">
        <v>7</v>
      </c>
      <c r="C1001" s="18" t="n">
        <v>4.84088619238613</v>
      </c>
      <c r="D1001" s="18" t="n">
        <v>8.57881085284686</v>
      </c>
      <c r="E1001" s="18" t="n">
        <v>6.99999999999634</v>
      </c>
      <c r="F1001" s="18" t="n">
        <v>5.64981512316356</v>
      </c>
      <c r="G1001" s="18" t="n">
        <v>5.05241859073117</v>
      </c>
      <c r="H1001" s="18" t="n">
        <v>4.65759395585365</v>
      </c>
      <c r="I1001" s="18" t="n">
        <v>4.75000000000001</v>
      </c>
      <c r="J1001" s="18" t="n">
        <v>4.80069882038167</v>
      </c>
    </row>
    <row r="1002" customFormat="false" ht="15" hidden="false" customHeight="false" outlineLevel="0" collapsed="false">
      <c r="A1002" s="28" t="n">
        <v>99711.7307918579</v>
      </c>
      <c r="B1002" s="29" t="n">
        <v>7</v>
      </c>
      <c r="C1002" s="18" t="n">
        <v>9.1508605959951</v>
      </c>
      <c r="D1002" s="18" t="n">
        <v>5.26078015741809</v>
      </c>
      <c r="E1002" s="18" t="n">
        <v>6.9999999999979</v>
      </c>
      <c r="F1002" s="18" t="n">
        <v>8.42398968223069</v>
      </c>
      <c r="G1002" s="18" t="n">
        <v>4.59086266704087</v>
      </c>
      <c r="H1002" s="18" t="n">
        <v>4.81966015874929</v>
      </c>
      <c r="I1002" s="18" t="n">
        <v>4.75000000000001</v>
      </c>
      <c r="J1002" s="18" t="n">
        <v>4.7258991695223</v>
      </c>
    </row>
    <row r="1003" customFormat="false" ht="15" hidden="false" customHeight="false" outlineLevel="0" collapsed="false">
      <c r="A1003" s="28" t="n">
        <v>99811.742557948</v>
      </c>
      <c r="B1003" s="29" t="n">
        <v>7</v>
      </c>
      <c r="C1003" s="18" t="n">
        <v>9.37479135500803</v>
      </c>
      <c r="D1003" s="18" t="n">
        <v>5.2340079529409</v>
      </c>
      <c r="E1003" s="18" t="n">
        <v>6.99999999999933</v>
      </c>
      <c r="F1003" s="18" t="n">
        <v>8.5999178890118</v>
      </c>
      <c r="G1003" s="18" t="n">
        <v>4.45949777712365</v>
      </c>
      <c r="H1003" s="18" t="n">
        <v>4.84596309959891</v>
      </c>
      <c r="I1003" s="18" t="n">
        <v>4.75000000000001</v>
      </c>
      <c r="J1003" s="18" t="n">
        <v>4.70126120055809</v>
      </c>
    </row>
    <row r="1004" customFormat="false" ht="15" hidden="false" customHeight="false" outlineLevel="0" collapsed="false">
      <c r="A1004" s="28" t="n">
        <v>99911.7543240381</v>
      </c>
      <c r="B1004" s="29" t="n">
        <v>7</v>
      </c>
      <c r="C1004" s="18" t="n">
        <v>5.60904329105362</v>
      </c>
      <c r="D1004" s="18" t="n">
        <v>8.53102754865931</v>
      </c>
      <c r="E1004" s="18" t="n">
        <v>7.00000000000062</v>
      </c>
      <c r="F1004" s="18" t="n">
        <v>6.38789391661183</v>
      </c>
      <c r="G1004" s="18" t="n">
        <v>4.49858354347125</v>
      </c>
      <c r="H1004" s="18" t="n">
        <v>4.70184287326743</v>
      </c>
      <c r="I1004" s="18" t="n">
        <v>4.75</v>
      </c>
      <c r="J1004" s="18" t="n">
        <v>4.7165858247275</v>
      </c>
    </row>
    <row r="1005" customFormat="false" ht="15" hidden="false" customHeight="false" outlineLevel="0" collapsed="false">
      <c r="A1005" s="28" t="n">
        <v>100011.766090128</v>
      </c>
      <c r="B1005" s="29" t="n">
        <v>6</v>
      </c>
      <c r="C1005" s="18" t="n">
        <v>4.52651928508641</v>
      </c>
      <c r="D1005" s="18" t="n">
        <v>8.89048942603923</v>
      </c>
      <c r="E1005" s="18" t="n">
        <v>7.00000000000161</v>
      </c>
      <c r="F1005" s="18" t="n">
        <v>5.3357435379968</v>
      </c>
      <c r="G1005" s="18" t="n">
        <v>4.88678316628628</v>
      </c>
      <c r="H1005" s="18" t="n">
        <v>4.6027668451458</v>
      </c>
      <c r="I1005" s="18" t="n">
        <v>4.74815519461502</v>
      </c>
      <c r="J1005" s="18" t="n">
        <v>4.76493333740536</v>
      </c>
    </row>
    <row r="1006" customFormat="false" ht="15" hidden="false" customHeight="false" outlineLevel="0" collapsed="false">
      <c r="A1006" s="28" t="n">
        <v>100111.777856218</v>
      </c>
      <c r="B1006" s="29" t="n">
        <v>6</v>
      </c>
      <c r="C1006" s="18" t="n">
        <v>4.94181871778602</v>
      </c>
      <c r="D1006" s="18" t="n">
        <v>5.69663322417553</v>
      </c>
      <c r="E1006" s="18" t="n">
        <v>6.92108285752609</v>
      </c>
      <c r="F1006" s="18" t="n">
        <v>5.7209196339115</v>
      </c>
      <c r="G1006" s="18" t="n">
        <v>4.90103823356713</v>
      </c>
      <c r="H1006" s="18" t="n">
        <v>4.63435203306701</v>
      </c>
      <c r="I1006" s="18" t="n">
        <v>4.74794562123229</v>
      </c>
      <c r="J1006" s="18" t="n">
        <v>4.76190237764929</v>
      </c>
    </row>
    <row r="1007" customFormat="false" ht="15" hidden="false" customHeight="false" outlineLevel="0" collapsed="false">
      <c r="A1007" s="28" t="n">
        <v>100211.789622309</v>
      </c>
      <c r="B1007" s="29" t="n">
        <v>6</v>
      </c>
      <c r="C1007" s="18" t="n">
        <v>8.65793602776045</v>
      </c>
      <c r="D1007" s="18" t="n">
        <v>4.82455276263031</v>
      </c>
      <c r="E1007" s="18" t="n">
        <v>6.58569355253509</v>
      </c>
      <c r="F1007" s="18" t="n">
        <v>6.60473088468941</v>
      </c>
      <c r="G1007" s="18" t="n">
        <v>4.52481978406726</v>
      </c>
      <c r="H1007" s="18" t="n">
        <v>4.79053692213607</v>
      </c>
      <c r="I1007" s="18" t="n">
        <v>4.74878434112253</v>
      </c>
      <c r="J1007" s="18" t="n">
        <v>4.74324601230189</v>
      </c>
    </row>
    <row r="1008" customFormat="false" ht="15" hidden="false" customHeight="false" outlineLevel="0" collapsed="false">
      <c r="A1008" s="28" t="n">
        <v>100311.801388399</v>
      </c>
      <c r="B1008" s="29" t="n">
        <v>6</v>
      </c>
      <c r="C1008" s="18" t="n">
        <v>8.91432935141141</v>
      </c>
      <c r="D1008" s="18" t="n">
        <v>4.94436003915401</v>
      </c>
      <c r="E1008" s="18" t="n">
        <v>6.44456138913473</v>
      </c>
      <c r="F1008" s="18" t="n">
        <v>7.20107407612129</v>
      </c>
      <c r="G1008" s="18" t="n">
        <v>4.330802118828</v>
      </c>
      <c r="H1008" s="18" t="n">
        <v>4.79692063757163</v>
      </c>
      <c r="I1008" s="18" t="n">
        <v>4.74878404869398</v>
      </c>
      <c r="J1008" s="18" t="n">
        <v>4.70330586884301</v>
      </c>
    </row>
    <row r="1009" customFormat="false" ht="15" hidden="false" customHeight="false" outlineLevel="0" collapsed="false">
      <c r="A1009" s="28" t="n">
        <v>100411.813154489</v>
      </c>
      <c r="B1009" s="29" t="n">
        <v>6</v>
      </c>
      <c r="C1009" s="18" t="n">
        <v>4.56516899956303</v>
      </c>
      <c r="D1009" s="18" t="n">
        <v>5.23082441267964</v>
      </c>
      <c r="E1009" s="18" t="n">
        <v>6.35772883985773</v>
      </c>
      <c r="F1009" s="18" t="n">
        <v>5.48614330691589</v>
      </c>
      <c r="G1009" s="18" t="n">
        <v>4.81403977131528</v>
      </c>
      <c r="H1009" s="18" t="n">
        <v>4.79062520112012</v>
      </c>
      <c r="I1009" s="18" t="n">
        <v>4.74885520438318</v>
      </c>
      <c r="J1009" s="18" t="n">
        <v>4.75249409577722</v>
      </c>
    </row>
    <row r="1010" customFormat="false" ht="15" hidden="false" customHeight="false" outlineLevel="0" collapsed="false">
      <c r="A1010" s="28" t="n">
        <v>100511.824920579</v>
      </c>
      <c r="B1010" s="29" t="n">
        <v>6</v>
      </c>
      <c r="C1010" s="18" t="n">
        <v>4.42330474773035</v>
      </c>
      <c r="D1010" s="18" t="n">
        <v>5.93525978815894</v>
      </c>
      <c r="E1010" s="18" t="n">
        <v>6.29296067958315</v>
      </c>
      <c r="F1010" s="18" t="n">
        <v>5.35095807263869</v>
      </c>
      <c r="G1010" s="18" t="n">
        <v>4.89808442401714</v>
      </c>
      <c r="H1010" s="18" t="n">
        <v>4.76772382159491</v>
      </c>
      <c r="I1010" s="18" t="n">
        <v>4.74891120278209</v>
      </c>
      <c r="J1010" s="18" t="n">
        <v>4.76508235648149</v>
      </c>
    </row>
    <row r="1011" customFormat="false" ht="15" hidden="false" customHeight="false" outlineLevel="0" collapsed="false">
      <c r="A1011" s="28" t="n">
        <v>100611.836686669</v>
      </c>
      <c r="B1011" s="29" t="n">
        <v>6</v>
      </c>
      <c r="C1011" s="18" t="n">
        <v>4.65126336986069</v>
      </c>
      <c r="D1011" s="18" t="n">
        <v>8.23917564987117</v>
      </c>
      <c r="E1011" s="18" t="n">
        <v>6.24613157261217</v>
      </c>
      <c r="F1011" s="18" t="n">
        <v>5.5371611270689</v>
      </c>
      <c r="G1011" s="18" t="n">
        <v>4.92329442573704</v>
      </c>
      <c r="H1011" s="18" t="n">
        <v>4.64005248967642</v>
      </c>
      <c r="I1011" s="18" t="n">
        <v>4.74894603048046</v>
      </c>
      <c r="J1011" s="18" t="n">
        <v>4.76532099900912</v>
      </c>
    </row>
    <row r="1012" customFormat="false" ht="15" hidden="false" customHeight="false" outlineLevel="0" collapsed="false">
      <c r="A1012" s="28" t="n">
        <v>100711.848452759</v>
      </c>
      <c r="B1012" s="29" t="n">
        <v>6</v>
      </c>
      <c r="C1012" s="18" t="n">
        <v>5.35180521729575</v>
      </c>
      <c r="D1012" s="18" t="n">
        <v>5.38135191667252</v>
      </c>
      <c r="E1012" s="18" t="n">
        <v>6.21002201653995</v>
      </c>
      <c r="F1012" s="18" t="n">
        <v>5.94724227023542</v>
      </c>
      <c r="G1012" s="18" t="n">
        <v>4.90189071234747</v>
      </c>
      <c r="H1012" s="18" t="n">
        <v>4.75112247676332</v>
      </c>
      <c r="I1012" s="18" t="n">
        <v>4.74897249923975</v>
      </c>
      <c r="J1012" s="18" t="n">
        <v>4.75755114287448</v>
      </c>
    </row>
    <row r="1013" customFormat="false" ht="15" hidden="false" customHeight="false" outlineLevel="0" collapsed="false">
      <c r="A1013" s="28" t="n">
        <v>100811.860218849</v>
      </c>
      <c r="B1013" s="29" t="n">
        <v>6</v>
      </c>
      <c r="C1013" s="18" t="n">
        <v>9.07472936456489</v>
      </c>
      <c r="D1013" s="18" t="n">
        <v>4.93835438317362</v>
      </c>
      <c r="E1013" s="18" t="n">
        <v>6.18137673606096</v>
      </c>
      <c r="F1013" s="18" t="n">
        <v>7.13254419979029</v>
      </c>
      <c r="G1013" s="18" t="n">
        <v>4.41833252431392</v>
      </c>
      <c r="H1013" s="18" t="n">
        <v>4.79431760830557</v>
      </c>
      <c r="I1013" s="18" t="n">
        <v>4.74899173538217</v>
      </c>
      <c r="J1013" s="18" t="n">
        <v>4.72790380277804</v>
      </c>
    </row>
    <row r="1014" customFormat="false" ht="15" hidden="false" customHeight="false" outlineLevel="0" collapsed="false">
      <c r="A1014" s="28" t="n">
        <v>100911.871984939</v>
      </c>
      <c r="B1014" s="29" t="n">
        <v>6</v>
      </c>
      <c r="C1014" s="18" t="n">
        <v>5.56792561301718</v>
      </c>
      <c r="D1014" s="18" t="n">
        <v>5.13823920451171</v>
      </c>
      <c r="E1014" s="18" t="n">
        <v>6.15814402291489</v>
      </c>
      <c r="F1014" s="18" t="n">
        <v>6.20580519176502</v>
      </c>
      <c r="G1014" s="18" t="n">
        <v>4.36613417573673</v>
      </c>
      <c r="H1014" s="18" t="n">
        <v>4.79326331776657</v>
      </c>
      <c r="I1014" s="18" t="n">
        <v>4.74900606488239</v>
      </c>
      <c r="J1014" s="18" t="n">
        <v>4.7238532796177</v>
      </c>
    </row>
    <row r="1015" customFormat="false" ht="15" hidden="false" customHeight="false" outlineLevel="0" collapsed="false">
      <c r="A1015" s="28" t="n">
        <v>101011.88375103</v>
      </c>
      <c r="B1015" s="29" t="n">
        <v>6</v>
      </c>
      <c r="C1015" s="18" t="n">
        <v>4.3973675018352</v>
      </c>
      <c r="D1015" s="18" t="n">
        <v>5.63112075347577</v>
      </c>
      <c r="E1015" s="18" t="n">
        <v>6.13895542873736</v>
      </c>
      <c r="F1015" s="18" t="n">
        <v>5.40177351150855</v>
      </c>
      <c r="G1015" s="18" t="n">
        <v>4.86640851734502</v>
      </c>
      <c r="H1015" s="18" t="n">
        <v>4.77779488698031</v>
      </c>
      <c r="I1015" s="18" t="n">
        <v>4.74901679669294</v>
      </c>
      <c r="J1015" s="18" t="n">
        <v>4.75960955896275</v>
      </c>
    </row>
    <row r="1016" customFormat="false" ht="15" hidden="false" customHeight="false" outlineLevel="0" collapsed="false">
      <c r="A1016" s="28" t="n">
        <v>101111.89551712</v>
      </c>
      <c r="B1016" s="29" t="n">
        <v>6</v>
      </c>
      <c r="C1016" s="18" t="n">
        <v>4.50818029373467</v>
      </c>
      <c r="D1016" s="18" t="n">
        <v>8.10135695842946</v>
      </c>
      <c r="E1016" s="18" t="n">
        <v>6.12287885403273</v>
      </c>
      <c r="F1016" s="18" t="n">
        <v>5.44333391149805</v>
      </c>
      <c r="G1016" s="18" t="n">
        <v>4.91669376643521</v>
      </c>
      <c r="H1016" s="18" t="n">
        <v>4.65797881791977</v>
      </c>
      <c r="I1016" s="18" t="n">
        <v>4.74902484835945</v>
      </c>
      <c r="J1016" s="18" t="n">
        <v>4.7653484378812</v>
      </c>
    </row>
    <row r="1017" customFormat="false" ht="15" hidden="false" customHeight="false" outlineLevel="0" collapsed="false">
      <c r="A1017" s="28" t="n">
        <v>101211.90728321</v>
      </c>
      <c r="B1017" s="29" t="n">
        <v>6</v>
      </c>
      <c r="C1017" s="18" t="n">
        <v>4.86797107604575</v>
      </c>
      <c r="D1017" s="18" t="n">
        <v>5.90201242457061</v>
      </c>
      <c r="E1017" s="18" t="n">
        <v>6.10924966302291</v>
      </c>
      <c r="F1017" s="18" t="n">
        <v>5.71455510915933</v>
      </c>
      <c r="G1017" s="18" t="n">
        <v>4.92580412230437</v>
      </c>
      <c r="H1017" s="18" t="n">
        <v>4.64853243279022</v>
      </c>
      <c r="I1017" s="18" t="n">
        <v>4.74903089219965</v>
      </c>
      <c r="J1017" s="18" t="n">
        <v>4.7620472188293</v>
      </c>
    </row>
    <row r="1018" customFormat="false" ht="15" hidden="false" customHeight="false" outlineLevel="0" collapsed="false">
      <c r="A1018" s="28" t="n">
        <v>101311.9190493</v>
      </c>
      <c r="B1018" s="29" t="n">
        <v>6</v>
      </c>
      <c r="C1018" s="18" t="n">
        <v>8.64609236269173</v>
      </c>
      <c r="D1018" s="18" t="n">
        <v>4.92488942382346</v>
      </c>
      <c r="E1018" s="18" t="n">
        <v>6.09758069599513</v>
      </c>
      <c r="F1018" s="18" t="n">
        <v>6.35864883654132</v>
      </c>
      <c r="G1018" s="18" t="n">
        <v>4.56956113007674</v>
      </c>
      <c r="H1018" s="18" t="n">
        <v>4.78910188406122</v>
      </c>
      <c r="I1018" s="18" t="n">
        <v>4.74903541381802</v>
      </c>
      <c r="J1018" s="18" t="n">
        <v>4.7480307929003</v>
      </c>
    </row>
    <row r="1019" customFormat="false" ht="15" hidden="false" customHeight="false" outlineLevel="0" collapsed="false">
      <c r="A1019" s="28" t="n">
        <v>101411.93081539</v>
      </c>
      <c r="B1019" s="29" t="n">
        <v>6</v>
      </c>
      <c r="C1019" s="18" t="n">
        <v>9.05519886841595</v>
      </c>
      <c r="D1019" s="18" t="n">
        <v>5.05247938065519</v>
      </c>
      <c r="E1019" s="18" t="n">
        <v>6.08750592973793</v>
      </c>
      <c r="F1019" s="18" t="n">
        <v>7.18880777850027</v>
      </c>
      <c r="G1019" s="18" t="n">
        <v>4.34215530229188</v>
      </c>
      <c r="H1019" s="18" t="n">
        <v>4.79522018487635</v>
      </c>
      <c r="I1019" s="18" t="n">
        <v>4.74903877194931</v>
      </c>
      <c r="J1019" s="18" t="n">
        <v>4.71055762175842</v>
      </c>
    </row>
    <row r="1020" customFormat="false" ht="15" hidden="false" customHeight="false" outlineLevel="0" collapsed="false">
      <c r="A1020" s="28" t="n">
        <v>101511.94258148</v>
      </c>
      <c r="B1020" s="29" t="n">
        <v>6</v>
      </c>
      <c r="C1020" s="18" t="n">
        <v>4.64189806859632</v>
      </c>
      <c r="D1020" s="18" t="n">
        <v>5.42832685817808</v>
      </c>
      <c r="E1020" s="18" t="n">
        <v>6.07874457659625</v>
      </c>
      <c r="F1020" s="18" t="n">
        <v>5.63268711694245</v>
      </c>
      <c r="G1020" s="18" t="n">
        <v>4.81070012520896</v>
      </c>
      <c r="H1020" s="18" t="n">
        <v>4.78481857492404</v>
      </c>
      <c r="I1020" s="18" t="n">
        <v>4.74904123526809</v>
      </c>
      <c r="J1020" s="18" t="n">
        <v>4.74854968676914</v>
      </c>
    </row>
    <row r="1021" customFormat="false" ht="15" hidden="false" customHeight="false" outlineLevel="0" collapsed="false">
      <c r="A1021" s="28" t="n">
        <v>101611.95434757</v>
      </c>
      <c r="B1021" s="29" t="n">
        <v>6</v>
      </c>
      <c r="C1021" s="18" t="n">
        <v>4.44179241903596</v>
      </c>
      <c r="D1021" s="18" t="n">
        <v>7.65810791666153</v>
      </c>
      <c r="E1021" s="18" t="n">
        <v>6.07107741810722</v>
      </c>
      <c r="F1021" s="18" t="n">
        <v>5.40392562113473</v>
      </c>
      <c r="G1021" s="18" t="n">
        <v>4.90358418752371</v>
      </c>
      <c r="H1021" s="18" t="n">
        <v>4.72688220026751</v>
      </c>
      <c r="I1021" s="18" t="n">
        <v>4.74904300735784</v>
      </c>
      <c r="J1021" s="18" t="n">
        <v>4.76366778306821</v>
      </c>
    </row>
    <row r="1022" customFormat="false" ht="15" hidden="false" customHeight="false" outlineLevel="0" collapsed="false">
      <c r="A1022" s="28" t="n">
        <v>101711.96611366</v>
      </c>
      <c r="B1022" s="29" t="n">
        <v>6</v>
      </c>
      <c r="C1022" s="18" t="n">
        <v>4.68619839036659</v>
      </c>
      <c r="D1022" s="18" t="n">
        <v>8.13864165370005</v>
      </c>
      <c r="E1022" s="18" t="n">
        <v>6.06433069178856</v>
      </c>
      <c r="F1022" s="18" t="n">
        <v>5.57728428405989</v>
      </c>
      <c r="G1022" s="18" t="n">
        <v>4.92696044113224</v>
      </c>
      <c r="H1022" s="18" t="n">
        <v>4.62836649934613</v>
      </c>
      <c r="I1022" s="18" t="n">
        <v>4.74904424403879</v>
      </c>
      <c r="J1022" s="18" t="n">
        <v>4.76410471030115</v>
      </c>
    </row>
    <row r="1023" customFormat="false" ht="15" hidden="false" customHeight="false" outlineLevel="0" collapsed="false">
      <c r="A1023" s="28" t="n">
        <v>101811.977879751</v>
      </c>
      <c r="B1023" s="29" t="n">
        <v>6</v>
      </c>
      <c r="C1023" s="18" t="n">
        <v>5.61224315794627</v>
      </c>
      <c r="D1023" s="18" t="n">
        <v>5.04845608407112</v>
      </c>
      <c r="E1023" s="18" t="n">
        <v>6.05836484072912</v>
      </c>
      <c r="F1023" s="18" t="n">
        <v>5.99265123342438</v>
      </c>
      <c r="G1023" s="18" t="n">
        <v>4.89287529247944</v>
      </c>
      <c r="H1023" s="18" t="n">
        <v>4.77886888756913</v>
      </c>
      <c r="I1023" s="18" t="n">
        <v>4.74904506558332</v>
      </c>
      <c r="J1023" s="18" t="n">
        <v>4.75618859577572</v>
      </c>
    </row>
    <row r="1024" customFormat="false" ht="15" hidden="false" customHeight="false" outlineLevel="0" collapsed="false">
      <c r="A1024" s="28" t="n">
        <v>101911.989645841</v>
      </c>
      <c r="B1024" s="29" t="n">
        <v>6</v>
      </c>
      <c r="C1024" s="18" t="n">
        <v>9.13114893382375</v>
      </c>
      <c r="D1024" s="18" t="n">
        <v>4.99945078359492</v>
      </c>
      <c r="E1024" s="18" t="n">
        <v>6.05306647859029</v>
      </c>
      <c r="F1024" s="18" t="n">
        <v>7.09693807567189</v>
      </c>
      <c r="G1024" s="18" t="n">
        <v>4.39703255685014</v>
      </c>
      <c r="H1024" s="18" t="n">
        <v>4.79568365788986</v>
      </c>
      <c r="I1024" s="18" t="n">
        <v>4.74904556548247</v>
      </c>
      <c r="J1024" s="18" t="n">
        <v>4.72685722421554</v>
      </c>
    </row>
    <row r="1025" customFormat="false" ht="15" hidden="false" customHeight="false" outlineLevel="0" collapsed="false">
      <c r="A1025" s="28" t="n">
        <v>102012.001411931</v>
      </c>
      <c r="B1025" s="29" t="n">
        <v>6</v>
      </c>
      <c r="C1025" s="18" t="n">
        <v>5.10867356700762</v>
      </c>
      <c r="D1025" s="18" t="n">
        <v>5.30248353996024</v>
      </c>
      <c r="E1025" s="18" t="n">
        <v>6.04834253617033</v>
      </c>
      <c r="F1025" s="18" t="n">
        <v>6.10829984485523</v>
      </c>
      <c r="G1025" s="18" t="n">
        <v>4.65517858145653</v>
      </c>
      <c r="H1025" s="18" t="n">
        <v>4.78891796081724</v>
      </c>
      <c r="I1025" s="18" t="n">
        <v>4.74904581683148</v>
      </c>
      <c r="J1025" s="18" t="n">
        <v>4.72997800894411</v>
      </c>
    </row>
    <row r="1026" customFormat="false" ht="15" hidden="false" customHeight="false" outlineLevel="0" collapsed="false">
      <c r="A1026" s="28" t="n">
        <v>102112.013178021</v>
      </c>
      <c r="B1026" s="29" t="n">
        <v>6</v>
      </c>
      <c r="C1026" s="18" t="n">
        <v>4.40665171926224</v>
      </c>
      <c r="D1026" s="18" t="n">
        <v>6.31977891767775</v>
      </c>
      <c r="E1026" s="18" t="n">
        <v>6.04411592192677</v>
      </c>
      <c r="F1026" s="18" t="n">
        <v>5.42845080879787</v>
      </c>
      <c r="G1026" s="18" t="n">
        <v>4.88418438676693</v>
      </c>
      <c r="H1026" s="18" t="n">
        <v>4.75852603206225</v>
      </c>
      <c r="I1026" s="18" t="n">
        <v>4.74904587704526</v>
      </c>
      <c r="J1026" s="18" t="n">
        <v>4.75995511038063</v>
      </c>
    </row>
    <row r="1027" customFormat="false" ht="15" hidden="false" customHeight="false" outlineLevel="0" collapsed="false">
      <c r="A1027" s="28" t="n">
        <v>102212.024944111</v>
      </c>
      <c r="B1027" s="29" t="n">
        <v>6</v>
      </c>
      <c r="C1027" s="18" t="n">
        <v>4.56233211818197</v>
      </c>
      <c r="D1027" s="18" t="n">
        <v>8.27764915153493</v>
      </c>
      <c r="E1027" s="18" t="n">
        <v>6.040322254436</v>
      </c>
      <c r="F1027" s="18" t="n">
        <v>5.48985307604799</v>
      </c>
      <c r="G1027" s="18" t="n">
        <v>4.92156451312753</v>
      </c>
      <c r="H1027" s="18" t="n">
        <v>4.63325666413296</v>
      </c>
      <c r="I1027" s="18" t="n">
        <v>4.74904579138348</v>
      </c>
      <c r="J1027" s="18" t="n">
        <v>4.76459463873918</v>
      </c>
    </row>
    <row r="1028" customFormat="false" ht="15" hidden="false" customHeight="false" outlineLevel="0" collapsed="false">
      <c r="A1028" s="28" t="n">
        <v>102312.036710201</v>
      </c>
      <c r="B1028" s="29" t="n">
        <v>6</v>
      </c>
      <c r="C1028" s="18" t="n">
        <v>5.01868528722546</v>
      </c>
      <c r="D1028" s="18" t="n">
        <v>5.21366039153043</v>
      </c>
      <c r="E1028" s="18" t="n">
        <v>6.03690736758093</v>
      </c>
      <c r="F1028" s="18" t="n">
        <v>5.78600849977397</v>
      </c>
      <c r="G1028" s="18" t="n">
        <v>4.92046813184249</v>
      </c>
      <c r="H1028" s="18" t="n">
        <v>4.76572396468503</v>
      </c>
      <c r="I1028" s="18" t="n">
        <v>4.74904559561498</v>
      </c>
      <c r="J1028" s="18" t="n">
        <v>4.76039880013524</v>
      </c>
    </row>
    <row r="1029" customFormat="false" ht="15" hidden="false" customHeight="false" outlineLevel="0" collapsed="false">
      <c r="A1029" s="28" t="n">
        <v>102412.048476291</v>
      </c>
      <c r="B1029" s="29" t="n">
        <v>6</v>
      </c>
      <c r="C1029" s="18" t="n">
        <v>8.90245349036761</v>
      </c>
      <c r="D1029" s="18" t="n">
        <v>4.94791956684018</v>
      </c>
      <c r="E1029" s="18" t="n">
        <v>6.03382538183863</v>
      </c>
      <c r="F1029" s="18" t="n">
        <v>6.51556344176067</v>
      </c>
      <c r="G1029" s="18" t="n">
        <v>4.47473589025911</v>
      </c>
      <c r="H1029" s="18" t="n">
        <v>4.7956424671587</v>
      </c>
      <c r="I1029" s="18" t="n">
        <v>4.74904531805154</v>
      </c>
      <c r="J1029" s="18" t="n">
        <v>4.74393595365815</v>
      </c>
    </row>
    <row r="1030" customFormat="false" ht="15" hidden="false" customHeight="false" outlineLevel="0" collapsed="false">
      <c r="A1030" s="28" t="n">
        <v>102512.060242382</v>
      </c>
      <c r="B1030" s="29" t="n">
        <v>6</v>
      </c>
      <c r="C1030" s="18" t="n">
        <v>8.73900412222499</v>
      </c>
      <c r="D1030" s="18" t="n">
        <v>5.18356629278466</v>
      </c>
      <c r="E1030" s="18" t="n">
        <v>6.03103719637402</v>
      </c>
      <c r="F1030" s="18" t="n">
        <v>6.88172387998241</v>
      </c>
      <c r="G1030" s="18" t="n">
        <v>4.33744543618173</v>
      </c>
      <c r="H1030" s="18" t="n">
        <v>4.7924682318769</v>
      </c>
      <c r="I1030" s="18" t="n">
        <v>4.74904498111416</v>
      </c>
      <c r="J1030" s="18" t="n">
        <v>4.71309761263462</v>
      </c>
    </row>
    <row r="1031" customFormat="false" ht="15" hidden="false" customHeight="false" outlineLevel="0" collapsed="false">
      <c r="A1031" s="28" t="n">
        <v>102612.072008472</v>
      </c>
      <c r="B1031" s="29" t="n">
        <v>6</v>
      </c>
      <c r="C1031" s="18" t="n">
        <v>4.50908050233277</v>
      </c>
      <c r="D1031" s="18" t="n">
        <v>5.77249687624072</v>
      </c>
      <c r="E1031" s="18" t="n">
        <v>6.02850929808878</v>
      </c>
      <c r="F1031" s="18" t="n">
        <v>5.5639211494399</v>
      </c>
      <c r="G1031" s="18" t="n">
        <v>4.84100931258502</v>
      </c>
      <c r="H1031" s="18" t="n">
        <v>4.77348114606944</v>
      </c>
      <c r="I1031" s="18" t="n">
        <v>4.74904460254892</v>
      </c>
      <c r="J1031" s="18" t="n">
        <v>4.7524608491237</v>
      </c>
    </row>
    <row r="1032" customFormat="false" ht="15" hidden="false" customHeight="false" outlineLevel="0" collapsed="false">
      <c r="A1032" s="28" t="n">
        <v>102712.083774562</v>
      </c>
      <c r="B1032" s="29" t="n">
        <v>6</v>
      </c>
      <c r="C1032" s="18" t="n">
        <v>4.47462545982415</v>
      </c>
      <c r="D1032" s="18" t="n">
        <v>8.2072459848028</v>
      </c>
      <c r="E1032" s="18" t="n">
        <v>6.02621281228018</v>
      </c>
      <c r="F1032" s="18" t="n">
        <v>5.44141105068485</v>
      </c>
      <c r="G1032" s="18" t="n">
        <v>4.91097159420147</v>
      </c>
      <c r="H1032" s="18" t="n">
        <v>4.6462958064582</v>
      </c>
      <c r="I1032" s="18" t="n">
        <v>4.74904419637752</v>
      </c>
      <c r="J1032" s="18" t="n">
        <v>4.76376349263948</v>
      </c>
    </row>
    <row r="1033" customFormat="false" ht="15" hidden="false" customHeight="false" outlineLevel="0" collapsed="false">
      <c r="A1033" s="28" t="n">
        <v>102812.095540652</v>
      </c>
      <c r="B1033" s="29" t="n">
        <v>6</v>
      </c>
      <c r="C1033" s="18" t="n">
        <v>4.77434196411734</v>
      </c>
      <c r="D1033" s="18" t="n">
        <v>5.56479932778523</v>
      </c>
      <c r="E1033" s="18" t="n">
        <v>6.02412273949669</v>
      </c>
      <c r="F1033" s="18" t="n">
        <v>5.65066558763697</v>
      </c>
      <c r="G1033" s="18" t="n">
        <v>4.92727723362567</v>
      </c>
      <c r="H1033" s="18" t="n">
        <v>4.72847364424368</v>
      </c>
      <c r="I1033" s="18" t="n">
        <v>4.74904377364527</v>
      </c>
      <c r="J1033" s="18" t="n">
        <v>4.76271006851835</v>
      </c>
    </row>
    <row r="1034" customFormat="false" ht="15" hidden="false" customHeight="false" outlineLevel="0" collapsed="false">
      <c r="A1034" s="28" t="n">
        <v>102912.107306742</v>
      </c>
      <c r="B1034" s="29" t="n">
        <v>6</v>
      </c>
      <c r="C1034" s="18" t="n">
        <v>8.11940878797956</v>
      </c>
      <c r="D1034" s="18" t="n">
        <v>4.93083787944509</v>
      </c>
      <c r="E1034" s="18" t="n">
        <v>6.02221733732335</v>
      </c>
      <c r="F1034" s="18" t="n">
        <v>6.13950595798052</v>
      </c>
      <c r="G1034" s="18" t="n">
        <v>4.84653184111402</v>
      </c>
      <c r="H1034" s="18" t="n">
        <v>4.79337194780896</v>
      </c>
      <c r="I1034" s="18" t="n">
        <v>4.74904334301291</v>
      </c>
      <c r="J1034" s="18" t="n">
        <v>4.75262040929298</v>
      </c>
    </row>
    <row r="1035" customFormat="false" ht="15" hidden="false" customHeight="false" outlineLevel="0" collapsed="false">
      <c r="A1035" s="28" t="n">
        <v>103012.119072832</v>
      </c>
      <c r="B1035" s="29" t="n">
        <v>6</v>
      </c>
      <c r="C1035" s="18" t="n">
        <v>9.18434148284772</v>
      </c>
      <c r="D1035" s="18" t="n">
        <v>5.10221396418718</v>
      </c>
      <c r="E1035" s="18" t="n">
        <v>6.02047761601135</v>
      </c>
      <c r="F1035" s="18" t="n">
        <v>7.15596936584399</v>
      </c>
      <c r="G1035" s="18" t="n">
        <v>4.36595525345536</v>
      </c>
      <c r="H1035" s="18" t="n">
        <v>4.79444189677989</v>
      </c>
      <c r="I1035" s="18" t="n">
        <v>4.74904291122731</v>
      </c>
      <c r="J1035" s="18" t="n">
        <v>4.71911950069746</v>
      </c>
    </row>
    <row r="1036" customFormat="false" ht="15" hidden="false" customHeight="false" outlineLevel="0" collapsed="false">
      <c r="A1036" s="28" t="n">
        <v>103112.130838922</v>
      </c>
      <c r="B1036" s="29" t="n">
        <v>6</v>
      </c>
      <c r="C1036" s="18" t="n">
        <v>4.81055537138172</v>
      </c>
      <c r="D1036" s="18" t="n">
        <v>5.54452836752787</v>
      </c>
      <c r="E1036" s="18" t="n">
        <v>6.01888692428669</v>
      </c>
      <c r="F1036" s="18" t="n">
        <v>5.85510514890071</v>
      </c>
      <c r="G1036" s="18" t="n">
        <v>4.77287199436187</v>
      </c>
      <c r="H1036" s="18" t="n">
        <v>4.78107354892652</v>
      </c>
      <c r="I1036" s="18" t="n">
        <v>4.74904248349754</v>
      </c>
      <c r="J1036" s="18" t="n">
        <v>4.74064120296471</v>
      </c>
    </row>
    <row r="1037" customFormat="false" ht="15" hidden="false" customHeight="false" outlineLevel="0" collapsed="false">
      <c r="A1037" s="28" t="n">
        <v>103212.142605012</v>
      </c>
      <c r="B1037" s="29" t="n">
        <v>6</v>
      </c>
      <c r="C1037" s="18" t="n">
        <v>4.42017336255205</v>
      </c>
      <c r="D1037" s="18" t="n">
        <v>8.00503276515915</v>
      </c>
      <c r="E1037" s="18" t="n">
        <v>6.01743060714586</v>
      </c>
      <c r="F1037" s="18" t="n">
        <v>5.43446183714717</v>
      </c>
      <c r="G1037" s="18" t="n">
        <v>4.89572848412532</v>
      </c>
      <c r="H1037" s="18" t="n">
        <v>4.67158031848091</v>
      </c>
      <c r="I1037" s="18" t="n">
        <v>4.74904206379639</v>
      </c>
      <c r="J1037" s="18" t="n">
        <v>4.76165771530726</v>
      </c>
    </row>
    <row r="1038" customFormat="false" ht="15" hidden="false" customHeight="false" outlineLevel="0" collapsed="false">
      <c r="A1038" s="28" t="n">
        <v>103312.154371103</v>
      </c>
      <c r="B1038" s="29" t="n">
        <v>6</v>
      </c>
      <c r="C1038" s="18" t="n">
        <v>4.62150145465737</v>
      </c>
      <c r="D1038" s="18" t="n">
        <v>6.74796367902517</v>
      </c>
      <c r="E1038" s="18" t="n">
        <v>6.01609572152749</v>
      </c>
      <c r="F1038" s="18" t="n">
        <v>5.5567171145294</v>
      </c>
      <c r="G1038" s="18" t="n">
        <v>4.92500548012186</v>
      </c>
      <c r="H1038" s="18" t="n">
        <v>4.63105629537038</v>
      </c>
      <c r="I1038" s="18" t="n">
        <v>4.74904165510305</v>
      </c>
      <c r="J1038" s="18" t="n">
        <v>4.76382661950937</v>
      </c>
    </row>
    <row r="1039" customFormat="false" ht="15" hidden="false" customHeight="false" outlineLevel="0" collapsed="false">
      <c r="A1039" s="28" t="n">
        <v>103412.166137193</v>
      </c>
      <c r="B1039" s="29" t="n">
        <v>6</v>
      </c>
      <c r="C1039" s="18" t="n">
        <v>5.23264962729974</v>
      </c>
      <c r="D1039" s="18" t="n">
        <v>4.95930630655192</v>
      </c>
      <c r="E1039" s="18" t="n">
        <v>6.01487079882273</v>
      </c>
      <c r="F1039" s="18" t="n">
        <v>5.91520476351939</v>
      </c>
      <c r="G1039" s="18" t="n">
        <v>4.91038410087368</v>
      </c>
      <c r="H1039" s="18" t="n">
        <v>4.78589082260376</v>
      </c>
      <c r="I1039" s="18" t="n">
        <v>4.74904125959894</v>
      </c>
      <c r="J1039" s="18" t="n">
        <v>4.75758829004284</v>
      </c>
    </row>
    <row r="1040" customFormat="false" ht="15" hidden="false" customHeight="false" outlineLevel="0" collapsed="false">
      <c r="A1040" s="28" t="n">
        <v>103512.177903283</v>
      </c>
      <c r="B1040" s="29" t="n">
        <v>6</v>
      </c>
      <c r="C1040" s="18" t="n">
        <v>9.04414072264138</v>
      </c>
      <c r="D1040" s="18" t="n">
        <v>5.03465174536612</v>
      </c>
      <c r="E1040" s="18" t="n">
        <v>6.01374564552493</v>
      </c>
      <c r="F1040" s="18" t="n">
        <v>6.84357312915062</v>
      </c>
      <c r="G1040" s="18" t="n">
        <v>4.43012538033235</v>
      </c>
      <c r="H1040" s="18" t="n">
        <v>4.79554965604851</v>
      </c>
      <c r="I1040" s="18" t="n">
        <v>4.74904087882613</v>
      </c>
      <c r="J1040" s="18" t="n">
        <v>4.73493325816961</v>
      </c>
    </row>
    <row r="1041" customFormat="false" ht="15" hidden="false" customHeight="false" outlineLevel="0" collapsed="false">
      <c r="A1041" s="28" t="n">
        <v>103612.189669373</v>
      </c>
      <c r="B1041" s="29" t="n">
        <v>6</v>
      </c>
      <c r="C1041" s="18" t="n">
        <v>5.9876867118145</v>
      </c>
      <c r="D1041" s="18" t="n">
        <v>5.38644655501114</v>
      </c>
      <c r="E1041" s="18" t="n">
        <v>6.01271117511244</v>
      </c>
      <c r="F1041" s="18" t="n">
        <v>6.33819623759815</v>
      </c>
      <c r="G1041" s="18" t="n">
        <v>4.35565495420125</v>
      </c>
      <c r="H1041" s="18" t="n">
        <v>4.78634116354528</v>
      </c>
      <c r="I1041" s="18" t="n">
        <v>4.74904051381576</v>
      </c>
      <c r="J1041" s="18" t="n">
        <v>4.72388213241845</v>
      </c>
    </row>
    <row r="1042" customFormat="false" ht="15" hidden="false" customHeight="false" outlineLevel="0" collapsed="false">
      <c r="A1042" s="28" t="n">
        <v>103712.201435463</v>
      </c>
      <c r="B1042" s="29" t="n">
        <v>6</v>
      </c>
      <c r="C1042" s="18" t="n">
        <v>4.41683837266385</v>
      </c>
      <c r="D1042" s="18" t="n">
        <v>7.36421170148909</v>
      </c>
      <c r="E1042" s="18" t="n">
        <v>6.01175926564508</v>
      </c>
      <c r="F1042" s="18" t="n">
        <v>5.48428509299853</v>
      </c>
      <c r="G1042" s="18" t="n">
        <v>4.86458346309999</v>
      </c>
      <c r="H1042" s="18" t="n">
        <v>4.74101906372895</v>
      </c>
      <c r="I1042" s="18" t="n">
        <v>4.7490401651922</v>
      </c>
      <c r="J1042" s="18" t="n">
        <v>4.75749409731595</v>
      </c>
    </row>
    <row r="1043" customFormat="false" ht="15" hidden="false" customHeight="false" outlineLevel="0" collapsed="false">
      <c r="A1043" s="28" t="n">
        <v>103812.213201553</v>
      </c>
      <c r="B1043" s="29" t="n">
        <v>6</v>
      </c>
      <c r="C1043" s="18" t="n">
        <v>4.51440735820498</v>
      </c>
      <c r="D1043" s="18" t="n">
        <v>8.22852736039758</v>
      </c>
      <c r="E1043" s="18" t="n">
        <v>6.01088263863643</v>
      </c>
      <c r="F1043" s="18" t="n">
        <v>5.49308488322769</v>
      </c>
      <c r="G1043" s="18" t="n">
        <v>4.91692521451282</v>
      </c>
      <c r="H1043" s="18" t="n">
        <v>4.62902480721809</v>
      </c>
      <c r="I1043" s="18" t="n">
        <v>4.74903983325777</v>
      </c>
      <c r="J1043" s="18" t="n">
        <v>4.76390682786278</v>
      </c>
    </row>
    <row r="1044" customFormat="false" ht="15" hidden="false" customHeight="false" outlineLevel="0" collapsed="false">
      <c r="A1044" s="28" t="n">
        <v>103912.224967643</v>
      </c>
      <c r="B1044" s="29" t="n">
        <v>6</v>
      </c>
      <c r="C1044" s="18" t="n">
        <v>4.88077633682774</v>
      </c>
      <c r="D1044" s="18" t="n">
        <v>5.08847149520403</v>
      </c>
      <c r="E1044" s="18" t="n">
        <v>6.0100747556119</v>
      </c>
      <c r="F1044" s="18" t="n">
        <v>5.76308930830491</v>
      </c>
      <c r="G1044" s="18" t="n">
        <v>4.92535800310519</v>
      </c>
      <c r="H1044" s="18" t="n">
        <v>4.77544851784887</v>
      </c>
      <c r="I1044" s="18" t="n">
        <v>4.74903951806159</v>
      </c>
      <c r="J1044" s="18" t="n">
        <v>4.76058876049299</v>
      </c>
    </row>
    <row r="1045" customFormat="false" ht="15" hidden="false" customHeight="false" outlineLevel="0" collapsed="false">
      <c r="A1045" s="28" t="n">
        <v>104012.236733733</v>
      </c>
      <c r="B1045" s="29" t="n">
        <v>6</v>
      </c>
      <c r="C1045" s="18" t="n">
        <v>8.67911653125727</v>
      </c>
      <c r="D1045" s="18" t="n">
        <v>4.97257980571638</v>
      </c>
      <c r="E1045" s="18" t="n">
        <v>6.00932972943404</v>
      </c>
      <c r="F1045" s="18" t="n">
        <v>6.40555175707077</v>
      </c>
      <c r="G1045" s="18" t="n">
        <v>4.55303172480292</v>
      </c>
      <c r="H1045" s="18" t="n">
        <v>4.79604486645188</v>
      </c>
      <c r="I1045" s="18" t="n">
        <v>4.74903921945546</v>
      </c>
      <c r="J1045" s="18" t="n">
        <v>4.74613675232307</v>
      </c>
    </row>
    <row r="1046" customFormat="false" ht="15" hidden="false" customHeight="false" outlineLevel="0" collapsed="false">
      <c r="A1046" s="28" t="n">
        <v>104112.248499824</v>
      </c>
      <c r="B1046" s="29" t="n">
        <v>6</v>
      </c>
      <c r="C1046" s="18" t="n">
        <v>9.0453178362064</v>
      </c>
      <c r="D1046" s="18" t="n">
        <v>5.24803736287385</v>
      </c>
      <c r="E1046" s="18" t="n">
        <v>6.00864224800904</v>
      </c>
      <c r="F1046" s="18" t="n">
        <v>6.93431787489957</v>
      </c>
      <c r="G1046" s="18" t="n">
        <v>4.3405413795149</v>
      </c>
      <c r="H1046" s="18" t="n">
        <v>4.7906954216687</v>
      </c>
      <c r="I1046" s="18" t="n">
        <v>4.74903893713945</v>
      </c>
      <c r="J1046" s="18" t="n">
        <v>4.71513274488653</v>
      </c>
    </row>
    <row r="1047" customFormat="false" ht="15" hidden="false" customHeight="false" outlineLevel="0" collapsed="false">
      <c r="A1047" s="28" t="n">
        <v>104212.260265914</v>
      </c>
      <c r="B1047" s="29" t="n">
        <v>6</v>
      </c>
      <c r="C1047" s="18" t="n">
        <v>4.63231970326303</v>
      </c>
      <c r="D1047" s="18" t="n">
        <v>6.01769369514819</v>
      </c>
      <c r="E1047" s="18" t="n">
        <v>6.00800750841618</v>
      </c>
      <c r="F1047" s="18" t="n">
        <v>5.62884874466053</v>
      </c>
      <c r="G1047" s="18" t="n">
        <v>4.812674119155</v>
      </c>
      <c r="H1047" s="18" t="n">
        <v>4.76610444492505</v>
      </c>
      <c r="I1047" s="18" t="n">
        <v>4.7490386706987</v>
      </c>
      <c r="J1047" s="18" t="n">
        <v>4.75038329345253</v>
      </c>
    </row>
    <row r="1048" customFormat="false" ht="15" hidden="false" customHeight="false" outlineLevel="0" collapsed="false">
      <c r="A1048" s="28" t="n">
        <v>104312.272032004</v>
      </c>
      <c r="B1048" s="29" t="n">
        <v>6</v>
      </c>
      <c r="C1048" s="18" t="n">
        <v>4.44340365548875</v>
      </c>
      <c r="D1048" s="18" t="n">
        <v>8.26910539299697</v>
      </c>
      <c r="E1048" s="18" t="n">
        <v>6.00742115984387</v>
      </c>
      <c r="F1048" s="18" t="n">
        <v>5.45837295969577</v>
      </c>
      <c r="G1048" s="18" t="n">
        <v>4.90399518415386</v>
      </c>
      <c r="H1048" s="18" t="n">
        <v>4.63764759396281</v>
      </c>
      <c r="I1048" s="18" t="n">
        <v>4.74903841963339</v>
      </c>
      <c r="J1048" s="18" t="n">
        <v>4.76302972469128</v>
      </c>
    </row>
    <row r="1049" customFormat="false" ht="15" hidden="false" customHeight="false" outlineLevel="0" collapsed="false">
      <c r="A1049" s="28" t="n">
        <v>104412.283798094</v>
      </c>
      <c r="B1049" s="29" t="n">
        <v>6</v>
      </c>
      <c r="C1049" s="18" t="n">
        <v>4.69073316072711</v>
      </c>
      <c r="D1049" s="18" t="n">
        <v>5.33476490370422</v>
      </c>
      <c r="E1049" s="18" t="n">
        <v>6.00687925399391</v>
      </c>
      <c r="F1049" s="18" t="n">
        <v>5.65366745764301</v>
      </c>
      <c r="G1049" s="18" t="n">
        <v>4.92698366485391</v>
      </c>
      <c r="H1049" s="18" t="n">
        <v>4.75587835461219</v>
      </c>
      <c r="I1049" s="18" t="n">
        <v>4.74903818338289</v>
      </c>
      <c r="J1049" s="18" t="n">
        <v>4.76239140063551</v>
      </c>
    </row>
    <row r="1050" customFormat="false" ht="15" hidden="false" customHeight="false" outlineLevel="0" collapsed="false">
      <c r="A1050" s="28" t="n">
        <v>104512.295564184</v>
      </c>
      <c r="B1050" s="29" t="n">
        <v>6</v>
      </c>
      <c r="C1050" s="18" t="n">
        <v>5.6515321623581</v>
      </c>
      <c r="D1050" s="18" t="n">
        <v>4.94507152864213</v>
      </c>
      <c r="E1050" s="18" t="n">
        <v>6.0063782018413</v>
      </c>
      <c r="F1050" s="18" t="n">
        <v>6.12154651441549</v>
      </c>
      <c r="G1050" s="18" t="n">
        <v>4.89128647561786</v>
      </c>
      <c r="H1050" s="18" t="n">
        <v>4.79495718027113</v>
      </c>
      <c r="I1050" s="18" t="n">
        <v>4.74903796134523</v>
      </c>
      <c r="J1050" s="18" t="n">
        <v>4.7527990630799</v>
      </c>
    </row>
    <row r="1051" customFormat="false" ht="15" hidden="false" customHeight="false" outlineLevel="0" collapsed="false">
      <c r="A1051" s="28" t="n">
        <v>104612.307330274</v>
      </c>
      <c r="B1051" s="29" t="n">
        <v>6</v>
      </c>
      <c r="C1051" s="18" t="n">
        <v>9.13528166535246</v>
      </c>
      <c r="D1051" s="18" t="n">
        <v>5.15905949799214</v>
      </c>
      <c r="E1051" s="18" t="n">
        <v>6.00591473582033</v>
      </c>
      <c r="F1051" s="18" t="n">
        <v>7.08649429027831</v>
      </c>
      <c r="G1051" s="18" t="n">
        <v>4.39558104004287</v>
      </c>
      <c r="H1051" s="18" t="n">
        <v>4.79310574642037</v>
      </c>
      <c r="I1051" s="18" t="n">
        <v>4.74903775289276</v>
      </c>
      <c r="J1051" s="18" t="n">
        <v>4.7216639702002</v>
      </c>
    </row>
    <row r="1052" customFormat="false" ht="15" hidden="false" customHeight="false" outlineLevel="0" collapsed="false">
      <c r="A1052" s="28" t="n">
        <v>104712.319096364</v>
      </c>
      <c r="B1052" s="29" t="n">
        <v>6</v>
      </c>
      <c r="C1052" s="18" t="n">
        <v>5.09537932622093</v>
      </c>
      <c r="D1052" s="18" t="n">
        <v>5.69568696732415</v>
      </c>
      <c r="E1052" s="18" t="n">
        <v>6.00548587665865</v>
      </c>
      <c r="F1052" s="18" t="n">
        <v>5.89064971119169</v>
      </c>
      <c r="G1052" s="18" t="n">
        <v>4.66663519010279</v>
      </c>
      <c r="H1052" s="18" t="n">
        <v>4.77601581454518</v>
      </c>
      <c r="I1052" s="18" t="n">
        <v>4.74903755738459</v>
      </c>
      <c r="J1052" s="18" t="n">
        <v>4.74005651220268</v>
      </c>
    </row>
    <row r="1053" customFormat="false" ht="15" hidden="false" customHeight="false" outlineLevel="0" collapsed="false">
      <c r="A1053" s="28" t="n">
        <v>104812.330862454</v>
      </c>
      <c r="B1053" s="29" t="n">
        <v>6</v>
      </c>
      <c r="C1053" s="18" t="n">
        <v>4.4064999150025</v>
      </c>
      <c r="D1053" s="18" t="n">
        <v>8.16573636982594</v>
      </c>
      <c r="E1053" s="18" t="n">
        <v>6.00508890420515</v>
      </c>
      <c r="F1053" s="18" t="n">
        <v>5.45656837213534</v>
      </c>
      <c r="G1053" s="18" t="n">
        <v>4.8847021483898</v>
      </c>
      <c r="H1053" s="18" t="n">
        <v>4.65127652895837</v>
      </c>
      <c r="I1053" s="18" t="n">
        <v>4.74903737417647</v>
      </c>
      <c r="J1053" s="18" t="n">
        <v>4.76109454648104</v>
      </c>
    </row>
    <row r="1054" customFormat="false" ht="15" hidden="false" customHeight="false" outlineLevel="0" collapsed="false">
      <c r="A1054" s="28" t="n">
        <v>104912.342628545</v>
      </c>
      <c r="B1054" s="29" t="n">
        <v>6</v>
      </c>
      <c r="C1054" s="18" t="n">
        <v>4.56346266272531</v>
      </c>
      <c r="D1054" s="18" t="n">
        <v>5.70710359623019</v>
      </c>
      <c r="E1054" s="18" t="n">
        <v>6.00472133169991</v>
      </c>
      <c r="F1054" s="18" t="n">
        <v>5.57337351872857</v>
      </c>
      <c r="G1054" s="18" t="n">
        <v>4.92165298205643</v>
      </c>
      <c r="H1054" s="18" t="n">
        <v>4.68730422997744</v>
      </c>
      <c r="I1054" s="18" t="n">
        <v>4.74903720262855</v>
      </c>
      <c r="J1054" s="18" t="n">
        <v>4.76333296274836</v>
      </c>
    </row>
    <row r="1055" customFormat="false" ht="15" hidden="false" customHeight="false" outlineLevel="0" collapsed="false">
      <c r="A1055" s="28" t="n">
        <v>105012.354394635</v>
      </c>
      <c r="B1055" s="29" t="n">
        <v>6</v>
      </c>
      <c r="C1055" s="18" t="n">
        <v>5.02226827564626</v>
      </c>
      <c r="D1055" s="18" t="n">
        <v>4.92512637806188</v>
      </c>
      <c r="E1055" s="18" t="n">
        <v>6.00438088301957</v>
      </c>
      <c r="F1055" s="18" t="n">
        <v>5.93232475024166</v>
      </c>
      <c r="G1055" s="18" t="n">
        <v>4.92031025182854</v>
      </c>
      <c r="H1055" s="18" t="n">
        <v>4.79145596939106</v>
      </c>
      <c r="I1055" s="18" t="n">
        <v>4.74903704211143</v>
      </c>
      <c r="J1055" s="18" t="n">
        <v>4.75703524546309</v>
      </c>
    </row>
    <row r="1056" customFormat="false" ht="15" hidden="false" customHeight="false" outlineLevel="0" collapsed="false">
      <c r="A1056" s="28" t="n">
        <v>105112.366160725</v>
      </c>
      <c r="B1056" s="29" t="n">
        <v>6</v>
      </c>
      <c r="C1056" s="18" t="n">
        <v>8.90611448186421</v>
      </c>
      <c r="D1056" s="18" t="n">
        <v>5.07537965951964</v>
      </c>
      <c r="E1056" s="18" t="n">
        <v>6.00406547250186</v>
      </c>
      <c r="F1056" s="18" t="n">
        <v>6.8316520288679</v>
      </c>
      <c r="G1056" s="18" t="n">
        <v>4.47377739101139</v>
      </c>
      <c r="H1056" s="18" t="n">
        <v>4.79500318973691</v>
      </c>
      <c r="I1056" s="18" t="n">
        <v>4.7490368920107</v>
      </c>
      <c r="J1056" s="18" t="n">
        <v>4.73452936584359</v>
      </c>
    </row>
    <row r="1057" customFormat="false" ht="15" hidden="false" customHeight="false" outlineLevel="0" collapsed="false">
      <c r="A1057" s="28" t="n">
        <v>105212.377926815</v>
      </c>
      <c r="B1057" s="29" t="n">
        <v>6</v>
      </c>
      <c r="C1057" s="18" t="n">
        <v>8.73391070170139</v>
      </c>
      <c r="D1057" s="18" t="n">
        <v>5.48184135429159</v>
      </c>
      <c r="E1057" s="18" t="n">
        <v>6.00377318701238</v>
      </c>
      <c r="F1057" s="18" t="n">
        <v>6.28765336327512</v>
      </c>
      <c r="G1057" s="18" t="n">
        <v>4.33739874414145</v>
      </c>
      <c r="H1057" s="18" t="n">
        <v>4.78321064515078</v>
      </c>
      <c r="I1057" s="18" t="n">
        <v>4.74903675173042</v>
      </c>
      <c r="J1057" s="18" t="n">
        <v>4.72655844224945</v>
      </c>
    </row>
    <row r="1058" customFormat="false" ht="15" hidden="false" customHeight="false" outlineLevel="0" collapsed="false">
      <c r="A1058" s="28" t="n">
        <v>105312.389692905</v>
      </c>
      <c r="B1058" s="29" t="n">
        <v>6</v>
      </c>
      <c r="C1058" s="18" t="n">
        <v>4.50775140785229</v>
      </c>
      <c r="D1058" s="18" t="n">
        <v>7.87294084414314</v>
      </c>
      <c r="E1058" s="18" t="n">
        <v>6.00350226996582</v>
      </c>
      <c r="F1058" s="18" t="n">
        <v>5.4981514808384</v>
      </c>
      <c r="G1058" s="18" t="n">
        <v>4.84125194225165</v>
      </c>
      <c r="H1058" s="18" t="n">
        <v>4.69505150879392</v>
      </c>
      <c r="I1058" s="18" t="n">
        <v>4.74903662069561</v>
      </c>
      <c r="J1058" s="18" t="n">
        <v>4.7576034047907</v>
      </c>
    </row>
    <row r="1059" customFormat="false" ht="15" hidden="false" customHeight="false" outlineLevel="0" collapsed="false">
      <c r="A1059" s="28" t="n">
        <v>105412.401458995</v>
      </c>
      <c r="B1059" s="29" t="n">
        <v>6</v>
      </c>
      <c r="C1059" s="18" t="n">
        <v>4.47476399469188</v>
      </c>
      <c r="D1059" s="18" t="n">
        <v>7.81948056058276</v>
      </c>
      <c r="E1059" s="18" t="n">
        <v>6.00325110705568</v>
      </c>
      <c r="F1059" s="18" t="n">
        <v>5.51600747033864</v>
      </c>
      <c r="G1059" s="18" t="n">
        <v>4.91101851510662</v>
      </c>
      <c r="H1059" s="18" t="n">
        <v>4.62820286032614</v>
      </c>
      <c r="I1059" s="18" t="n">
        <v>4.74903649835399</v>
      </c>
      <c r="J1059" s="18" t="n">
        <v>4.76349391886734</v>
      </c>
    </row>
    <row r="1060" customFormat="false" ht="15" hidden="false" customHeight="false" outlineLevel="0" collapsed="false">
      <c r="A1060" s="28" t="n">
        <v>105512.413225085</v>
      </c>
      <c r="B1060" s="29" t="n">
        <v>6</v>
      </c>
      <c r="C1060" s="18" t="n">
        <v>4.77485316715412</v>
      </c>
      <c r="D1060" s="18" t="n">
        <v>4.99819005738035</v>
      </c>
      <c r="E1060" s="18" t="n">
        <v>6.00301821348094</v>
      </c>
      <c r="F1060" s="18" t="n">
        <v>5.79569574035382</v>
      </c>
      <c r="G1060" s="18" t="n">
        <v>4.92727752979675</v>
      </c>
      <c r="H1060" s="18" t="n">
        <v>4.78249838990293</v>
      </c>
      <c r="I1060" s="18" t="n">
        <v>4.74903638417708</v>
      </c>
      <c r="J1060" s="18" t="n">
        <v>4.7598084926347</v>
      </c>
    </row>
    <row r="1061" customFormat="false" ht="15" hidden="false" customHeight="false" outlineLevel="0" collapsed="false">
      <c r="A1061" s="28" t="n">
        <v>105612.424991175</v>
      </c>
      <c r="B1061" s="29" t="n">
        <v>6</v>
      </c>
      <c r="C1061" s="18" t="n">
        <v>8.12584788335627</v>
      </c>
      <c r="D1061" s="18" t="n">
        <v>5.00677460598957</v>
      </c>
      <c r="E1061" s="18" t="n">
        <v>6.00280222248836</v>
      </c>
      <c r="F1061" s="18" t="n">
        <v>6.46426203380075</v>
      </c>
      <c r="G1061" s="18" t="n">
        <v>4.84609054382375</v>
      </c>
      <c r="H1061" s="18" t="n">
        <v>4.79593157776631</v>
      </c>
      <c r="I1061" s="18" t="n">
        <v>4.74903627766081</v>
      </c>
      <c r="J1061" s="18" t="n">
        <v>4.74443144808658</v>
      </c>
    </row>
    <row r="1062" customFormat="false" ht="15" hidden="false" customHeight="false" outlineLevel="0" collapsed="false">
      <c r="A1062" s="28" t="n">
        <v>105712.436757266</v>
      </c>
      <c r="B1062" s="29" t="n">
        <v>6</v>
      </c>
      <c r="C1062" s="18" t="n">
        <v>9.18445656214237</v>
      </c>
      <c r="D1062" s="18" t="n">
        <v>5.32642905577149</v>
      </c>
      <c r="E1062" s="18" t="n">
        <v>6.00260187507315</v>
      </c>
      <c r="F1062" s="18" t="n">
        <v>6.78468545088818</v>
      </c>
      <c r="G1062" s="18" t="n">
        <v>4.36584510272554</v>
      </c>
      <c r="H1062" s="18" t="n">
        <v>4.78830190116291</v>
      </c>
      <c r="I1062" s="18" t="n">
        <v>4.74903617832577</v>
      </c>
      <c r="J1062" s="18" t="n">
        <v>4.71724125728237</v>
      </c>
    </row>
    <row r="1063" customFormat="false" ht="15" hidden="false" customHeight="false" outlineLevel="0" collapsed="false">
      <c r="A1063" s="28" t="n">
        <v>105812.448523356</v>
      </c>
      <c r="B1063" s="29" t="n">
        <v>6</v>
      </c>
      <c r="C1063" s="18" t="n">
        <v>4.80991031669964</v>
      </c>
      <c r="D1063" s="18" t="n">
        <v>6.55589035789958</v>
      </c>
      <c r="E1063" s="18" t="n">
        <v>6.00241601070281</v>
      </c>
      <c r="F1063" s="18" t="n">
        <v>5.60760632729641</v>
      </c>
      <c r="G1063" s="18" t="n">
        <v>4.77300499136359</v>
      </c>
      <c r="H1063" s="18" t="n">
        <v>4.75428252492203</v>
      </c>
      <c r="I1063" s="18" t="n">
        <v>4.74903608571711</v>
      </c>
      <c r="J1063" s="18" t="n">
        <v>4.75190972082024</v>
      </c>
    </row>
    <row r="1064" customFormat="false" ht="15" hidden="false" customHeight="false" outlineLevel="0" collapsed="false">
      <c r="A1064" s="28" t="n">
        <v>105912.460289446</v>
      </c>
      <c r="B1064" s="29" t="n">
        <v>6</v>
      </c>
      <c r="C1064" s="18" t="n">
        <v>4.4201654102083</v>
      </c>
      <c r="D1064" s="18" t="n">
        <v>8.27662084705576</v>
      </c>
      <c r="E1064" s="18" t="n">
        <v>6.00224355894639</v>
      </c>
      <c r="F1064" s="18" t="n">
        <v>5.4807674606755</v>
      </c>
      <c r="G1064" s="18" t="n">
        <v>4.89574646019651</v>
      </c>
      <c r="H1064" s="18" t="n">
        <v>4.63162555627208</v>
      </c>
      <c r="I1064" s="18" t="n">
        <v>4.74903599940421</v>
      </c>
      <c r="J1064" s="18" t="n">
        <v>4.76290893858765</v>
      </c>
    </row>
    <row r="1065" customFormat="false" ht="15" hidden="false" customHeight="false" outlineLevel="0" collapsed="false">
      <c r="A1065" s="28" t="n">
        <v>106012.472055536</v>
      </c>
      <c r="B1065" s="29" t="n">
        <v>6</v>
      </c>
      <c r="C1065" s="18" t="n">
        <v>4.62157570630117</v>
      </c>
      <c r="D1065" s="18" t="n">
        <v>5.17407428478956</v>
      </c>
      <c r="E1065" s="18" t="n">
        <v>6.0020835319072</v>
      </c>
      <c r="F1065" s="18" t="n">
        <v>5.69290701062357</v>
      </c>
      <c r="G1065" s="18" t="n">
        <v>4.92501151786173</v>
      </c>
      <c r="H1065" s="18" t="n">
        <v>4.76928451773007</v>
      </c>
      <c r="I1065" s="18" t="n">
        <v>4.74903591898014</v>
      </c>
      <c r="J1065" s="18" t="n">
        <v>4.76159042869982</v>
      </c>
    </row>
    <row r="1066" customFormat="false" ht="15" hidden="false" customHeight="false" outlineLevel="0" collapsed="false">
      <c r="A1066" s="28" t="n">
        <v>106112.483821626</v>
      </c>
      <c r="B1066" s="29" t="n">
        <v>6</v>
      </c>
      <c r="C1066" s="18" t="n">
        <v>5.23299723195529</v>
      </c>
      <c r="D1066" s="18" t="n">
        <v>4.96690322347013</v>
      </c>
      <c r="E1066" s="18" t="n">
        <v>6.00193501736987</v>
      </c>
      <c r="F1066" s="18" t="n">
        <v>6.19666692737652</v>
      </c>
      <c r="G1066" s="18" t="n">
        <v>4.91036891008075</v>
      </c>
      <c r="H1066" s="18" t="n">
        <v>4.79563443539922</v>
      </c>
      <c r="I1066" s="18" t="n">
        <v>4.74903584406101</v>
      </c>
      <c r="J1066" s="18" t="n">
        <v>4.75086062108398</v>
      </c>
    </row>
    <row r="1067" customFormat="false" ht="15" hidden="false" customHeight="false" outlineLevel="0" collapsed="false">
      <c r="A1067" s="28" t="n">
        <v>106212.495587716</v>
      </c>
      <c r="B1067" s="29" t="n">
        <v>6</v>
      </c>
      <c r="C1067" s="18" t="n">
        <v>9.04429258866764</v>
      </c>
      <c r="D1067" s="18" t="n">
        <v>5.22280846487271</v>
      </c>
      <c r="E1067" s="18" t="n">
        <v>6.00179717258421</v>
      </c>
      <c r="F1067" s="18" t="n">
        <v>7.0398828195978</v>
      </c>
      <c r="G1067" s="18" t="n">
        <v>4.43008732046904</v>
      </c>
      <c r="H1067" s="18" t="n">
        <v>4.79138188810355</v>
      </c>
      <c r="I1067" s="18" t="n">
        <v>4.7490357742852</v>
      </c>
      <c r="J1067" s="18" t="n">
        <v>4.71986141196768</v>
      </c>
    </row>
    <row r="1068" customFormat="false" ht="15" hidden="false" customHeight="false" outlineLevel="0" collapsed="false">
      <c r="A1068" s="28" t="n">
        <v>106312.507353806</v>
      </c>
      <c r="B1068" s="29" t="n">
        <v>6</v>
      </c>
      <c r="C1068" s="18" t="n">
        <v>5.98593135125356</v>
      </c>
      <c r="D1068" s="18" t="n">
        <v>5.90756387284592</v>
      </c>
      <c r="E1068" s="18" t="n">
        <v>6.00166921861761</v>
      </c>
      <c r="F1068" s="18" t="n">
        <v>5.80429754354911</v>
      </c>
      <c r="G1068" s="18" t="n">
        <v>4.35567531053498</v>
      </c>
      <c r="H1068" s="18" t="n">
        <v>4.7692773214833</v>
      </c>
      <c r="I1068" s="18" t="n">
        <v>4.74903570931252</v>
      </c>
      <c r="J1068" s="18" t="n">
        <v>4.74388582739968</v>
      </c>
    </row>
    <row r="1069" customFormat="false" ht="15" hidden="false" customHeight="false" outlineLevel="0" collapsed="false">
      <c r="A1069" s="28" t="n">
        <v>106412.519119897</v>
      </c>
      <c r="B1069" s="29" t="n">
        <v>6</v>
      </c>
      <c r="C1069" s="18" t="n">
        <v>4.41678360701382</v>
      </c>
      <c r="D1069" s="18" t="n">
        <v>8.2502733912068</v>
      </c>
      <c r="E1069" s="18" t="n">
        <v>6.00155043521663</v>
      </c>
      <c r="F1069" s="18" t="n">
        <v>5.47009055231712</v>
      </c>
      <c r="G1069" s="18" t="n">
        <v>4.86459483059977</v>
      </c>
      <c r="H1069" s="18" t="n">
        <v>4.64057866081821</v>
      </c>
      <c r="I1069" s="18" t="n">
        <v>4.7490356488233</v>
      </c>
      <c r="J1069" s="18" t="n">
        <v>4.76153173471396</v>
      </c>
    </row>
    <row r="1070" customFormat="false" ht="15" hidden="false" customHeight="false" outlineLevel="0" collapsed="false">
      <c r="A1070" s="28" t="n">
        <v>106512.530885987</v>
      </c>
      <c r="B1070" s="29" t="n">
        <v>6</v>
      </c>
      <c r="C1070" s="18" t="n">
        <v>4.51441675504896</v>
      </c>
      <c r="D1070" s="18" t="n">
        <v>5.40555303188171</v>
      </c>
      <c r="E1070" s="18" t="n">
        <v>6.00144015612491</v>
      </c>
      <c r="F1070" s="18" t="n">
        <v>5.61416882767344</v>
      </c>
      <c r="G1070" s="18" t="n">
        <v>4.91692785317747</v>
      </c>
      <c r="H1070" s="18" t="n">
        <v>4.74874117328487</v>
      </c>
      <c r="I1070" s="18" t="n">
        <v>4.74903559251746</v>
      </c>
      <c r="J1070" s="18" t="n">
        <v>4.76267599498516</v>
      </c>
    </row>
    <row r="1071" customFormat="false" ht="15" hidden="false" customHeight="false" outlineLevel="0" collapsed="false">
      <c r="A1071" s="28" t="n">
        <v>106612.542652077</v>
      </c>
      <c r="B1071" s="29" t="n">
        <v>6</v>
      </c>
      <c r="C1071" s="18" t="n">
        <v>4.88081049581666</v>
      </c>
      <c r="D1071" s="18" t="n">
        <v>4.92841159720267</v>
      </c>
      <c r="E1071" s="18" t="n">
        <v>6.00133776481147</v>
      </c>
      <c r="F1071" s="18" t="n">
        <v>6.00941669046703</v>
      </c>
      <c r="G1071" s="18" t="n">
        <v>4.92535783089876</v>
      </c>
      <c r="H1071" s="18" t="n">
        <v>4.79471130153003</v>
      </c>
      <c r="I1071" s="18" t="n">
        <v>4.74903554011361</v>
      </c>
      <c r="J1071" s="18" t="n">
        <v>4.75518915891709</v>
      </c>
    </row>
    <row r="1072" customFormat="false" ht="15" hidden="false" customHeight="false" outlineLevel="0" collapsed="false">
      <c r="A1072" s="28" t="n">
        <v>106712.554418167</v>
      </c>
      <c r="B1072" s="29" t="n">
        <v>6</v>
      </c>
      <c r="C1072" s="18" t="n">
        <v>8.67921091072248</v>
      </c>
      <c r="D1072" s="18" t="n">
        <v>5.12141416990623</v>
      </c>
      <c r="E1072" s="18" t="n">
        <v>6.00124269056845</v>
      </c>
      <c r="F1072" s="18" t="n">
        <v>6.93613757335105</v>
      </c>
      <c r="G1072" s="18" t="n">
        <v>4.55299117663926</v>
      </c>
      <c r="H1072" s="18" t="n">
        <v>4.79409228152743</v>
      </c>
      <c r="I1072" s="18" t="n">
        <v>4.74903549134807</v>
      </c>
      <c r="J1072" s="18" t="n">
        <v>4.72969750164355</v>
      </c>
    </row>
    <row r="1073" customFormat="false" ht="15" hidden="false" customHeight="false" outlineLevel="0" collapsed="false">
      <c r="A1073" s="28" t="n">
        <v>106812.566184257</v>
      </c>
      <c r="B1073" s="29" t="n">
        <v>6</v>
      </c>
      <c r="C1073" s="18" t="n">
        <v>9.0452970743789</v>
      </c>
      <c r="D1073" s="18" t="n">
        <v>5.59583281638573</v>
      </c>
      <c r="E1073" s="18" t="n">
        <v>6.00115440494199</v>
      </c>
      <c r="F1073" s="18" t="n">
        <v>6.09675260568938</v>
      </c>
      <c r="G1073" s="18" t="n">
        <v>4.34053748999497</v>
      </c>
      <c r="H1073" s="18" t="n">
        <v>4.77938734315839</v>
      </c>
      <c r="I1073" s="18" t="n">
        <v>4.74903544597396</v>
      </c>
      <c r="J1073" s="18" t="n">
        <v>4.73343412208655</v>
      </c>
    </row>
    <row r="1074" customFormat="false" ht="15" hidden="false" customHeight="false" outlineLevel="0" collapsed="false">
      <c r="A1074" s="28" t="n">
        <v>106912.577950347</v>
      </c>
      <c r="B1074" s="29" t="n">
        <v>6</v>
      </c>
      <c r="C1074" s="18" t="n">
        <v>4.63229735701138</v>
      </c>
      <c r="D1074" s="18" t="n">
        <v>8.07887985047054</v>
      </c>
      <c r="E1074" s="18" t="n">
        <v>6.00107241846428</v>
      </c>
      <c r="F1074" s="18" t="n">
        <v>5.48977289673389</v>
      </c>
      <c r="G1074" s="18" t="n">
        <v>4.81267822390725</v>
      </c>
      <c r="H1074" s="18" t="n">
        <v>4.6618005245511</v>
      </c>
      <c r="I1074" s="18" t="n">
        <v>4.74903540376029</v>
      </c>
      <c r="J1074" s="18" t="n">
        <v>4.75910776932964</v>
      </c>
    </row>
    <row r="1075" customFormat="false" ht="15" hidden="false" customHeight="false" outlineLevel="0" collapsed="false">
      <c r="A1075" s="28" t="n">
        <v>107012.589716437</v>
      </c>
      <c r="B1075" s="29" t="n">
        <v>6</v>
      </c>
      <c r="C1075" s="18" t="n">
        <v>4.44340411409129</v>
      </c>
      <c r="D1075" s="18" t="n">
        <v>6.10137258992663</v>
      </c>
      <c r="E1075" s="18" t="n">
        <v>6.00099627765823</v>
      </c>
      <c r="F1075" s="18" t="n">
        <v>5.55472081948918</v>
      </c>
      <c r="G1075" s="18" t="n">
        <v>4.90399605152573</v>
      </c>
      <c r="H1075" s="18" t="n">
        <v>4.6384909797222</v>
      </c>
      <c r="I1075" s="18" t="n">
        <v>4.74903536449107</v>
      </c>
      <c r="J1075" s="18" t="n">
        <v>4.76312815254316</v>
      </c>
    </row>
    <row r="1076" customFormat="false" ht="15" hidden="false" customHeight="false" outlineLevel="0" collapsed="false">
      <c r="A1076" s="28" t="n">
        <v>107112.601482527</v>
      </c>
      <c r="B1076" s="29" t="n">
        <v>6</v>
      </c>
      <c r="C1076" s="18" t="n">
        <v>4.69073784145385</v>
      </c>
      <c r="D1076" s="18" t="n">
        <v>4.93525174660187</v>
      </c>
      <c r="E1076" s="18" t="n">
        <v>6.00092556228912</v>
      </c>
      <c r="F1076" s="18" t="n">
        <v>5.87065256052129</v>
      </c>
      <c r="G1076" s="18" t="n">
        <v>4.92698398429074</v>
      </c>
      <c r="H1076" s="18" t="n">
        <v>4.78814535630175</v>
      </c>
      <c r="I1076" s="18" t="n">
        <v>4.74903532796445</v>
      </c>
      <c r="J1076" s="18" t="n">
        <v>4.75817998411453</v>
      </c>
    </row>
    <row r="1077" customFormat="false" ht="15" hidden="false" customHeight="false" outlineLevel="0" collapsed="false">
      <c r="A1077" s="28" t="n">
        <v>107212.613248618</v>
      </c>
      <c r="B1077" s="29" t="n">
        <v>6</v>
      </c>
      <c r="C1077" s="18" t="n">
        <v>5.65158073466472</v>
      </c>
      <c r="D1077" s="18" t="n">
        <v>5.04956773437141</v>
      </c>
      <c r="E1077" s="18" t="n">
        <v>6.00085988284075</v>
      </c>
      <c r="F1077" s="18" t="n">
        <v>6.63626623086079</v>
      </c>
      <c r="G1077" s="18" t="n">
        <v>4.89128483338417</v>
      </c>
      <c r="H1077" s="18" t="n">
        <v>4.79539631038084</v>
      </c>
      <c r="I1077" s="18" t="n">
        <v>4.74903529399187</v>
      </c>
      <c r="J1077" s="18" t="n">
        <v>4.73971430499987</v>
      </c>
    </row>
    <row r="1078" customFormat="false" ht="15" hidden="false" customHeight="false" outlineLevel="0" collapsed="false">
      <c r="A1078" s="28" t="n">
        <v>107312.625014708</v>
      </c>
      <c r="B1078" s="29" t="n">
        <v>6</v>
      </c>
      <c r="C1078" s="18" t="n">
        <v>9.13528734765979</v>
      </c>
      <c r="D1078" s="18" t="n">
        <v>5.42179518037213</v>
      </c>
      <c r="E1078" s="18" t="n">
        <v>6.00079887819556</v>
      </c>
      <c r="F1078" s="18" t="n">
        <v>6.48617847812079</v>
      </c>
      <c r="G1078" s="18" t="n">
        <v>4.39557946211742</v>
      </c>
      <c r="H1078" s="18" t="n">
        <v>4.7852065853297</v>
      </c>
      <c r="I1078" s="18" t="n">
        <v>4.7490352623973</v>
      </c>
      <c r="J1078" s="18" t="n">
        <v>4.72243221095119</v>
      </c>
    </row>
    <row r="1079" customFormat="false" ht="15" hidden="false" customHeight="false" outlineLevel="0" collapsed="false">
      <c r="A1079" s="28" t="n">
        <v>107412.636780798</v>
      </c>
      <c r="B1079" s="29" t="n">
        <v>6</v>
      </c>
      <c r="C1079" s="18" t="n">
        <v>5.09536636149123</v>
      </c>
      <c r="D1079" s="18" t="n">
        <v>7.63806267654214</v>
      </c>
      <c r="E1079" s="18" t="n">
        <v>6.00074221350078</v>
      </c>
      <c r="F1079" s="18" t="n">
        <v>5.55250938982551</v>
      </c>
      <c r="G1079" s="18" t="n">
        <v>4.66664519423099</v>
      </c>
      <c r="H1079" s="18" t="n">
        <v>4.72895437262652</v>
      </c>
      <c r="I1079" s="18" t="n">
        <v>4.74903523301644</v>
      </c>
      <c r="J1079" s="18" t="n">
        <v>4.75515789202808</v>
      </c>
    </row>
    <row r="1080" customFormat="false" ht="15" hidden="false" customHeight="false" outlineLevel="0" collapsed="false">
      <c r="A1080" s="28" t="n">
        <v>107512.648546888</v>
      </c>
      <c r="B1080" s="29" t="n">
        <v>6</v>
      </c>
      <c r="C1080" s="18" t="n">
        <v>4.40649945279465</v>
      </c>
      <c r="D1080" s="18" t="n">
        <v>8.15977748883986</v>
      </c>
      <c r="E1080" s="18" t="n">
        <v>6.00068957820394</v>
      </c>
      <c r="F1080" s="18" t="n">
        <v>5.51301400520671</v>
      </c>
      <c r="G1080" s="18" t="n">
        <v>4.88470265637963</v>
      </c>
      <c r="H1080" s="18" t="n">
        <v>4.62827895519224</v>
      </c>
      <c r="I1080" s="18" t="n">
        <v>4.74903520569604</v>
      </c>
      <c r="J1080" s="18" t="n">
        <v>4.7629763294311</v>
      </c>
    </row>
    <row r="1081" customFormat="false" ht="15" hidden="false" customHeight="false" outlineLevel="0" collapsed="false">
      <c r="A1081" s="28" t="n">
        <v>107612.660312978</v>
      </c>
      <c r="B1081" s="29" t="n">
        <v>6</v>
      </c>
      <c r="C1081" s="18" t="n">
        <v>4.56346336369888</v>
      </c>
      <c r="D1081" s="18" t="n">
        <v>5.05333851764935</v>
      </c>
      <c r="E1081" s="18" t="n">
        <v>6.00064068424315</v>
      </c>
      <c r="F1081" s="18" t="n">
        <v>5.76422238533668</v>
      </c>
      <c r="G1081" s="18" t="n">
        <v>4.92165311757058</v>
      </c>
      <c r="H1081" s="18" t="n">
        <v>4.77851822353484</v>
      </c>
      <c r="I1081" s="18" t="n">
        <v>4.74903518029317</v>
      </c>
      <c r="J1081" s="18" t="n">
        <v>4.76023638334786</v>
      </c>
    </row>
    <row r="1082" customFormat="false" ht="15" hidden="false" customHeight="false" outlineLevel="0" collapsed="false">
      <c r="A1082" s="28" t="n">
        <v>107712.672079068</v>
      </c>
      <c r="B1082" s="29" t="n">
        <v>6</v>
      </c>
      <c r="C1082" s="18" t="n">
        <v>5.02227091503536</v>
      </c>
      <c r="D1082" s="18" t="n">
        <v>4.9957124389446</v>
      </c>
      <c r="E1082" s="18" t="n">
        <v>6.00059526437883</v>
      </c>
      <c r="F1082" s="18" t="n">
        <v>6.35581309914235</v>
      </c>
      <c r="G1082" s="18" t="n">
        <v>4.92031019665248</v>
      </c>
      <c r="H1082" s="18" t="n">
        <v>4.79582601520105</v>
      </c>
      <c r="I1082" s="18" t="n">
        <v>4.74903515667458</v>
      </c>
      <c r="J1082" s="18" t="n">
        <v>4.74684530912068</v>
      </c>
    </row>
    <row r="1083" customFormat="false" ht="15" hidden="false" customHeight="false" outlineLevel="0" collapsed="false">
      <c r="A1083" s="28" t="n">
        <v>107812.683845158</v>
      </c>
      <c r="B1083" s="29" t="n">
        <v>6</v>
      </c>
      <c r="C1083" s="18" t="n">
        <v>8.90611749082186</v>
      </c>
      <c r="D1083" s="18" t="n">
        <v>5.29554373907923</v>
      </c>
      <c r="E1083" s="18" t="n">
        <v>6.0005530706548</v>
      </c>
      <c r="F1083" s="18" t="n">
        <v>6.86902256945178</v>
      </c>
      <c r="G1083" s="18" t="n">
        <v>4.4737766829161</v>
      </c>
      <c r="H1083" s="18" t="n">
        <v>4.78923013573789</v>
      </c>
      <c r="I1083" s="18" t="n">
        <v>4.74903513471607</v>
      </c>
      <c r="J1083" s="18" t="n">
        <v>4.71847273777201</v>
      </c>
    </row>
    <row r="1084" customFormat="false" ht="15" hidden="false" customHeight="false" outlineLevel="0" collapsed="false">
      <c r="A1084" s="28" t="n">
        <v>107912.695611248</v>
      </c>
      <c r="B1084" s="29" t="n">
        <v>6</v>
      </c>
      <c r="C1084" s="18" t="n">
        <v>8.73390742219946</v>
      </c>
      <c r="D1084" s="18" t="n">
        <v>6.27834400246264</v>
      </c>
      <c r="E1084" s="18" t="n">
        <v>6.00051387297819</v>
      </c>
      <c r="F1084" s="18" t="n">
        <v>5.67607486302942</v>
      </c>
      <c r="G1084" s="18" t="n">
        <v>4.33739871819992</v>
      </c>
      <c r="H1084" s="18" t="n">
        <v>4.75954941185574</v>
      </c>
      <c r="I1084" s="18" t="n">
        <v>4.74903511430192</v>
      </c>
      <c r="J1084" s="18" t="n">
        <v>4.74946575284059</v>
      </c>
    </row>
    <row r="1085" customFormat="false" ht="15" hidden="false" customHeight="false" outlineLevel="0" collapsed="false">
      <c r="A1085" s="28" t="n">
        <v>108012.707377339</v>
      </c>
      <c r="B1085" s="29" t="n">
        <v>6</v>
      </c>
      <c r="C1085" s="18" t="n">
        <v>4.50775052275595</v>
      </c>
      <c r="D1085" s="18" t="n">
        <v>8.28067974286832</v>
      </c>
      <c r="E1085" s="18" t="n">
        <v>6.00047745780799</v>
      </c>
      <c r="F1085" s="18" t="n">
        <v>5.48958062247286</v>
      </c>
      <c r="G1085" s="18" t="n">
        <v>4.84125211458301</v>
      </c>
      <c r="H1085" s="18" t="n">
        <v>4.63358560374285</v>
      </c>
      <c r="I1085" s="18" t="n">
        <v>4.74903509532435</v>
      </c>
      <c r="J1085" s="18" t="n">
        <v>4.76223192168591</v>
      </c>
    </row>
    <row r="1086" customFormat="false" ht="15" hidden="false" customHeight="false" outlineLevel="0" collapsed="false">
      <c r="A1086" s="28" t="n">
        <v>108112.719143429</v>
      </c>
      <c r="B1086" s="29" t="n">
        <v>6</v>
      </c>
      <c r="C1086" s="18" t="n">
        <v>4.47476406551561</v>
      </c>
      <c r="D1086" s="18" t="n">
        <v>5.22411739031715</v>
      </c>
      <c r="E1086" s="18" t="n">
        <v>6.00044362694338</v>
      </c>
      <c r="F1086" s="18" t="n">
        <v>5.68082184376562</v>
      </c>
      <c r="G1086" s="18" t="n">
        <v>4.91101856000611</v>
      </c>
      <c r="H1086" s="18" t="n">
        <v>4.76488106370497</v>
      </c>
      <c r="I1086" s="18" t="n">
        <v>4.74903507768295</v>
      </c>
      <c r="J1086" s="18" t="n">
        <v>4.76160098222187</v>
      </c>
    </row>
    <row r="1087" customFormat="false" ht="15" hidden="false" customHeight="false" outlineLevel="0" collapsed="false">
      <c r="A1087" s="28" t="n">
        <v>108212.730909519</v>
      </c>
      <c r="B1087" s="29" t="n">
        <v>6</v>
      </c>
      <c r="C1087" s="18" t="n">
        <v>4.77485349978456</v>
      </c>
      <c r="D1087" s="18" t="n">
        <v>4.94491512367913</v>
      </c>
      <c r="E1087" s="18" t="n">
        <v>6.00041219640407</v>
      </c>
      <c r="F1087" s="18" t="n">
        <v>6.1491677426938</v>
      </c>
      <c r="G1087" s="18" t="n">
        <v>4.92727754300874</v>
      </c>
      <c r="H1087" s="18" t="n">
        <v>4.79567835872944</v>
      </c>
      <c r="I1087" s="18" t="n">
        <v>4.74903506128424</v>
      </c>
      <c r="J1087" s="18" t="n">
        <v>4.75181273260812</v>
      </c>
    </row>
    <row r="1088" customFormat="false" ht="15" hidden="false" customHeight="false" outlineLevel="0" collapsed="false">
      <c r="A1088" s="28" t="n">
        <v>108312.742675609</v>
      </c>
      <c r="B1088" s="29" t="n">
        <v>6</v>
      </c>
      <c r="C1088" s="18" t="n">
        <v>8.12585246243876</v>
      </c>
      <c r="D1088" s="18" t="n">
        <v>5.17723391286559</v>
      </c>
      <c r="E1088" s="18" t="n">
        <v>6.00038299539461</v>
      </c>
      <c r="F1088" s="18" t="n">
        <v>6.99624297529557</v>
      </c>
      <c r="G1088" s="18" t="n">
        <v>4.84609024240802</v>
      </c>
      <c r="H1088" s="18" t="n">
        <v>4.79269357069305</v>
      </c>
      <c r="I1088" s="18" t="n">
        <v>4.74903504604118</v>
      </c>
      <c r="J1088" s="18" t="n">
        <v>4.72281053873033</v>
      </c>
    </row>
    <row r="1089" customFormat="false" ht="15" hidden="false" customHeight="false" outlineLevel="0" collapsed="false">
      <c r="A1089" s="28" t="n">
        <v>108412.754441699</v>
      </c>
      <c r="B1089" s="29" t="n">
        <v>6</v>
      </c>
      <c r="C1089" s="18" t="n">
        <v>9.18445668229867</v>
      </c>
      <c r="D1089" s="18" t="n">
        <v>5.75417994005765</v>
      </c>
      <c r="E1089" s="18" t="n">
        <v>6.00035586534665</v>
      </c>
      <c r="F1089" s="18" t="n">
        <v>5.86806601286133</v>
      </c>
      <c r="G1089" s="18" t="n">
        <v>4.36584502989496</v>
      </c>
      <c r="H1089" s="18" t="n">
        <v>4.774130504753</v>
      </c>
      <c r="I1089" s="18" t="n">
        <v>4.74903503187277</v>
      </c>
      <c r="J1089" s="18" t="n">
        <v>4.74199723362108</v>
      </c>
    </row>
    <row r="1090" customFormat="false" ht="15" hidden="false" customHeight="false" outlineLevel="0" collapsed="false">
      <c r="A1090" s="28" t="n">
        <v>108512.766207789</v>
      </c>
      <c r="B1090" s="29" t="n">
        <v>6</v>
      </c>
      <c r="C1090" s="18" t="n">
        <v>4.80990991124612</v>
      </c>
      <c r="D1090" s="18" t="n">
        <v>8.2004218224084</v>
      </c>
      <c r="E1090" s="18" t="n">
        <v>6.00033065903259</v>
      </c>
      <c r="F1090" s="18" t="n">
        <v>5.48685097522342</v>
      </c>
      <c r="G1090" s="18" t="n">
        <v>4.77300507746781</v>
      </c>
      <c r="H1090" s="18" t="n">
        <v>4.6472826934335</v>
      </c>
      <c r="I1090" s="18" t="n">
        <v>4.7490350187036</v>
      </c>
      <c r="J1090" s="18" t="n">
        <v>4.76081009150484</v>
      </c>
    </row>
    <row r="1091" customFormat="false" ht="15" hidden="false" customHeight="false" outlineLevel="0" collapsed="false">
      <c r="A1091" s="28" t="n">
        <v>108612.777973879</v>
      </c>
      <c r="B1091" s="29" t="n">
        <v>6</v>
      </c>
      <c r="C1091" s="18" t="n">
        <v>4.42016540366372</v>
      </c>
      <c r="D1091" s="18" t="n">
        <v>5.59605630334527</v>
      </c>
      <c r="E1091" s="18" t="n">
        <v>6.00030723974493</v>
      </c>
      <c r="F1091" s="18" t="n">
        <v>5.61520987530085</v>
      </c>
      <c r="G1091" s="18" t="n">
        <v>4.89574647474189</v>
      </c>
      <c r="H1091" s="18" t="n">
        <v>4.72260659305933</v>
      </c>
      <c r="I1091" s="18" t="n">
        <v>4.74903500646351</v>
      </c>
      <c r="J1091" s="18" t="n">
        <v>4.76243320882403</v>
      </c>
    </row>
    <row r="1092" customFormat="false" ht="15" hidden="false" customHeight="false" outlineLevel="0" collapsed="false">
      <c r="A1092" s="28" t="n">
        <v>108712.789739969</v>
      </c>
      <c r="B1092" s="29" t="n">
        <v>6</v>
      </c>
      <c r="C1092" s="18" t="n">
        <v>4.62157575606144</v>
      </c>
      <c r="D1092" s="18" t="n">
        <v>4.9318980650276</v>
      </c>
      <c r="E1092" s="18" t="n">
        <v>6.00028548053678</v>
      </c>
      <c r="F1092" s="18" t="n">
        <v>5.995216539559</v>
      </c>
      <c r="G1092" s="18" t="n">
        <v>4.92501152447428</v>
      </c>
      <c r="H1092" s="18" t="n">
        <v>4.79305949544769</v>
      </c>
      <c r="I1092" s="18" t="n">
        <v>4.74903499508722</v>
      </c>
      <c r="J1092" s="18" t="n">
        <v>4.75536218476416</v>
      </c>
    </row>
    <row r="1093" customFormat="false" ht="15" hidden="false" customHeight="false" outlineLevel="0" collapsed="false">
      <c r="A1093" s="28" t="n">
        <v>108812.80150606</v>
      </c>
      <c r="B1093" s="29" t="n">
        <v>6</v>
      </c>
      <c r="C1093" s="18" t="n">
        <v>5.23299748333001</v>
      </c>
      <c r="D1093" s="18" t="n">
        <v>5.09971566885946</v>
      </c>
      <c r="E1093" s="18" t="n">
        <v>6.00026526351797</v>
      </c>
      <c r="F1093" s="18" t="n">
        <v>6.87173630745461</v>
      </c>
      <c r="G1093" s="18" t="n">
        <v>4.91036890122646</v>
      </c>
      <c r="H1093" s="18" t="n">
        <v>4.7945034679102</v>
      </c>
      <c r="I1093" s="18" t="n">
        <v>4.74903498451398</v>
      </c>
      <c r="J1093" s="18" t="n">
        <v>4.73152279460725</v>
      </c>
    </row>
    <row r="1094" customFormat="false" ht="15" hidden="false" customHeight="false" outlineLevel="0" collapsed="false">
      <c r="A1094" s="28" t="n">
        <v>108912.81327215</v>
      </c>
      <c r="B1094" s="29" t="n">
        <v>6</v>
      </c>
      <c r="C1094" s="18" t="n">
        <v>9.04429270673004</v>
      </c>
      <c r="D1094" s="18" t="n">
        <v>5.53821411970001</v>
      </c>
      <c r="E1094" s="18" t="n">
        <v>6.00024647920312</v>
      </c>
      <c r="F1094" s="18" t="n">
        <v>6.13254500555686</v>
      </c>
      <c r="G1094" s="18" t="n">
        <v>4.43008729344601</v>
      </c>
      <c r="H1094" s="18" t="n">
        <v>4.7813063102977</v>
      </c>
      <c r="I1094" s="18" t="n">
        <v>4.7490349746873</v>
      </c>
      <c r="J1094" s="18" t="n">
        <v>4.73291513258819</v>
      </c>
    </row>
    <row r="1095" customFormat="false" ht="15" hidden="false" customHeight="false" outlineLevel="0" collapsed="false">
      <c r="A1095" s="28" t="n">
        <v>109012.82503824</v>
      </c>
      <c r="B1095" s="29" t="n">
        <v>6</v>
      </c>
      <c r="C1095" s="18" t="n">
        <v>5.98593018059627</v>
      </c>
      <c r="D1095" s="18" t="n">
        <v>7.99508437487954</v>
      </c>
      <c r="E1095" s="18" t="n">
        <v>6.0002290259075</v>
      </c>
      <c r="F1095" s="18" t="n">
        <v>5.50949038202906</v>
      </c>
      <c r="G1095" s="18" t="n">
        <v>4.35567532445413</v>
      </c>
      <c r="H1095" s="18" t="n">
        <v>4.67309208839919</v>
      </c>
      <c r="I1095" s="18" t="n">
        <v>4.74903496555463</v>
      </c>
      <c r="J1095" s="18" t="n">
        <v>4.75851618038543</v>
      </c>
    </row>
    <row r="1096" customFormat="false" ht="15" hidden="false" customHeight="false" outlineLevel="0" collapsed="false">
      <c r="A1096" s="28" t="n">
        <v>109112.83680433</v>
      </c>
      <c r="B1096" s="29" t="n">
        <v>6</v>
      </c>
      <c r="C1096" s="18" t="n">
        <v>4.416783570058</v>
      </c>
      <c r="D1096" s="18" t="n">
        <v>6.89232060001752</v>
      </c>
      <c r="E1096" s="18" t="n">
        <v>6.00021280918715</v>
      </c>
      <c r="F1096" s="18" t="n">
        <v>5.56457210000638</v>
      </c>
      <c r="G1096" s="18" t="n">
        <v>4.86459483886492</v>
      </c>
      <c r="H1096" s="18" t="n">
        <v>4.63054922946122</v>
      </c>
      <c r="I1096" s="18" t="n">
        <v>4.74903495706709</v>
      </c>
      <c r="J1096" s="18" t="n">
        <v>4.76277871045477</v>
      </c>
    </row>
    <row r="1097" customFormat="false" ht="15" hidden="false" customHeight="false" outlineLevel="0" collapsed="false">
      <c r="A1097" s="28" t="n">
        <v>109212.84857042</v>
      </c>
      <c r="B1097" s="29" t="n">
        <v>6</v>
      </c>
      <c r="C1097" s="18" t="n">
        <v>4.51441676176916</v>
      </c>
      <c r="D1097" s="18" t="n">
        <v>4.96244861365593</v>
      </c>
      <c r="E1097" s="18" t="n">
        <v>6.0001977413195</v>
      </c>
      <c r="F1097" s="18" t="n">
        <v>5.87615215366541</v>
      </c>
      <c r="G1097" s="18" t="n">
        <v>4.91692785552495</v>
      </c>
      <c r="H1097" s="18" t="n">
        <v>4.7855508634157</v>
      </c>
      <c r="I1097" s="18" t="n">
        <v>4.74903494917922</v>
      </c>
      <c r="J1097" s="18" t="n">
        <v>4.75792832365111</v>
      </c>
    </row>
    <row r="1098" customFormat="false" ht="15" hidden="false" customHeight="false" outlineLevel="0" collapsed="false">
      <c r="A1098" s="28" t="n">
        <v>109312.86033651</v>
      </c>
      <c r="B1098" s="29" t="n">
        <v>6</v>
      </c>
      <c r="C1098" s="18" t="n">
        <v>4.88081052152881</v>
      </c>
      <c r="D1098" s="18" t="n">
        <v>5.02986542923487</v>
      </c>
      <c r="E1098" s="18" t="n">
        <v>6.00018374082215</v>
      </c>
      <c r="F1098" s="18" t="n">
        <v>6.61833863396867</v>
      </c>
      <c r="G1098" s="18" t="n">
        <v>4.92535783113369</v>
      </c>
      <c r="H1098" s="18" t="n">
        <v>4.79564713982627</v>
      </c>
      <c r="I1098" s="18" t="n">
        <v>4.74903494184875</v>
      </c>
      <c r="J1098" s="18" t="n">
        <v>4.73983212093828</v>
      </c>
    </row>
    <row r="1099" customFormat="false" ht="15" hidden="false" customHeight="false" outlineLevel="0" collapsed="false">
      <c r="A1099" s="28" t="n">
        <v>109412.8721026</v>
      </c>
      <c r="B1099" s="29" t="n">
        <v>6</v>
      </c>
      <c r="C1099" s="18" t="n">
        <v>8.67921098501846</v>
      </c>
      <c r="D1099" s="18" t="n">
        <v>5.3766170363064</v>
      </c>
      <c r="E1099" s="18" t="n">
        <v>6.00017073200629</v>
      </c>
      <c r="F1099" s="18" t="n">
        <v>6.46228470264438</v>
      </c>
      <c r="G1099" s="18" t="n">
        <v>4.55299114530837</v>
      </c>
      <c r="H1099" s="18" t="n">
        <v>4.78667943526009</v>
      </c>
      <c r="I1099" s="18" t="n">
        <v>4.74903493503637</v>
      </c>
      <c r="J1099" s="18" t="n">
        <v>4.72386868137237</v>
      </c>
    </row>
    <row r="1100" customFormat="false" ht="15" hidden="false" customHeight="false" outlineLevel="0" collapsed="false">
      <c r="A1100" s="28" t="n">
        <v>109512.88386869</v>
      </c>
      <c r="B1100" s="29" t="n">
        <v>6</v>
      </c>
      <c r="C1100" s="18" t="n">
        <v>9.04529705987805</v>
      </c>
      <c r="D1100" s="18" t="n">
        <v>7.25590197606463</v>
      </c>
      <c r="E1100" s="18" t="n">
        <v>6.00015864456254</v>
      </c>
      <c r="F1100" s="18" t="n">
        <v>5.56638444400674</v>
      </c>
      <c r="G1100" s="18" t="n">
        <v>4.34053748710593</v>
      </c>
      <c r="H1100" s="18" t="n">
        <v>4.74358286452045</v>
      </c>
      <c r="I1100" s="18" t="n">
        <v>4.74903492870554</v>
      </c>
      <c r="J1100" s="18" t="n">
        <v>4.75503090756381</v>
      </c>
    </row>
    <row r="1101" customFormat="false" ht="15" hidden="false" customHeight="false" outlineLevel="0" collapsed="false">
      <c r="A1101" s="28" t="n">
        <v>109612.895634781</v>
      </c>
      <c r="B1101" s="29" t="n">
        <v>6</v>
      </c>
      <c r="C1101" s="18" t="n">
        <v>4.63229734063457</v>
      </c>
      <c r="D1101" s="18" t="n">
        <v>8.24107652606637</v>
      </c>
      <c r="E1101" s="18" t="n">
        <v>6.00014741317683</v>
      </c>
      <c r="F1101" s="18" t="n">
        <v>5.52807562552692</v>
      </c>
      <c r="G1101" s="18" t="n">
        <v>4.81267822701289</v>
      </c>
      <c r="H1101" s="18" t="n">
        <v>4.62931320659073</v>
      </c>
      <c r="I1101" s="18" t="n">
        <v>4.74903492282227</v>
      </c>
      <c r="J1101" s="18" t="n">
        <v>4.76264914645265</v>
      </c>
    </row>
    <row r="1102" customFormat="false" ht="15" hidden="false" customHeight="false" outlineLevel="0" collapsed="false">
      <c r="A1102" s="28" t="n">
        <v>109712.907400871</v>
      </c>
      <c r="B1102" s="29" t="n">
        <v>6</v>
      </c>
      <c r="C1102" s="18" t="n">
        <v>4.44340411444284</v>
      </c>
      <c r="D1102" s="18" t="n">
        <v>5.09989108652393</v>
      </c>
      <c r="E1102" s="18" t="n">
        <v>6.00013697717384</v>
      </c>
      <c r="F1102" s="18" t="n">
        <v>5.78182787074447</v>
      </c>
      <c r="G1102" s="18" t="n">
        <v>4.90399605226222</v>
      </c>
      <c r="H1102" s="18" t="n">
        <v>4.77463091929435</v>
      </c>
      <c r="I1102" s="18" t="n">
        <v>4.74903491735498</v>
      </c>
      <c r="J1102" s="18" t="n">
        <v>4.75976869386736</v>
      </c>
    </row>
    <row r="1103" customFormat="false" ht="15" hidden="false" customHeight="false" outlineLevel="0" collapsed="false">
      <c r="A1103" s="28" t="n">
        <v>109812.919166961</v>
      </c>
      <c r="B1103" s="29" t="n">
        <v>6</v>
      </c>
      <c r="C1103" s="18" t="n">
        <v>4.69073784511258</v>
      </c>
      <c r="D1103" s="18" t="n">
        <v>4.97110285536656</v>
      </c>
      <c r="E1103" s="18" t="n">
        <v>6.0001272801863</v>
      </c>
      <c r="F1103" s="18" t="n">
        <v>6.37829613051764</v>
      </c>
      <c r="G1103" s="18" t="n">
        <v>4.92698398460402</v>
      </c>
      <c r="H1103" s="18" t="n">
        <v>4.79601269778357</v>
      </c>
      <c r="I1103" s="18" t="n">
        <v>4.7490349122743</v>
      </c>
      <c r="J1103" s="18" t="n">
        <v>4.74607029059385</v>
      </c>
    </row>
    <row r="1104" customFormat="false" ht="15" hidden="false" customHeight="false" outlineLevel="0" collapsed="false">
      <c r="A1104" s="28" t="n">
        <v>109912.930933051</v>
      </c>
      <c r="B1104" s="29" t="n">
        <v>6</v>
      </c>
      <c r="C1104" s="18" t="n">
        <v>5.65158077380921</v>
      </c>
      <c r="D1104" s="18" t="n">
        <v>5.24354215213207</v>
      </c>
      <c r="E1104" s="18" t="n">
        <v>6.00011826984789</v>
      </c>
      <c r="F1104" s="18" t="n">
        <v>6.78848647992294</v>
      </c>
      <c r="G1104" s="18" t="n">
        <v>4.89128483211661</v>
      </c>
      <c r="H1104" s="18" t="n">
        <v>4.79082984303942</v>
      </c>
      <c r="I1104" s="18" t="n">
        <v>4.74903490755293</v>
      </c>
      <c r="J1104" s="18" t="n">
        <v>4.71991428826948</v>
      </c>
    </row>
    <row r="1105" customFormat="false" ht="15" hidden="false" customHeight="false" outlineLevel="0" collapsed="false">
      <c r="A1105" s="28" t="n">
        <v>110012.942699141</v>
      </c>
      <c r="B1105" s="29" t="n">
        <v>6</v>
      </c>
      <c r="C1105" s="18" t="n">
        <v>9.13528735241115</v>
      </c>
      <c r="D1105" s="18" t="n">
        <v>5.99737608706558</v>
      </c>
      <c r="E1105" s="18" t="n">
        <v>6.00010989750819</v>
      </c>
      <c r="F1105" s="18" t="n">
        <v>5.66965399629347</v>
      </c>
      <c r="G1105" s="18" t="n">
        <v>4.39557946086705</v>
      </c>
      <c r="H1105" s="18" t="n">
        <v>4.76668143873097</v>
      </c>
      <c r="I1105" s="18" t="n">
        <v>4.74903490316547</v>
      </c>
      <c r="J1105" s="18" t="n">
        <v>4.75021833898741</v>
      </c>
    </row>
    <row r="1106" customFormat="false" ht="15" hidden="false" customHeight="false" outlineLevel="0" collapsed="false">
      <c r="A1106" s="28" t="n">
        <v>110112.954465231</v>
      </c>
      <c r="B1106" s="29" t="n">
        <v>6</v>
      </c>
      <c r="C1106" s="18" t="n">
        <v>5.09536635142595</v>
      </c>
      <c r="D1106" s="18" t="n">
        <v>8.26671830337477</v>
      </c>
      <c r="E1106" s="18" t="n">
        <v>6.00010211796828</v>
      </c>
      <c r="F1106" s="18" t="n">
        <v>5.50640597245903</v>
      </c>
      <c r="G1106" s="18" t="n">
        <v>4.66664520198918</v>
      </c>
      <c r="H1106" s="18" t="n">
        <v>4.63811054322957</v>
      </c>
      <c r="I1106" s="18" t="n">
        <v>4.74903489908835</v>
      </c>
      <c r="J1106" s="18" t="n">
        <v>4.76204279595638</v>
      </c>
    </row>
    <row r="1107" customFormat="false" ht="15" hidden="false" customHeight="false" outlineLevel="0" collapsed="false">
      <c r="A1107" s="28" t="n">
        <v>110212.966231321</v>
      </c>
      <c r="B1107" s="29" t="n">
        <v>6</v>
      </c>
      <c r="C1107" s="18" t="n">
        <v>4.4064994524312</v>
      </c>
      <c r="D1107" s="18" t="n">
        <v>5.34666024641962</v>
      </c>
      <c r="E1107" s="18" t="n">
        <v>6.00009488923515</v>
      </c>
      <c r="F1107" s="18" t="n">
        <v>5.70627577542863</v>
      </c>
      <c r="G1107" s="18" t="n">
        <v>4.88470265679067</v>
      </c>
      <c r="H1107" s="18" t="n">
        <v>4.75479583052862</v>
      </c>
      <c r="I1107" s="18" t="n">
        <v>4.74903489529964</v>
      </c>
      <c r="J1107" s="18" t="n">
        <v>4.76104577288491</v>
      </c>
    </row>
    <row r="1108" customFormat="false" ht="15" hidden="false" customHeight="false" outlineLevel="0" collapsed="false">
      <c r="A1108" s="28" t="n">
        <v>110312.977997412</v>
      </c>
      <c r="B1108" s="29" t="n">
        <v>6</v>
      </c>
      <c r="C1108" s="18" t="n">
        <v>4.56346336426276</v>
      </c>
      <c r="D1108" s="18" t="n">
        <v>4.9440987674625</v>
      </c>
      <c r="E1108" s="18" t="n">
        <v>6.00008817229375</v>
      </c>
      <c r="F1108" s="18" t="n">
        <v>6.19192344327142</v>
      </c>
      <c r="G1108" s="18" t="n">
        <v>4.92165311769053</v>
      </c>
      <c r="H1108" s="18" t="n">
        <v>4.79489381077786</v>
      </c>
      <c r="I1108" s="18" t="n">
        <v>4.74903489177894</v>
      </c>
      <c r="J1108" s="18" t="n">
        <v>4.75062392614421</v>
      </c>
    </row>
    <row r="1109" customFormat="false" ht="15" hidden="false" customHeight="false" outlineLevel="0" collapsed="false">
      <c r="A1109" s="28" t="n">
        <v>110412.989763502</v>
      </c>
      <c r="B1109" s="29" t="n">
        <v>6</v>
      </c>
      <c r="C1109" s="18" t="n">
        <v>5.02227091720498</v>
      </c>
      <c r="D1109" s="18" t="n">
        <v>5.15553448521776</v>
      </c>
      <c r="E1109" s="18" t="n">
        <v>6.00008193089528</v>
      </c>
      <c r="F1109" s="18" t="n">
        <v>6.9436024440676</v>
      </c>
      <c r="G1109" s="18" t="n">
        <v>4.92031019661557</v>
      </c>
      <c r="H1109" s="18" t="n">
        <v>4.79319746004645</v>
      </c>
      <c r="I1109" s="18" t="n">
        <v>4.74903488850732</v>
      </c>
      <c r="J1109" s="18" t="n">
        <v>4.72245587598119</v>
      </c>
    </row>
    <row r="1110" customFormat="false" ht="15" hidden="false" customHeight="false" outlineLevel="0" collapsed="false">
      <c r="A1110" s="28" t="n">
        <v>110513.001529592</v>
      </c>
      <c r="B1110" s="29" t="n">
        <v>6</v>
      </c>
      <c r="C1110" s="18" t="n">
        <v>8.90611749334052</v>
      </c>
      <c r="D1110" s="18" t="n">
        <v>5.68551007513724</v>
      </c>
      <c r="E1110" s="18" t="n">
        <v>6.00007613136064</v>
      </c>
      <c r="F1110" s="18" t="n">
        <v>5.82404052817327</v>
      </c>
      <c r="G1110" s="18" t="n">
        <v>4.47377668233285</v>
      </c>
      <c r="H1110" s="18" t="n">
        <v>4.77635582720321</v>
      </c>
      <c r="I1110" s="18" t="n">
        <v>4.74903488546717</v>
      </c>
      <c r="J1110" s="18" t="n">
        <v>4.74412982335505</v>
      </c>
    </row>
    <row r="1111" customFormat="false" ht="15" hidden="false" customHeight="false" outlineLevel="0" collapsed="false">
      <c r="A1111" s="28" t="n">
        <v>110613.013295682</v>
      </c>
      <c r="B1111" s="29" t="n">
        <v>6</v>
      </c>
      <c r="C1111" s="18" t="n">
        <v>8.73390741956291</v>
      </c>
      <c r="D1111" s="18" t="n">
        <v>8.15888428450968</v>
      </c>
      <c r="E1111" s="18" t="n">
        <v>6.00007074239781</v>
      </c>
      <c r="F1111" s="18" t="n">
        <v>5.50106283711708</v>
      </c>
      <c r="G1111" s="18" t="n">
        <v>4.33739871817991</v>
      </c>
      <c r="H1111" s="18" t="n">
        <v>4.65207380562329</v>
      </c>
      <c r="I1111" s="18" t="n">
        <v>4.74903488264212</v>
      </c>
      <c r="J1111" s="18" t="n">
        <v>4.76091700746791</v>
      </c>
    </row>
    <row r="1112" customFormat="false" ht="15" hidden="false" customHeight="false" outlineLevel="0" collapsed="false">
      <c r="A1112" s="28" t="n">
        <v>110713.025061772</v>
      </c>
      <c r="B1112" s="29" t="n">
        <v>6</v>
      </c>
      <c r="C1112" s="18" t="n">
        <v>4.50775052203931</v>
      </c>
      <c r="D1112" s="18" t="n">
        <v>5.7295144663794</v>
      </c>
      <c r="E1112" s="18" t="n">
        <v>6.00006573493257</v>
      </c>
      <c r="F1112" s="18" t="n">
        <v>5.64578035302506</v>
      </c>
      <c r="G1112" s="18" t="n">
        <v>4.84125211472507</v>
      </c>
      <c r="H1112" s="18" t="n">
        <v>4.67841395724176</v>
      </c>
      <c r="I1112" s="18" t="n">
        <v>4.74903488001697</v>
      </c>
      <c r="J1112" s="18" t="n">
        <v>4.76186533605018</v>
      </c>
    </row>
    <row r="1113" customFormat="false" ht="15" hidden="false" customHeight="false" outlineLevel="0" collapsed="false">
      <c r="A1113" s="28" t="n">
        <v>110813.036827862</v>
      </c>
      <c r="B1113" s="29" t="n">
        <v>6</v>
      </c>
      <c r="C1113" s="18" t="n">
        <v>4.47476406557412</v>
      </c>
      <c r="D1113" s="18" t="n">
        <v>4.92223605879738</v>
      </c>
      <c r="E1113" s="18" t="n">
        <v>6.00006108195086</v>
      </c>
      <c r="F1113" s="18" t="n">
        <v>6.04869918437978</v>
      </c>
      <c r="G1113" s="18" t="n">
        <v>4.9110185600449</v>
      </c>
      <c r="H1113" s="18" t="n">
        <v>4.79109406622329</v>
      </c>
      <c r="I1113" s="18" t="n">
        <v>4.74903487757757</v>
      </c>
      <c r="J1113" s="18" t="n">
        <v>4.7539871171544</v>
      </c>
    </row>
    <row r="1114" customFormat="false" ht="15" hidden="false" customHeight="false" outlineLevel="0" collapsed="false">
      <c r="A1114" s="28" t="n">
        <v>110913.048593952</v>
      </c>
      <c r="B1114" s="29" t="n">
        <v>6</v>
      </c>
      <c r="C1114" s="18" t="n">
        <v>4.77485350006213</v>
      </c>
      <c r="D1114" s="18" t="n">
        <v>5.06854588181838</v>
      </c>
      <c r="E1114" s="18" t="n">
        <v>6.00005675835267</v>
      </c>
      <c r="F1114" s="18" t="n">
        <v>6.89575188526167</v>
      </c>
      <c r="G1114" s="18" t="n">
        <v>4.92727754302116</v>
      </c>
      <c r="H1114" s="18" t="n">
        <v>4.79515306464123</v>
      </c>
      <c r="I1114" s="18" t="n">
        <v>4.74903487531079</v>
      </c>
      <c r="J1114" s="18" t="n">
        <v>4.72902802141851</v>
      </c>
    </row>
    <row r="1115" customFormat="false" ht="15" hidden="false" customHeight="false" outlineLevel="0" collapsed="false">
      <c r="A1115" s="28" t="n">
        <v>111013.060360042</v>
      </c>
      <c r="B1115" s="29" t="n">
        <v>6</v>
      </c>
      <c r="C1115" s="18" t="n">
        <v>8.12585246630339</v>
      </c>
      <c r="D1115" s="18" t="n">
        <v>5.46702320505001</v>
      </c>
      <c r="E1115" s="18" t="n">
        <v>6.00005274081615</v>
      </c>
      <c r="F1115" s="18" t="n">
        <v>6.02910023263156</v>
      </c>
      <c r="G1115" s="18" t="n">
        <v>4.84609024215523</v>
      </c>
      <c r="H1115" s="18" t="n">
        <v>4.7837176811278</v>
      </c>
      <c r="I1115" s="18" t="n">
        <v>4.74903487320441</v>
      </c>
      <c r="J1115" s="18" t="n">
        <v>4.73694035090744</v>
      </c>
    </row>
    <row r="1116" customFormat="false" ht="15" hidden="false" customHeight="false" outlineLevel="0" collapsed="false">
      <c r="A1116" s="28" t="n">
        <v>111113.072126133</v>
      </c>
      <c r="B1116" s="29" t="n">
        <v>6</v>
      </c>
      <c r="C1116" s="18" t="n">
        <v>9.1844566824033</v>
      </c>
      <c r="D1116" s="18" t="n">
        <v>7.83009396548615</v>
      </c>
      <c r="E1116" s="18" t="n">
        <v>6.00004900767166</v>
      </c>
      <c r="F1116" s="18" t="n">
        <v>5.51444605307293</v>
      </c>
      <c r="G1116" s="18" t="n">
        <v>4.36584502983408</v>
      </c>
      <c r="H1116" s="18" t="n">
        <v>4.70400155515128</v>
      </c>
      <c r="I1116" s="18" t="n">
        <v>4.7490348712471</v>
      </c>
      <c r="J1116" s="18" t="n">
        <v>4.75918050734506</v>
      </c>
    </row>
    <row r="1117" customFormat="false" ht="15" hidden="false" customHeight="false" outlineLevel="0" collapsed="false">
      <c r="A1117" s="28" t="n">
        <v>111213.083892223</v>
      </c>
      <c r="B1117" s="29" t="n">
        <v>6</v>
      </c>
      <c r="C1117" s="18" t="n">
        <v>4.80990991090933</v>
      </c>
      <c r="D1117" s="18" t="n">
        <v>7.94315100627978</v>
      </c>
      <c r="E1117" s="18" t="n">
        <v>6.00004553878439</v>
      </c>
      <c r="F1117" s="18" t="n">
        <v>5.59807193573295</v>
      </c>
      <c r="G1117" s="18" t="n">
        <v>4.77300507753966</v>
      </c>
      <c r="H1117" s="18" t="n">
        <v>4.6280469980167</v>
      </c>
      <c r="I1117" s="18" t="n">
        <v>4.74903486942831</v>
      </c>
      <c r="J1117" s="18" t="n">
        <v>4.76229489901499</v>
      </c>
    </row>
    <row r="1118" customFormat="false" ht="15" hidden="false" customHeight="false" outlineLevel="0" collapsed="false">
      <c r="A1118" s="28" t="n">
        <v>111313.095658313</v>
      </c>
      <c r="B1118" s="29" t="n">
        <v>6</v>
      </c>
      <c r="C1118" s="18" t="n">
        <v>4.42016540365829</v>
      </c>
      <c r="D1118" s="18" t="n">
        <v>5.01106977493209</v>
      </c>
      <c r="E1118" s="18" t="n">
        <v>6.00004231544566</v>
      </c>
      <c r="F1118" s="18" t="n">
        <v>5.93620968194263</v>
      </c>
      <c r="G1118" s="18" t="n">
        <v>4.89574647475437</v>
      </c>
      <c r="H1118" s="18" t="n">
        <v>4.78163127544887</v>
      </c>
      <c r="I1118" s="18" t="n">
        <v>4.74903486773823</v>
      </c>
      <c r="J1118" s="18" t="n">
        <v>4.75649173125247</v>
      </c>
    </row>
    <row r="1119" customFormat="false" ht="15" hidden="false" customHeight="false" outlineLevel="0" collapsed="false">
      <c r="A1119" s="28" t="n">
        <v>111413.107424403</v>
      </c>
      <c r="B1119" s="29" t="n">
        <v>6</v>
      </c>
      <c r="C1119" s="18" t="n">
        <v>4.62157575610344</v>
      </c>
      <c r="D1119" s="18" t="n">
        <v>5.006131818621</v>
      </c>
      <c r="E1119" s="18" t="n">
        <v>6.00003932027182</v>
      </c>
      <c r="F1119" s="18" t="n">
        <v>6.71730489979625</v>
      </c>
      <c r="G1119" s="18" t="n">
        <v>4.9250115244801</v>
      </c>
      <c r="H1119" s="18" t="n">
        <v>4.79587349208188</v>
      </c>
      <c r="I1119" s="18" t="n">
        <v>4.74903486616776</v>
      </c>
      <c r="J1119" s="18" t="n">
        <v>4.7363449422367</v>
      </c>
    </row>
    <row r="1120" customFormat="false" ht="15" hidden="false" customHeight="false" outlineLevel="0" collapsed="false">
      <c r="A1120" s="28" t="n">
        <v>111513.119190493</v>
      </c>
      <c r="B1120" s="29" t="n">
        <v>6</v>
      </c>
      <c r="C1120" s="18" t="n">
        <v>5.23299748354381</v>
      </c>
      <c r="D1120" s="18" t="n">
        <v>5.32288975832177</v>
      </c>
      <c r="E1120" s="18" t="n">
        <v>6.00003653711029</v>
      </c>
      <c r="F1120" s="18" t="n">
        <v>6.27898990410556</v>
      </c>
      <c r="G1120" s="18" t="n">
        <v>4.91036890121911</v>
      </c>
      <c r="H1120" s="18" t="n">
        <v>4.78840182485143</v>
      </c>
      <c r="I1120" s="18" t="n">
        <v>4.74903486470844</v>
      </c>
      <c r="J1120" s="18" t="n">
        <v>4.72932855667739</v>
      </c>
    </row>
    <row r="1121" customFormat="false" ht="15" hidden="false" customHeight="false" outlineLevel="0" collapsed="false">
      <c r="A1121" s="28" t="n">
        <v>111613.130956583</v>
      </c>
      <c r="B1121" s="29" t="n">
        <v>6</v>
      </c>
      <c r="C1121" s="18" t="n">
        <v>9.04429270683107</v>
      </c>
      <c r="D1121" s="18" t="n">
        <v>6.5147411237738</v>
      </c>
      <c r="E1121" s="18" t="n">
        <v>6.00003395095226</v>
      </c>
      <c r="F1121" s="18" t="n">
        <v>5.55068092954853</v>
      </c>
      <c r="G1121" s="18" t="n">
        <v>4.43008729342308</v>
      </c>
      <c r="H1121" s="18" t="n">
        <v>4.75496157417195</v>
      </c>
      <c r="I1121" s="18" t="n">
        <v>4.74903486335241</v>
      </c>
      <c r="J1121" s="18" t="n">
        <v>4.75667806993009</v>
      </c>
    </row>
    <row r="1122" customFormat="false" ht="15" hidden="false" customHeight="false" outlineLevel="0" collapsed="false">
      <c r="A1122" s="28" t="n">
        <v>111713.142722673</v>
      </c>
      <c r="B1122" s="29" t="n">
        <v>6</v>
      </c>
      <c r="C1122" s="18" t="n">
        <v>5.98593017960883</v>
      </c>
      <c r="D1122" s="18" t="n">
        <v>8.2775049874392</v>
      </c>
      <c r="E1122" s="18" t="n">
        <v>6.00003154785177</v>
      </c>
      <c r="F1122" s="18" t="n">
        <v>5.56212390777029</v>
      </c>
      <c r="G1122" s="18" t="n">
        <v>4.35567532446589</v>
      </c>
      <c r="H1122" s="18" t="n">
        <v>4.63184770154428</v>
      </c>
      <c r="I1122" s="18" t="n">
        <v>4.74903486209235</v>
      </c>
      <c r="J1122" s="18" t="n">
        <v>4.76235304030124</v>
      </c>
    </row>
    <row r="1123" customFormat="false" ht="15" hidden="false" customHeight="false" outlineLevel="0" collapsed="false">
      <c r="A1123" s="28" t="n">
        <v>111813.154488763</v>
      </c>
      <c r="B1123" s="29" t="n">
        <v>6</v>
      </c>
      <c r="C1123" s="18" t="n">
        <v>4.41678357002679</v>
      </c>
      <c r="D1123" s="18" t="n">
        <v>5.17980637584569</v>
      </c>
      <c r="E1123" s="18" t="n">
        <v>6.0000293148503</v>
      </c>
      <c r="F1123" s="18" t="n">
        <v>5.84628555496445</v>
      </c>
      <c r="G1123" s="18" t="n">
        <v>4.86459483887196</v>
      </c>
      <c r="H1123" s="18" t="n">
        <v>4.76880873509096</v>
      </c>
      <c r="I1123" s="18" t="n">
        <v>4.74903486092147</v>
      </c>
      <c r="J1123" s="18" t="n">
        <v>4.75834795262011</v>
      </c>
    </row>
    <row r="1124" customFormat="false" ht="15" hidden="false" customHeight="false" outlineLevel="0" collapsed="false">
      <c r="A1124" s="28" t="n">
        <v>111913.166254854</v>
      </c>
      <c r="B1124" s="29" t="n">
        <v>6</v>
      </c>
      <c r="C1124" s="18" t="n">
        <v>4.51441676177486</v>
      </c>
      <c r="D1124" s="18" t="n">
        <v>4.96499538250845</v>
      </c>
      <c r="E1124" s="18" t="n">
        <v>6.00002723990685</v>
      </c>
      <c r="F1124" s="18" t="n">
        <v>6.5080088866438</v>
      </c>
      <c r="G1124" s="18" t="n">
        <v>4.91692785552698</v>
      </c>
      <c r="H1124" s="18" t="n">
        <v>4.79562908350078</v>
      </c>
      <c r="I1124" s="18" t="n">
        <v>4.74903485983347</v>
      </c>
      <c r="J1124" s="18" t="n">
        <v>4.74239264166592</v>
      </c>
    </row>
    <row r="1125" customFormat="false" ht="15" hidden="false" customHeight="false" outlineLevel="0" collapsed="false">
      <c r="A1125" s="28" t="n">
        <v>112013.178020944</v>
      </c>
      <c r="B1125" s="29" t="n">
        <v>6</v>
      </c>
      <c r="C1125" s="18" t="n">
        <v>4.88081052155075</v>
      </c>
      <c r="D1125" s="18" t="n">
        <v>5.2184821108141</v>
      </c>
      <c r="E1125" s="18" t="n">
        <v>6.00002531183297</v>
      </c>
      <c r="F1125" s="18" t="n">
        <v>6.55028179043714</v>
      </c>
      <c r="G1125" s="18" t="n">
        <v>4.92535783113392</v>
      </c>
      <c r="H1125" s="18" t="n">
        <v>4.79150594757235</v>
      </c>
      <c r="I1125" s="18" t="n">
        <v>4.74903485882247</v>
      </c>
      <c r="J1125" s="18" t="n">
        <v>4.72348241507967</v>
      </c>
    </row>
    <row r="1126" customFormat="false" ht="15" hidden="false" customHeight="false" outlineLevel="0" collapsed="false">
      <c r="A1126" s="28" t="n">
        <v>112113.189787034</v>
      </c>
      <c r="B1126" s="29" t="n">
        <v>6</v>
      </c>
      <c r="C1126" s="18" t="n">
        <v>8.67921098508217</v>
      </c>
      <c r="D1126" s="18" t="n">
        <v>5.89125417060043</v>
      </c>
      <c r="E1126" s="18" t="n">
        <v>6.0000235202323</v>
      </c>
      <c r="F1126" s="18" t="n">
        <v>5.61548017790659</v>
      </c>
      <c r="G1126" s="18" t="n">
        <v>4.55299114528157</v>
      </c>
      <c r="H1126" s="18" t="n">
        <v>4.76977194835901</v>
      </c>
      <c r="I1126" s="18" t="n">
        <v>4.74903485788303</v>
      </c>
      <c r="J1126" s="18" t="n">
        <v>4.75329213514155</v>
      </c>
    </row>
    <row r="1127" customFormat="false" ht="15" hidden="false" customHeight="false" outlineLevel="0" collapsed="false">
      <c r="A1127" s="28" t="n">
        <v>112213.201553124</v>
      </c>
      <c r="B1127" s="29" t="n">
        <v>6</v>
      </c>
      <c r="C1127" s="18" t="n">
        <v>9.04529705986539</v>
      </c>
      <c r="D1127" s="18" t="n">
        <v>8.24659727355176</v>
      </c>
      <c r="E1127" s="18" t="n">
        <v>6.00002185544452</v>
      </c>
      <c r="F1127" s="18" t="n">
        <v>5.53779830320637</v>
      </c>
      <c r="G1127" s="18" t="n">
        <v>4.34053748710341</v>
      </c>
      <c r="H1127" s="18" t="n">
        <v>4.64110402386702</v>
      </c>
      <c r="I1127" s="18" t="n">
        <v>4.74903485701009</v>
      </c>
      <c r="J1127" s="18" t="n">
        <v>4.76205451557834</v>
      </c>
    </row>
    <row r="1128" customFormat="false" ht="15" hidden="false" customHeight="false" outlineLevel="0" collapsed="false">
      <c r="A1128" s="28" t="n">
        <v>112313.213319214</v>
      </c>
      <c r="B1128" s="29" t="n">
        <v>6</v>
      </c>
      <c r="C1128" s="18" t="n">
        <v>4.63229734062061</v>
      </c>
      <c r="D1128" s="18" t="n">
        <v>5.41835950834347</v>
      </c>
      <c r="E1128" s="18" t="n">
        <v>6.00002030849321</v>
      </c>
      <c r="F1128" s="18" t="n">
        <v>5.77387766199763</v>
      </c>
      <c r="G1128" s="18" t="n">
        <v>4.81267822701554</v>
      </c>
      <c r="H1128" s="18" t="n">
        <v>4.74737619715218</v>
      </c>
      <c r="I1128" s="18" t="n">
        <v>4.74903485619893</v>
      </c>
      <c r="J1128" s="18" t="n">
        <v>4.75969401719984</v>
      </c>
    </row>
    <row r="1129" customFormat="false" ht="15" hidden="false" customHeight="false" outlineLevel="0" collapsed="false">
      <c r="A1129" s="28" t="n">
        <v>112413.225085304</v>
      </c>
      <c r="B1129" s="29" t="n">
        <v>6</v>
      </c>
      <c r="C1129" s="18" t="n">
        <v>4.44340411444313</v>
      </c>
      <c r="D1129" s="18" t="n">
        <v>4.92620163871231</v>
      </c>
      <c r="E1129" s="18" t="n">
        <v>6.00001887103745</v>
      </c>
      <c r="F1129" s="18" t="n">
        <v>6.32846112020956</v>
      </c>
      <c r="G1129" s="18" t="n">
        <v>4.90399605226286</v>
      </c>
      <c r="H1129" s="18" t="n">
        <v>4.79465256136411</v>
      </c>
      <c r="I1129" s="18" t="n">
        <v>4.74903485544519</v>
      </c>
      <c r="J1129" s="18" t="n">
        <v>4.74699956524142</v>
      </c>
    </row>
    <row r="1130" customFormat="false" ht="15" hidden="false" customHeight="false" outlineLevel="0" collapsed="false">
      <c r="A1130" s="28" t="n">
        <v>112513.236851394</v>
      </c>
      <c r="B1130" s="29" t="n">
        <v>6</v>
      </c>
      <c r="C1130" s="18" t="n">
        <v>4.69073784511571</v>
      </c>
      <c r="D1130" s="18" t="n">
        <v>5.11609376303217</v>
      </c>
      <c r="E1130" s="18" t="n">
        <v>6.00001753532673</v>
      </c>
      <c r="F1130" s="18" t="n">
        <v>6.77357472264213</v>
      </c>
      <c r="G1130" s="18" t="n">
        <v>4.9269839846043</v>
      </c>
      <c r="H1130" s="18" t="n">
        <v>4.79422610899303</v>
      </c>
      <c r="I1130" s="18" t="n">
        <v>4.7490348547448</v>
      </c>
      <c r="J1130" s="18" t="n">
        <v>4.72199038346622</v>
      </c>
    </row>
    <row r="1131" customFormat="false" ht="15" hidden="false" customHeight="false" outlineLevel="0" collapsed="false">
      <c r="A1131" s="28" t="n">
        <v>112613.248617484</v>
      </c>
      <c r="B1131" s="29" t="n">
        <v>6</v>
      </c>
      <c r="C1131" s="18" t="n">
        <v>5.65158077384275</v>
      </c>
      <c r="D1131" s="18" t="n">
        <v>5.58259816220453</v>
      </c>
      <c r="E1131" s="18" t="n">
        <v>6.00001629415921</v>
      </c>
      <c r="F1131" s="18" t="n">
        <v>5.71294431049446</v>
      </c>
      <c r="G1131" s="18" t="n">
        <v>4.89128483211553</v>
      </c>
      <c r="H1131" s="18" t="n">
        <v>4.77983832021557</v>
      </c>
      <c r="I1131" s="18" t="n">
        <v>4.74903485409398</v>
      </c>
      <c r="J1131" s="18" t="n">
        <v>4.74909674881619</v>
      </c>
    </row>
    <row r="1132" customFormat="false" ht="15" hidden="false" customHeight="false" outlineLevel="0" collapsed="false">
      <c r="A1132" s="28" t="n">
        <v>112713.260383575</v>
      </c>
      <c r="B1132" s="29" t="n">
        <v>6</v>
      </c>
      <c r="C1132" s="18" t="n">
        <v>9.13528735241567</v>
      </c>
      <c r="D1132" s="18" t="n">
        <v>8.06301386688117</v>
      </c>
      <c r="E1132" s="18" t="n">
        <v>6.00001514084289</v>
      </c>
      <c r="F1132" s="18" t="n">
        <v>5.52558474673346</v>
      </c>
      <c r="G1132" s="18" t="n">
        <v>4.39557946086596</v>
      </c>
      <c r="H1132" s="18" t="n">
        <v>4.66384680913658</v>
      </c>
      <c r="I1132" s="18" t="n">
        <v>4.74903485348923</v>
      </c>
      <c r="J1132" s="18" t="n">
        <v>4.76139969671912</v>
      </c>
    </row>
    <row r="1133" customFormat="false" ht="15" hidden="false" customHeight="false" outlineLevel="0" collapsed="false">
      <c r="A1133" s="28" t="n">
        <v>112813.272149665</v>
      </c>
      <c r="B1133" s="29" t="n">
        <v>6</v>
      </c>
      <c r="C1133" s="18" t="n">
        <v>5.09536635141734</v>
      </c>
      <c r="D1133" s="18" t="n">
        <v>6.21236350065849</v>
      </c>
      <c r="E1133" s="18" t="n">
        <v>6.00001406915942</v>
      </c>
      <c r="F1133" s="18" t="n">
        <v>5.7157981048931</v>
      </c>
      <c r="G1133" s="18" t="n">
        <v>4.6666452019958</v>
      </c>
      <c r="H1133" s="18" t="n">
        <v>4.63582562596789</v>
      </c>
      <c r="I1133" s="18" t="n">
        <v>4.74903485292728</v>
      </c>
      <c r="J1133" s="18" t="n">
        <v>4.76062270769524</v>
      </c>
    </row>
    <row r="1134" customFormat="false" ht="15" hidden="false" customHeight="false" outlineLevel="0" collapsed="false">
      <c r="A1134" s="28" t="n">
        <v>112913.283915755</v>
      </c>
      <c r="B1134" s="29" t="n">
        <v>6</v>
      </c>
      <c r="C1134" s="18" t="n">
        <v>4.40649945243086</v>
      </c>
      <c r="D1134" s="18" t="n">
        <v>4.94097005595591</v>
      </c>
      <c r="E1134" s="18" t="n">
        <v>6.0000130733307</v>
      </c>
      <c r="F1134" s="18" t="n">
        <v>6.18639815204877</v>
      </c>
      <c r="G1134" s="18" t="n">
        <v>4.88470265679102</v>
      </c>
      <c r="H1134" s="18" t="n">
        <v>4.78763394814318</v>
      </c>
      <c r="I1134" s="18" t="n">
        <v>4.74903485240512</v>
      </c>
      <c r="J1134" s="18" t="n">
        <v>4.75046700771244</v>
      </c>
    </row>
    <row r="1135" customFormat="false" ht="15" hidden="false" customHeight="false" outlineLevel="0" collapsed="false">
      <c r="A1135" s="28" t="n">
        <v>113013.295681845</v>
      </c>
      <c r="B1135" s="29" t="n">
        <v>6</v>
      </c>
      <c r="C1135" s="18" t="n">
        <v>4.5634633642632</v>
      </c>
      <c r="D1135" s="18" t="n">
        <v>5.04809609873019</v>
      </c>
      <c r="E1135" s="18" t="n">
        <v>6.00001214798761</v>
      </c>
      <c r="F1135" s="18" t="n">
        <v>6.86786530125214</v>
      </c>
      <c r="G1135" s="18" t="n">
        <v>4.92165311769063</v>
      </c>
      <c r="H1135" s="18" t="n">
        <v>4.79538929177667</v>
      </c>
      <c r="I1135" s="18" t="n">
        <v>4.74903485191991</v>
      </c>
      <c r="J1135" s="18" t="n">
        <v>4.72451405635351</v>
      </c>
    </row>
    <row r="1136" customFormat="false" ht="15" hidden="false" customHeight="false" outlineLevel="0" collapsed="false">
      <c r="A1136" s="28" t="n">
        <v>113113.307447935</v>
      </c>
      <c r="B1136" s="29" t="n">
        <v>6</v>
      </c>
      <c r="C1136" s="18" t="n">
        <v>5.02227091720675</v>
      </c>
      <c r="D1136" s="18" t="n">
        <v>5.41744175953314</v>
      </c>
      <c r="E1136" s="18" t="n">
        <v>6.00001128814106</v>
      </c>
      <c r="F1136" s="18" t="n">
        <v>5.84077605478278</v>
      </c>
      <c r="G1136" s="18" t="n">
        <v>4.92031019661555</v>
      </c>
      <c r="H1136" s="18" t="n">
        <v>4.7853428552261</v>
      </c>
      <c r="I1136" s="18" t="n">
        <v>4.74903485146904</v>
      </c>
      <c r="J1136" s="18" t="n">
        <v>4.74428086020006</v>
      </c>
    </row>
    <row r="1137" customFormat="false" ht="15" hidden="false" customHeight="false" outlineLevel="0" collapsed="false">
      <c r="A1137" s="28" t="n">
        <v>113213.319214025</v>
      </c>
      <c r="B1137" s="29" t="n">
        <v>6</v>
      </c>
      <c r="C1137" s="18" t="n">
        <v>8.9061174933426</v>
      </c>
      <c r="D1137" s="18" t="n">
        <v>7.61157969089975</v>
      </c>
      <c r="E1137" s="18" t="n">
        <v>6.0000104891551</v>
      </c>
      <c r="F1137" s="18" t="n">
        <v>5.52619368049654</v>
      </c>
      <c r="G1137" s="18" t="n">
        <v>4.47377668233238</v>
      </c>
      <c r="H1137" s="18" t="n">
        <v>4.73077316101493</v>
      </c>
      <c r="I1137" s="18" t="n">
        <v>4.74903485105009</v>
      </c>
      <c r="J1137" s="18" t="n">
        <v>4.76038095301484</v>
      </c>
    </row>
    <row r="1138" customFormat="false" ht="15" hidden="false" customHeight="false" outlineLevel="0" collapsed="false">
      <c r="A1138" s="28" t="n">
        <v>113313.330980115</v>
      </c>
      <c r="B1138" s="29" t="n">
        <v>6</v>
      </c>
      <c r="C1138" s="18" t="n">
        <v>8.73390741956081</v>
      </c>
      <c r="D1138" s="18" t="n">
        <v>8.17127612917544</v>
      </c>
      <c r="E1138" s="18" t="n">
        <v>6.00000974672199</v>
      </c>
      <c r="F1138" s="18" t="n">
        <v>5.67013532709859</v>
      </c>
      <c r="G1138" s="18" t="n">
        <v>4.3373987181799</v>
      </c>
      <c r="H1138" s="18" t="n">
        <v>4.62834963484916</v>
      </c>
      <c r="I1138" s="18" t="n">
        <v>4.7490348506608</v>
      </c>
      <c r="J1138" s="18" t="n">
        <v>4.76119902656165</v>
      </c>
    </row>
    <row r="1139" customFormat="false" ht="15" hidden="false" customHeight="false" outlineLevel="0" collapsed="false">
      <c r="A1139" s="28" t="n">
        <v>113413.342746205</v>
      </c>
      <c r="B1139" s="29" t="n">
        <v>6</v>
      </c>
      <c r="C1139" s="18" t="n">
        <v>4.5077505220387</v>
      </c>
      <c r="D1139" s="18" t="n">
        <v>5.05746873716717</v>
      </c>
      <c r="E1139" s="18" t="n">
        <v>6.00000905683884</v>
      </c>
      <c r="F1139" s="18" t="n">
        <v>6.07528166748974</v>
      </c>
      <c r="G1139" s="18" t="n">
        <v>4.84125211472519</v>
      </c>
      <c r="H1139" s="18" t="n">
        <v>4.77814395951399</v>
      </c>
      <c r="I1139" s="18" t="n">
        <v>4.74903485029906</v>
      </c>
      <c r="J1139" s="18" t="n">
        <v>4.75306683795734</v>
      </c>
    </row>
    <row r="1140" customFormat="false" ht="15" hidden="false" customHeight="false" outlineLevel="0" collapsed="false">
      <c r="A1140" s="28" t="n">
        <v>113513.354512296</v>
      </c>
      <c r="B1140" s="29" t="n">
        <v>6</v>
      </c>
      <c r="C1140" s="18" t="n">
        <v>4.47476406557413</v>
      </c>
      <c r="D1140" s="18" t="n">
        <v>4.99241617733536</v>
      </c>
      <c r="E1140" s="18" t="n">
        <v>6.00000841578612</v>
      </c>
      <c r="F1140" s="18" t="n">
        <v>6.83616176155982</v>
      </c>
      <c r="G1140" s="18" t="n">
        <v>4.91101856004493</v>
      </c>
      <c r="H1140" s="18" t="n">
        <v>4.79586373664911</v>
      </c>
      <c r="I1140" s="18" t="n">
        <v>4.74903484996293</v>
      </c>
      <c r="J1140" s="18" t="n">
        <v>4.72928883959495</v>
      </c>
    </row>
    <row r="1141" customFormat="false" ht="15" hidden="false" customHeight="false" outlineLevel="0" collapsed="false">
      <c r="A1141" s="28" t="n">
        <v>113613.366278386</v>
      </c>
      <c r="B1141" s="29" t="n">
        <v>6</v>
      </c>
      <c r="C1141" s="18" t="n">
        <v>4.77485350006229</v>
      </c>
      <c r="D1141" s="18" t="n">
        <v>5.28877466166747</v>
      </c>
      <c r="E1141" s="18" t="n">
        <v>6.00000782010759</v>
      </c>
      <c r="F1141" s="18" t="n">
        <v>5.99187525052778</v>
      </c>
      <c r="G1141" s="18" t="n">
        <v>4.92727754302117</v>
      </c>
      <c r="H1141" s="18" t="n">
        <v>4.78944237192305</v>
      </c>
      <c r="I1141" s="18" t="n">
        <v>4.74903484965059</v>
      </c>
      <c r="J1141" s="18" t="n">
        <v>4.73918850805768</v>
      </c>
    </row>
    <row r="1142" customFormat="false" ht="15" hidden="false" customHeight="false" outlineLevel="0" collapsed="false">
      <c r="A1142" s="28" t="n">
        <v>113713.378044476</v>
      </c>
      <c r="B1142" s="29" t="n">
        <v>6</v>
      </c>
      <c r="C1142" s="18" t="n">
        <v>8.12585246630583</v>
      </c>
      <c r="D1142" s="18" t="n">
        <v>6.23354220540976</v>
      </c>
      <c r="E1142" s="18" t="n">
        <v>6.00000726659165</v>
      </c>
      <c r="F1142" s="18" t="n">
        <v>5.54016072166736</v>
      </c>
      <c r="G1142" s="18" t="n">
        <v>4.84609024215508</v>
      </c>
      <c r="H1142" s="18" t="n">
        <v>4.76056477510862</v>
      </c>
      <c r="I1142" s="18" t="n">
        <v>4.74903484936035</v>
      </c>
      <c r="J1142" s="18" t="n">
        <v>4.75899628955792</v>
      </c>
    </row>
    <row r="1143" customFormat="false" ht="15" hidden="false" customHeight="false" outlineLevel="0" collapsed="false">
      <c r="A1143" s="28" t="n">
        <v>113813.389810566</v>
      </c>
      <c r="B1143" s="29" t="n">
        <v>6</v>
      </c>
      <c r="C1143" s="18" t="n">
        <v>9.18445668240443</v>
      </c>
      <c r="D1143" s="18" t="n">
        <v>8.28045346074391</v>
      </c>
      <c r="E1143" s="18" t="n">
        <v>6.00000675225399</v>
      </c>
      <c r="F1143" s="18" t="n">
        <v>5.63565494983856</v>
      </c>
      <c r="G1143" s="18" t="n">
        <v>4.36584502983401</v>
      </c>
      <c r="H1143" s="18" t="n">
        <v>4.63406209279295</v>
      </c>
      <c r="I1143" s="18" t="n">
        <v>4.74903484909066</v>
      </c>
      <c r="J1143" s="18" t="n">
        <v>4.76147141882744</v>
      </c>
    </row>
    <row r="1144" customFormat="false" ht="15" hidden="false" customHeight="false" outlineLevel="0" collapsed="false">
      <c r="A1144" s="28" t="n">
        <v>113913.401576656</v>
      </c>
      <c r="B1144" s="29" t="n">
        <v>6</v>
      </c>
      <c r="C1144" s="18" t="n">
        <v>4.80990991090914</v>
      </c>
      <c r="D1144" s="18" t="n">
        <v>5.23650199663321</v>
      </c>
      <c r="E1144" s="18" t="n">
        <v>6.00000627432151</v>
      </c>
      <c r="F1144" s="18" t="n">
        <v>5.9885031871253</v>
      </c>
      <c r="G1144" s="18" t="n">
        <v>4.77300507753969</v>
      </c>
      <c r="H1144" s="18" t="n">
        <v>4.76389272808209</v>
      </c>
      <c r="I1144" s="18" t="n">
        <v>4.74903484884006</v>
      </c>
      <c r="J1144" s="18" t="n">
        <v>4.75499399845145</v>
      </c>
    </row>
    <row r="1145" customFormat="false" ht="15" hidden="false" customHeight="false" outlineLevel="0" collapsed="false">
      <c r="A1145" s="28" t="n">
        <v>114013.413342746</v>
      </c>
      <c r="B1145" s="29" t="n">
        <v>6</v>
      </c>
      <c r="C1145" s="18" t="n">
        <v>4.42016540365824</v>
      </c>
      <c r="D1145" s="18" t="n">
        <v>4.94354870606423</v>
      </c>
      <c r="E1145" s="18" t="n">
        <v>6.00000583021748</v>
      </c>
      <c r="F1145" s="18" t="n">
        <v>6.72708874890873</v>
      </c>
      <c r="G1145" s="18" t="n">
        <v>4.89574647475437</v>
      </c>
      <c r="H1145" s="18" t="n">
        <v>4.79562316472618</v>
      </c>
      <c r="I1145" s="18" t="n">
        <v>4.7490348486072</v>
      </c>
      <c r="J1145" s="18" t="n">
        <v>4.73443544388232</v>
      </c>
    </row>
    <row r="1146" customFormat="false" ht="15" hidden="false" customHeight="false" outlineLevel="0" collapsed="false">
      <c r="A1146" s="28" t="n">
        <v>114113.425108836</v>
      </c>
      <c r="B1146" s="29" t="n">
        <v>6</v>
      </c>
      <c r="C1146" s="18" t="n">
        <v>4.62157575610341</v>
      </c>
      <c r="D1146" s="18" t="n">
        <v>5.1729570319742</v>
      </c>
      <c r="E1146" s="18" t="n">
        <v>6.00000541754751</v>
      </c>
      <c r="F1146" s="18" t="n">
        <v>6.15400850349971</v>
      </c>
      <c r="G1146" s="18" t="n">
        <v>4.9250115244801</v>
      </c>
      <c r="H1146" s="18" t="n">
        <v>4.79280659238702</v>
      </c>
      <c r="I1146" s="18" t="n">
        <v>4.74903484839082</v>
      </c>
      <c r="J1146" s="18" t="n">
        <v>4.73436297478698</v>
      </c>
    </row>
    <row r="1147" customFormat="false" ht="15" hidden="false" customHeight="false" outlineLevel="0" collapsed="false">
      <c r="A1147" s="28" t="n">
        <v>114213.436874927</v>
      </c>
      <c r="B1147" s="29" t="n">
        <v>6</v>
      </c>
      <c r="C1147" s="18" t="n">
        <v>5.23299748354369</v>
      </c>
      <c r="D1147" s="18" t="n">
        <v>5.74089331241881</v>
      </c>
      <c r="E1147" s="18" t="n">
        <v>6.00000503408668</v>
      </c>
      <c r="F1147" s="18" t="n">
        <v>5.56757783713117</v>
      </c>
      <c r="G1147" s="18" t="n">
        <v>4.91036890121912</v>
      </c>
      <c r="H1147" s="18" t="n">
        <v>4.77456344969231</v>
      </c>
      <c r="I1147" s="18" t="n">
        <v>4.74903484818976</v>
      </c>
      <c r="J1147" s="18" t="n">
        <v>4.75726284754463</v>
      </c>
    </row>
    <row r="1148" customFormat="false" ht="15" hidden="false" customHeight="false" outlineLevel="0" collapsed="false">
      <c r="A1148" s="28" t="n">
        <v>114313.448641017</v>
      </c>
      <c r="B1148" s="29" t="n">
        <v>6</v>
      </c>
      <c r="C1148" s="18" t="n">
        <v>9.04429270683107</v>
      </c>
      <c r="D1148" s="18" t="n">
        <v>8.19376624787475</v>
      </c>
      <c r="E1148" s="18" t="n">
        <v>6.00000467776753</v>
      </c>
      <c r="F1148" s="18" t="n">
        <v>5.61154394585884</v>
      </c>
      <c r="G1148" s="18" t="n">
        <v>4.43008729342309</v>
      </c>
      <c r="H1148" s="18" t="n">
        <v>4.64808689721934</v>
      </c>
      <c r="I1148" s="18" t="n">
        <v>4.74903484800293</v>
      </c>
      <c r="J1148" s="18" t="n">
        <v>4.76147828117888</v>
      </c>
    </row>
    <row r="1149" customFormat="false" ht="15" hidden="false" customHeight="false" outlineLevel="0" collapsed="false">
      <c r="A1149" s="28" t="n">
        <v>114413.460407107</v>
      </c>
      <c r="B1149" s="29" t="n">
        <v>6</v>
      </c>
      <c r="C1149" s="18" t="n">
        <v>5.98593017960959</v>
      </c>
      <c r="D1149" s="18" t="n">
        <v>5.61953365008694</v>
      </c>
      <c r="E1149" s="18" t="n">
        <v>6.00000434666895</v>
      </c>
      <c r="F1149" s="18" t="n">
        <v>5.92131036592039</v>
      </c>
      <c r="G1149" s="18" t="n">
        <v>4.35567532446588</v>
      </c>
      <c r="H1149" s="18" t="n">
        <v>4.71736788581024</v>
      </c>
      <c r="I1149" s="18" t="n">
        <v>4.74903484782933</v>
      </c>
      <c r="J1149" s="18" t="n">
        <v>4.75638569065234</v>
      </c>
    </row>
    <row r="1150" customFormat="false" ht="15" hidden="false" customHeight="false" outlineLevel="0" collapsed="false">
      <c r="A1150" s="28" t="n">
        <v>114513.472173197</v>
      </c>
      <c r="B1150" s="29" t="n">
        <v>6</v>
      </c>
      <c r="C1150" s="18" t="n">
        <v>4.41678357002681</v>
      </c>
      <c r="D1150" s="18" t="n">
        <v>4.93217032883933</v>
      </c>
      <c r="E1150" s="18" t="n">
        <v>6.00000403900586</v>
      </c>
      <c r="F1150" s="18" t="n">
        <v>6.59430951031756</v>
      </c>
      <c r="G1150" s="18" t="n">
        <v>4.86459483887195</v>
      </c>
      <c r="H1150" s="18" t="n">
        <v>4.79277969655215</v>
      </c>
      <c r="I1150" s="18" t="n">
        <v>4.74903484766801</v>
      </c>
      <c r="J1150" s="18" t="n">
        <v>4.73883528908882</v>
      </c>
    </row>
    <row r="1151" customFormat="false" ht="15" hidden="false" customHeight="false" outlineLevel="0" collapsed="false">
      <c r="A1151" s="28" t="n">
        <v>114613.483939287</v>
      </c>
      <c r="B1151" s="29" t="n">
        <v>6</v>
      </c>
      <c r="C1151" s="18" t="n">
        <v>4.51441676177486</v>
      </c>
      <c r="D1151" s="18" t="n">
        <v>5.09697308564811</v>
      </c>
      <c r="E1151" s="18" t="n">
        <v>6.00000375311944</v>
      </c>
      <c r="F1151" s="18" t="n">
        <v>6.30967915739852</v>
      </c>
      <c r="G1151" s="18" t="n">
        <v>4.91692785552698</v>
      </c>
      <c r="H1151" s="18" t="n">
        <v>4.79455175098315</v>
      </c>
      <c r="I1151" s="18" t="n">
        <v>4.74903484751811</v>
      </c>
      <c r="J1151" s="18" t="n">
        <v>4.73054342288781</v>
      </c>
    </row>
    <row r="1152" customFormat="false" ht="15" hidden="false" customHeight="false" outlineLevel="0" collapsed="false">
      <c r="A1152" s="28" t="n">
        <v>114713.495705377</v>
      </c>
      <c r="B1152" s="29" t="n">
        <v>6</v>
      </c>
      <c r="C1152" s="18" t="n">
        <v>4.88081052155076</v>
      </c>
      <c r="D1152" s="18" t="n">
        <v>5.53129266030066</v>
      </c>
      <c r="E1152" s="18" t="n">
        <v>6.00000348746835</v>
      </c>
      <c r="F1152" s="18" t="n">
        <v>5.60753401406472</v>
      </c>
      <c r="G1152" s="18" t="n">
        <v>4.92535783113393</v>
      </c>
      <c r="H1152" s="18" t="n">
        <v>4.78153730837608</v>
      </c>
      <c r="I1152" s="18" t="n">
        <v>4.74903484737882</v>
      </c>
      <c r="J1152" s="18" t="n">
        <v>4.75525013168019</v>
      </c>
    </row>
    <row r="1153" customFormat="false" ht="15" hidden="false" customHeight="false" outlineLevel="0" collapsed="false">
      <c r="A1153" s="28" t="n">
        <v>114813.507471467</v>
      </c>
      <c r="B1153" s="29" t="n">
        <v>6</v>
      </c>
      <c r="C1153" s="18" t="n">
        <v>8.67921098508217</v>
      </c>
      <c r="D1153" s="18" t="n">
        <v>7.98261487659643</v>
      </c>
      <c r="E1153" s="18" t="n">
        <v>6.00000324062033</v>
      </c>
      <c r="F1153" s="18" t="n">
        <v>5.59719962531144</v>
      </c>
      <c r="G1153" s="18" t="n">
        <v>4.55299114528156</v>
      </c>
      <c r="H1153" s="18" t="n">
        <v>4.67496697119908</v>
      </c>
      <c r="I1153" s="18" t="n">
        <v>4.74903484724939</v>
      </c>
      <c r="J1153" s="18" t="n">
        <v>4.76125478802537</v>
      </c>
    </row>
    <row r="1154" customFormat="false" ht="15" hidden="false" customHeight="false" outlineLevel="0" collapsed="false">
      <c r="A1154" s="28" t="n">
        <v>114913.519237557</v>
      </c>
      <c r="B1154" s="29" t="n">
        <v>6</v>
      </c>
      <c r="C1154" s="18" t="n">
        <v>9.04529705986539</v>
      </c>
      <c r="D1154" s="18" t="n">
        <v>7.06223407346965</v>
      </c>
      <c r="E1154" s="18" t="n">
        <v>6.00000301124447</v>
      </c>
      <c r="F1154" s="18" t="n">
        <v>5.87048515166315</v>
      </c>
      <c r="G1154" s="18" t="n">
        <v>4.34053748710341</v>
      </c>
      <c r="H1154" s="18" t="n">
        <v>4.63007364903205</v>
      </c>
      <c r="I1154" s="18" t="n">
        <v>4.74903484712912</v>
      </c>
      <c r="J1154" s="18" t="n">
        <v>4.7573402550861</v>
      </c>
    </row>
    <row r="1155" customFormat="false" ht="15" hidden="false" customHeight="false" outlineLevel="0" collapsed="false">
      <c r="A1155" s="28" t="n">
        <v>115013.531003648</v>
      </c>
      <c r="B1155" s="29" t="n">
        <v>6</v>
      </c>
      <c r="C1155" s="18" t="n">
        <v>4.63229734062061</v>
      </c>
      <c r="D1155" s="18" t="n">
        <v>4.96607803481181</v>
      </c>
      <c r="E1155" s="18" t="n">
        <v>6.00000279810411</v>
      </c>
      <c r="F1155" s="18" t="n">
        <v>6.47336906133112</v>
      </c>
      <c r="G1155" s="18" t="n">
        <v>4.81267822701554</v>
      </c>
      <c r="H1155" s="18" t="n">
        <v>4.7851429562965</v>
      </c>
      <c r="I1155" s="18" t="n">
        <v>4.74903484701737</v>
      </c>
      <c r="J1155" s="18" t="n">
        <v>4.74223391969932</v>
      </c>
    </row>
    <row r="1156" customFormat="false" ht="15" hidden="false" customHeight="false" outlineLevel="0" collapsed="false">
      <c r="A1156" s="28" t="n">
        <v>115113.542769738</v>
      </c>
      <c r="B1156" s="29" t="n">
        <v>6</v>
      </c>
      <c r="C1156" s="18" t="n">
        <v>4.44340411444313</v>
      </c>
      <c r="D1156" s="18" t="n">
        <v>5.02417475086231</v>
      </c>
      <c r="E1156" s="18" t="n">
        <v>6.00000260005005</v>
      </c>
      <c r="F1156" s="18" t="n">
        <v>6.43851217175625</v>
      </c>
      <c r="G1156" s="18" t="n">
        <v>4.90399605226286</v>
      </c>
      <c r="H1156" s="18" t="n">
        <v>4.79574814261408</v>
      </c>
      <c r="I1156" s="18" t="n">
        <v>4.74903484691353</v>
      </c>
      <c r="J1156" s="18" t="n">
        <v>4.72839971329236</v>
      </c>
    </row>
    <row r="1157" customFormat="false" ht="15" hidden="false" customHeight="false" outlineLevel="0" collapsed="false">
      <c r="A1157" s="28" t="n">
        <v>115213.554535828</v>
      </c>
      <c r="B1157" s="29" t="n">
        <v>6</v>
      </c>
      <c r="C1157" s="18" t="n">
        <v>4.69073784511571</v>
      </c>
      <c r="D1157" s="18" t="n">
        <v>5.36495076220177</v>
      </c>
      <c r="E1157" s="18" t="n">
        <v>6.00000241601452</v>
      </c>
      <c r="F1157" s="18" t="n">
        <v>5.65734791970028</v>
      </c>
      <c r="G1157" s="18" t="n">
        <v>4.9269839846043</v>
      </c>
      <c r="H1157" s="18" t="n">
        <v>4.78706589041436</v>
      </c>
      <c r="I1157" s="18" t="n">
        <v>4.74903484681703</v>
      </c>
      <c r="J1157" s="18" t="n">
        <v>4.75311148660265</v>
      </c>
    </row>
    <row r="1158" customFormat="false" ht="15" hidden="false" customHeight="false" outlineLevel="0" collapsed="false">
      <c r="A1158" s="28" t="n">
        <v>115313.566301918</v>
      </c>
      <c r="B1158" s="29" t="n">
        <v>6</v>
      </c>
      <c r="C1158" s="18" t="n">
        <v>5.65158077384275</v>
      </c>
      <c r="D1158" s="18" t="n">
        <v>7.09835269246646</v>
      </c>
      <c r="E1158" s="18" t="n">
        <v>6.00000224500525</v>
      </c>
      <c r="F1158" s="18" t="n">
        <v>5.59200650903636</v>
      </c>
      <c r="G1158" s="18" t="n">
        <v>4.89128483211553</v>
      </c>
      <c r="H1158" s="18" t="n">
        <v>4.74639432291927</v>
      </c>
      <c r="I1158" s="18" t="n">
        <v>4.74903484672737</v>
      </c>
      <c r="J1158" s="18" t="n">
        <v>4.76084013409267</v>
      </c>
    </row>
    <row r="1159" customFormat="false" ht="15" hidden="false" customHeight="false" outlineLevel="0" collapsed="false">
      <c r="A1159" s="28" t="n">
        <v>115413.578068008</v>
      </c>
      <c r="B1159" s="29" t="n">
        <v>6</v>
      </c>
      <c r="C1159" s="18" t="n">
        <v>9.13528735241567</v>
      </c>
      <c r="D1159" s="18" t="n">
        <v>8.25306546425171</v>
      </c>
      <c r="E1159" s="18" t="n">
        <v>6.00000208610022</v>
      </c>
      <c r="F1159" s="18" t="n">
        <v>5.83383553117692</v>
      </c>
      <c r="G1159" s="18" t="n">
        <v>4.39557946086596</v>
      </c>
      <c r="H1159" s="18" t="n">
        <v>4.6297462468236</v>
      </c>
      <c r="I1159" s="18" t="n">
        <v>4.74903484664405</v>
      </c>
      <c r="J1159" s="18" t="n">
        <v>4.75793058841625</v>
      </c>
    </row>
    <row r="1160" customFormat="false" ht="15" hidden="false" customHeight="false" outlineLevel="0" collapsed="false">
      <c r="A1160" s="28" t="n">
        <v>115513.589834098</v>
      </c>
      <c r="B1160" s="29" t="n">
        <v>6</v>
      </c>
      <c r="C1160" s="18" t="n">
        <v>5.09536635141734</v>
      </c>
      <c r="D1160" s="18" t="n">
        <v>5.11542831188739</v>
      </c>
      <c r="E1160" s="18" t="n">
        <v>6.00000193844269</v>
      </c>
      <c r="F1160" s="18" t="n">
        <v>6.37639280922464</v>
      </c>
      <c r="G1160" s="18" t="n">
        <v>4.6666452019958</v>
      </c>
      <c r="H1160" s="18" t="n">
        <v>4.77355235237109</v>
      </c>
      <c r="I1160" s="18" t="n">
        <v>4.74903484656663</v>
      </c>
      <c r="J1160" s="18" t="n">
        <v>4.74472204281784</v>
      </c>
    </row>
    <row r="1161" customFormat="false" ht="15" hidden="false" customHeight="false" outlineLevel="0" collapsed="false">
      <c r="A1161" s="28" t="n">
        <v>115613.601600188</v>
      </c>
      <c r="B1161" s="29" t="n">
        <v>6</v>
      </c>
      <c r="C1161" s="18" t="n">
        <v>4.40649945243086</v>
      </c>
      <c r="D1161" s="18" t="n">
        <v>4.97075650858398</v>
      </c>
      <c r="E1161" s="18" t="n">
        <v>6.00000180123658</v>
      </c>
      <c r="F1161" s="18" t="n">
        <v>6.52362302569958</v>
      </c>
      <c r="G1161" s="18" t="n">
        <v>4.88470265679102</v>
      </c>
      <c r="H1161" s="18" t="n">
        <v>4.79592846224888</v>
      </c>
      <c r="I1161" s="18" t="n">
        <v>4.74903484649469</v>
      </c>
      <c r="J1161" s="18" t="n">
        <v>4.72800278738903</v>
      </c>
    </row>
    <row r="1162" customFormat="false" ht="15" hidden="false" customHeight="false" outlineLevel="0" collapsed="false">
      <c r="A1162" s="28" t="n">
        <v>115713.613366278</v>
      </c>
      <c r="B1162" s="29" t="n">
        <v>6</v>
      </c>
      <c r="C1162" s="18" t="n">
        <v>4.5634633642632</v>
      </c>
      <c r="D1162" s="18" t="n">
        <v>5.24020581640934</v>
      </c>
      <c r="E1162" s="18" t="n">
        <v>6.0000016737421</v>
      </c>
      <c r="F1162" s="18" t="n">
        <v>5.71211719147375</v>
      </c>
      <c r="G1162" s="18" t="n">
        <v>4.92165311769063</v>
      </c>
      <c r="H1162" s="18" t="n">
        <v>4.79091623201898</v>
      </c>
      <c r="I1162" s="18" t="n">
        <v>4.74903484642785</v>
      </c>
      <c r="J1162" s="18" t="n">
        <v>4.75105965632581</v>
      </c>
    </row>
    <row r="1163" customFormat="false" ht="15" hidden="false" customHeight="false" outlineLevel="0" collapsed="false">
      <c r="A1163" s="28" t="n">
        <v>115813.625132369</v>
      </c>
      <c r="B1163" s="29" t="n">
        <v>6</v>
      </c>
      <c r="C1163" s="18" t="n">
        <v>5.02227091720675</v>
      </c>
      <c r="D1163" s="18" t="n">
        <v>5.98168577840241</v>
      </c>
      <c r="E1163" s="18" t="n">
        <v>6.00000155527185</v>
      </c>
      <c r="F1163" s="18" t="n">
        <v>5.59512541684334</v>
      </c>
      <c r="G1163" s="18" t="n">
        <v>4.92031019661555</v>
      </c>
      <c r="H1163" s="18" t="n">
        <v>4.76712107371776</v>
      </c>
      <c r="I1163" s="18" t="n">
        <v>4.74903484636573</v>
      </c>
      <c r="J1163" s="18" t="n">
        <v>4.76028094321072</v>
      </c>
    </row>
    <row r="1164" customFormat="false" ht="15" hidden="false" customHeight="false" outlineLevel="0" collapsed="false">
      <c r="A1164" s="28" t="n">
        <v>115913.636898459</v>
      </c>
      <c r="B1164" s="29" t="n">
        <v>6</v>
      </c>
      <c r="C1164" s="18" t="n">
        <v>8.9061174933426</v>
      </c>
      <c r="D1164" s="18" t="n">
        <v>8.26431754726299</v>
      </c>
      <c r="E1164" s="18" t="n">
        <v>6.00000144518709</v>
      </c>
      <c r="F1164" s="18" t="n">
        <v>5.80979666716648</v>
      </c>
      <c r="G1164" s="18" t="n">
        <v>4.47377668233238</v>
      </c>
      <c r="H1164" s="18" t="n">
        <v>4.63849736637009</v>
      </c>
      <c r="I1164" s="18" t="n">
        <v>4.74903484630801</v>
      </c>
      <c r="J1164" s="18" t="n">
        <v>4.75821282792865</v>
      </c>
    </row>
    <row r="1165" customFormat="false" ht="15" hidden="false" customHeight="false" outlineLevel="0" collapsed="false">
      <c r="A1165" s="28" t="n">
        <v>116013.648664549</v>
      </c>
      <c r="B1165" s="29" t="n">
        <v>6</v>
      </c>
      <c r="C1165" s="18" t="n">
        <v>8.73390741956081</v>
      </c>
      <c r="D1165" s="18" t="n">
        <v>5.35606661061099</v>
      </c>
      <c r="E1165" s="18" t="n">
        <v>6.00000134289429</v>
      </c>
      <c r="F1165" s="18" t="n">
        <v>6.3038561666421</v>
      </c>
      <c r="G1165" s="18" t="n">
        <v>4.3373987181799</v>
      </c>
      <c r="H1165" s="18" t="n">
        <v>4.75390686426072</v>
      </c>
      <c r="I1165" s="18" t="n">
        <v>4.74903484625438</v>
      </c>
      <c r="J1165" s="18" t="n">
        <v>4.74644809018233</v>
      </c>
    </row>
    <row r="1166" customFormat="false" ht="15" hidden="false" customHeight="false" outlineLevel="0" collapsed="false">
      <c r="A1166" s="28" t="n">
        <v>116113.660430639</v>
      </c>
      <c r="B1166" s="29" t="n">
        <v>6</v>
      </c>
      <c r="C1166" s="18" t="n">
        <v>4.5077505220387</v>
      </c>
      <c r="D1166" s="18" t="n">
        <v>4.94279812642083</v>
      </c>
      <c r="E1166" s="18" t="n">
        <v>6.00000124784197</v>
      </c>
      <c r="F1166" s="18" t="n">
        <v>6.56071505761446</v>
      </c>
      <c r="G1166" s="18" t="n">
        <v>4.84125211472519</v>
      </c>
      <c r="H1166" s="18" t="n">
        <v>4.79484710779666</v>
      </c>
      <c r="I1166" s="18" t="n">
        <v>4.74903484620454</v>
      </c>
      <c r="J1166" s="18" t="n">
        <v>4.72885233749357</v>
      </c>
    </row>
    <row r="1167" customFormat="false" ht="15" hidden="false" customHeight="false" outlineLevel="0" collapsed="false">
      <c r="A1167" s="28" t="n">
        <v>116213.672196729</v>
      </c>
      <c r="B1167" s="29" t="n">
        <v>6</v>
      </c>
      <c r="C1167" s="18" t="n">
        <v>4.47476406557413</v>
      </c>
      <c r="D1167" s="18" t="n">
        <v>5.15188443835324</v>
      </c>
      <c r="E1167" s="18" t="n">
        <v>6.0000011595176</v>
      </c>
      <c r="F1167" s="18" t="n">
        <v>5.76553625440892</v>
      </c>
      <c r="G1167" s="18" t="n">
        <v>4.91101856004493</v>
      </c>
      <c r="H1167" s="18" t="n">
        <v>4.79329052805551</v>
      </c>
      <c r="I1167" s="18" t="n">
        <v>4.74903484615823</v>
      </c>
      <c r="J1167" s="18" t="n">
        <v>4.74930911893321</v>
      </c>
    </row>
    <row r="1168" customFormat="false" ht="15" hidden="false" customHeight="false" outlineLevel="0" collapsed="false">
      <c r="A1168" s="28" t="n">
        <v>116313.683962819</v>
      </c>
      <c r="B1168" s="29" t="n">
        <v>6</v>
      </c>
      <c r="C1168" s="18" t="n">
        <v>4.77485350006229</v>
      </c>
      <c r="D1168" s="18" t="n">
        <v>5.67519410196188</v>
      </c>
      <c r="E1168" s="18" t="n">
        <v>6.00000107744498</v>
      </c>
      <c r="F1168" s="18" t="n">
        <v>5.60539309289836</v>
      </c>
      <c r="G1168" s="18" t="n">
        <v>4.92727754302117</v>
      </c>
      <c r="H1168" s="18" t="n">
        <v>4.77669849919486</v>
      </c>
      <c r="I1168" s="18" t="n">
        <v>4.7490348461152</v>
      </c>
      <c r="J1168" s="18" t="n">
        <v>4.75963018073001</v>
      </c>
    </row>
    <row r="1169" customFormat="false" ht="15" hidden="false" customHeight="false" outlineLevel="0" collapsed="false">
      <c r="A1169" s="28" t="n">
        <v>116413.695728909</v>
      </c>
      <c r="B1169" s="29" t="n">
        <v>6</v>
      </c>
      <c r="C1169" s="18" t="n">
        <v>8.12585246630583</v>
      </c>
      <c r="D1169" s="18" t="n">
        <v>8.15147438582793</v>
      </c>
      <c r="E1169" s="18" t="n">
        <v>6.0000010011816</v>
      </c>
      <c r="F1169" s="18" t="n">
        <v>5.7971415751089</v>
      </c>
      <c r="G1169" s="18" t="n">
        <v>4.84609024215508</v>
      </c>
      <c r="H1169" s="18" t="n">
        <v>4.65293054455552</v>
      </c>
      <c r="I1169" s="18" t="n">
        <v>4.74903484607522</v>
      </c>
      <c r="J1169" s="18" t="n">
        <v>4.75823194535778</v>
      </c>
    </row>
    <row r="1170" customFormat="false" ht="15" hidden="false" customHeight="false" outlineLevel="0" collapsed="false">
      <c r="A1170" s="28" t="n">
        <v>116513.707494999</v>
      </c>
      <c r="B1170" s="29" t="n">
        <v>6</v>
      </c>
      <c r="C1170" s="18" t="n">
        <v>9.18445668240443</v>
      </c>
      <c r="D1170" s="18" t="n">
        <v>5.75400238251454</v>
      </c>
      <c r="E1170" s="18" t="n">
        <v>6.00000093031626</v>
      </c>
      <c r="F1170" s="18" t="n">
        <v>6.25294706382064</v>
      </c>
      <c r="G1170" s="18" t="n">
        <v>4.36584502983401</v>
      </c>
      <c r="H1170" s="18" t="n">
        <v>4.6705068008721</v>
      </c>
      <c r="I1170" s="18" t="n">
        <v>4.74903484603806</v>
      </c>
      <c r="J1170" s="18" t="n">
        <v>4.74754351433023</v>
      </c>
    </row>
    <row r="1171" customFormat="false" ht="15" hidden="false" customHeight="false" outlineLevel="0" collapsed="false">
      <c r="A1171" s="28" t="n">
        <v>116613.71926109</v>
      </c>
      <c r="B1171" s="29" t="n">
        <v>6</v>
      </c>
      <c r="C1171" s="18" t="n">
        <v>4.80990991090914</v>
      </c>
      <c r="D1171" s="18" t="n">
        <v>4.92027630939353</v>
      </c>
      <c r="E1171" s="18" t="n">
        <v>6.00000086446684</v>
      </c>
      <c r="F1171" s="18" t="n">
        <v>6.55827075025182</v>
      </c>
      <c r="G1171" s="18" t="n">
        <v>4.77300507753969</v>
      </c>
      <c r="H1171" s="18" t="n">
        <v>4.79074389493539</v>
      </c>
      <c r="I1171" s="18" t="n">
        <v>4.74903484600353</v>
      </c>
      <c r="J1171" s="18" t="n">
        <v>4.7303333456507</v>
      </c>
    </row>
    <row r="1172" customFormat="false" ht="15" hidden="false" customHeight="false" outlineLevel="0" collapsed="false">
      <c r="A1172" s="28" t="n">
        <v>116713.73102718</v>
      </c>
      <c r="B1172" s="29" t="n">
        <v>6</v>
      </c>
      <c r="C1172" s="18" t="n">
        <v>4.42016540365824</v>
      </c>
      <c r="D1172" s="18" t="n">
        <v>5.06291272712872</v>
      </c>
      <c r="E1172" s="18" t="n">
        <v>6.00000080327833</v>
      </c>
      <c r="F1172" s="18" t="n">
        <v>5.81162658288644</v>
      </c>
      <c r="G1172" s="18" t="n">
        <v>4.89574647475437</v>
      </c>
      <c r="H1172" s="18" t="n">
        <v>4.7952696959245</v>
      </c>
      <c r="I1172" s="18" t="n">
        <v>4.74903484597145</v>
      </c>
      <c r="J1172" s="18" t="n">
        <v>4.7480256320295</v>
      </c>
    </row>
    <row r="1173" customFormat="false" ht="15" hidden="false" customHeight="false" outlineLevel="0" collapsed="false">
      <c r="A1173" s="28" t="n">
        <v>116813.74279327</v>
      </c>
      <c r="B1173" s="29" t="n">
        <v>6</v>
      </c>
      <c r="C1173" s="18" t="n">
        <v>4.62157575610341</v>
      </c>
      <c r="D1173" s="18" t="n">
        <v>5.45483887515905</v>
      </c>
      <c r="E1173" s="18" t="n">
        <v>6.00000074642082</v>
      </c>
      <c r="F1173" s="18" t="n">
        <v>5.62137429054403</v>
      </c>
      <c r="G1173" s="18" t="n">
        <v>4.9250115244801</v>
      </c>
      <c r="H1173" s="18" t="n">
        <v>4.78413107724194</v>
      </c>
      <c r="I1173" s="18" t="n">
        <v>4.74903484594164</v>
      </c>
      <c r="J1173" s="18" t="n">
        <v>4.7589424138357</v>
      </c>
    </row>
    <row r="1174" customFormat="false" ht="15" hidden="false" customHeight="false" outlineLevel="0" collapsed="false">
      <c r="A1174" s="28" t="n">
        <v>116913.75455936</v>
      </c>
      <c r="B1174" s="29" t="n">
        <v>6</v>
      </c>
      <c r="C1174" s="18" t="n">
        <v>5.23299748354369</v>
      </c>
      <c r="D1174" s="18" t="n">
        <v>7.78946652139241</v>
      </c>
      <c r="E1174" s="18" t="n">
        <v>6.00000069358778</v>
      </c>
      <c r="F1174" s="18" t="n">
        <v>5.79477002140431</v>
      </c>
      <c r="G1174" s="18" t="n">
        <v>4.91036890121912</v>
      </c>
      <c r="H1174" s="18" t="n">
        <v>4.71163794933623</v>
      </c>
      <c r="I1174" s="18" t="n">
        <v>4.74903484591394</v>
      </c>
      <c r="J1174" s="18" t="n">
        <v>4.75802542398283</v>
      </c>
    </row>
    <row r="1175" customFormat="false" ht="15" hidden="false" customHeight="false" outlineLevel="0" collapsed="false">
      <c r="A1175" s="28" t="n">
        <v>117013.76632545</v>
      </c>
      <c r="B1175" s="29" t="n">
        <v>6</v>
      </c>
      <c r="C1175" s="18" t="n">
        <v>9.04429270683107</v>
      </c>
      <c r="D1175" s="18" t="n">
        <v>8.02368459489614</v>
      </c>
      <c r="E1175" s="18" t="n">
        <v>6.00000064449436</v>
      </c>
      <c r="F1175" s="18" t="n">
        <v>6.22033258228676</v>
      </c>
      <c r="G1175" s="18" t="n">
        <v>4.43008729342309</v>
      </c>
      <c r="H1175" s="18" t="n">
        <v>4.62801747956314</v>
      </c>
      <c r="I1175" s="18" t="n">
        <v>4.7490348458882</v>
      </c>
      <c r="J1175" s="18" t="n">
        <v>4.74811602709302</v>
      </c>
    </row>
    <row r="1176" customFormat="false" ht="15" hidden="false" customHeight="false" outlineLevel="0" collapsed="false">
      <c r="A1176" s="28" t="n">
        <v>117113.77809154</v>
      </c>
      <c r="B1176" s="29" t="n">
        <v>6</v>
      </c>
      <c r="C1176" s="18" t="n">
        <v>5.98593017960959</v>
      </c>
      <c r="D1176" s="18" t="n">
        <v>5.02239804396819</v>
      </c>
      <c r="E1176" s="18" t="n">
        <v>6.00000059887581</v>
      </c>
      <c r="F1176" s="18" t="n">
        <v>6.5292974325823</v>
      </c>
      <c r="G1176" s="18" t="n">
        <v>4.35567532446588</v>
      </c>
      <c r="H1176" s="18" t="n">
        <v>4.78086416481914</v>
      </c>
      <c r="I1176" s="18" t="n">
        <v>4.74903484586428</v>
      </c>
      <c r="J1176" s="18" t="n">
        <v>4.73200047342672</v>
      </c>
    </row>
    <row r="1177" customFormat="false" ht="15" hidden="false" customHeight="false" outlineLevel="0" collapsed="false">
      <c r="A1177" s="28" t="n">
        <v>117213.78985763</v>
      </c>
      <c r="B1177" s="29" t="n">
        <v>6</v>
      </c>
      <c r="C1177" s="18" t="n">
        <v>4.41678357002681</v>
      </c>
      <c r="D1177" s="18" t="n">
        <v>5.00548115367856</v>
      </c>
      <c r="E1177" s="18" t="n">
        <v>6.00000055648626</v>
      </c>
      <c r="F1177" s="18" t="n">
        <v>5.84629921787262</v>
      </c>
      <c r="G1177" s="18" t="n">
        <v>4.86459483887195</v>
      </c>
      <c r="H1177" s="18" t="n">
        <v>4.79582173676684</v>
      </c>
      <c r="I1177" s="18" t="n">
        <v>4.74903484584206</v>
      </c>
      <c r="J1177" s="18" t="n">
        <v>4.7472893518503</v>
      </c>
    </row>
    <row r="1178" customFormat="false" ht="15" hidden="false" customHeight="false" outlineLevel="0" collapsed="false">
      <c r="A1178" s="28" t="n">
        <v>117313.80162372</v>
      </c>
      <c r="B1178" s="29" t="n">
        <v>6</v>
      </c>
      <c r="C1178" s="18" t="n">
        <v>4.51441676177486</v>
      </c>
      <c r="D1178" s="18" t="n">
        <v>5.31954084633415</v>
      </c>
      <c r="E1178" s="18" t="n">
        <v>6.00000051709707</v>
      </c>
      <c r="F1178" s="18" t="n">
        <v>5.64154402834448</v>
      </c>
      <c r="G1178" s="18" t="n">
        <v>4.91692785552698</v>
      </c>
      <c r="H1178" s="18" t="n">
        <v>4.78849602694226</v>
      </c>
      <c r="I1178" s="18" t="n">
        <v>4.7490348458214</v>
      </c>
      <c r="J1178" s="18" t="n">
        <v>4.75826550254593</v>
      </c>
    </row>
    <row r="1179" customFormat="false" ht="15" hidden="false" customHeight="false" outlineLevel="0" collapsed="false">
      <c r="A1179" s="28" t="n">
        <v>117413.813389811</v>
      </c>
      <c r="B1179" s="29" t="n">
        <v>6</v>
      </c>
      <c r="C1179" s="18" t="n">
        <v>4.88081052155076</v>
      </c>
      <c r="D1179" s="18" t="n">
        <v>6.47819619149671</v>
      </c>
      <c r="E1179" s="18" t="n">
        <v>6.0000004804959</v>
      </c>
      <c r="F1179" s="18" t="n">
        <v>5.80156848308605</v>
      </c>
      <c r="G1179" s="18" t="n">
        <v>4.92535783113393</v>
      </c>
      <c r="H1179" s="18" t="n">
        <v>4.7555887897572</v>
      </c>
      <c r="I1179" s="18" t="n">
        <v>4.74903484580221</v>
      </c>
      <c r="J1179" s="18" t="n">
        <v>4.75762549173631</v>
      </c>
    </row>
    <row r="1180" customFormat="false" ht="15" hidden="false" customHeight="false" outlineLevel="0" collapsed="false">
      <c r="A1180" s="28" t="n">
        <v>117513.825155901</v>
      </c>
      <c r="B1180" s="29" t="n">
        <v>6</v>
      </c>
      <c r="C1180" s="18" t="n">
        <v>8.67921098508217</v>
      </c>
      <c r="D1180" s="18" t="n">
        <v>8.27817760841462</v>
      </c>
      <c r="E1180" s="18" t="n">
        <v>6.00000044648543</v>
      </c>
      <c r="F1180" s="18" t="n">
        <v>6.20268052498946</v>
      </c>
      <c r="G1180" s="18" t="n">
        <v>4.55299114528156</v>
      </c>
      <c r="H1180" s="18" t="n">
        <v>4.63206154429308</v>
      </c>
      <c r="I1180" s="18" t="n">
        <v>4.74903484578438</v>
      </c>
      <c r="J1180" s="18" t="n">
        <v>4.7482576166917</v>
      </c>
    </row>
    <row r="1181" customFormat="false" ht="15" hidden="false" customHeight="false" outlineLevel="0" collapsed="false">
      <c r="A1181" s="28" t="n">
        <v>117613.836921991</v>
      </c>
      <c r="B1181" s="29" t="n">
        <v>6</v>
      </c>
      <c r="C1181" s="18" t="n">
        <v>9.04529705986539</v>
      </c>
      <c r="D1181" s="18" t="n">
        <v>5.18522569786516</v>
      </c>
      <c r="E1181" s="18" t="n">
        <v>6.0000004148823</v>
      </c>
      <c r="F1181" s="18" t="n">
        <v>6.48469048750247</v>
      </c>
      <c r="G1181" s="18" t="n">
        <v>4.34053748710341</v>
      </c>
      <c r="H1181" s="18" t="n">
        <v>4.7683391867452</v>
      </c>
      <c r="I1181" s="18" t="n">
        <v>4.74903484576781</v>
      </c>
      <c r="J1181" s="18" t="n">
        <v>4.73363298433539</v>
      </c>
    </row>
    <row r="1182" customFormat="false" ht="15" hidden="false" customHeight="false" outlineLevel="0" collapsed="false">
      <c r="A1182" s="28" t="n">
        <v>117713.848688081</v>
      </c>
      <c r="B1182" s="29" t="n">
        <v>6</v>
      </c>
      <c r="C1182" s="18" t="n">
        <v>4.63229734062061</v>
      </c>
      <c r="D1182" s="18" t="n">
        <v>4.96263724939852</v>
      </c>
      <c r="E1182" s="18" t="n">
        <v>6.0000003855161</v>
      </c>
      <c r="F1182" s="18" t="n">
        <v>5.86816600472888</v>
      </c>
      <c r="G1182" s="18" t="n">
        <v>4.81267822701554</v>
      </c>
      <c r="H1182" s="18" t="n">
        <v>4.79563293986096</v>
      </c>
      <c r="I1182" s="18" t="n">
        <v>4.74903484575242</v>
      </c>
      <c r="J1182" s="18" t="n">
        <v>4.74708443327043</v>
      </c>
    </row>
    <row r="1183" customFormat="false" ht="15" hidden="false" customHeight="false" outlineLevel="0" collapsed="false">
      <c r="A1183" s="28" t="n">
        <v>117813.860454171</v>
      </c>
      <c r="B1183" s="29" t="n">
        <v>6</v>
      </c>
      <c r="C1183" s="18" t="n">
        <v>4.44340411444313</v>
      </c>
      <c r="D1183" s="18" t="n">
        <v>5.21347154764732</v>
      </c>
      <c r="E1183" s="18" t="n">
        <v>6.00000035822852</v>
      </c>
      <c r="F1183" s="18" t="n">
        <v>5.66452814621191</v>
      </c>
      <c r="G1183" s="18" t="n">
        <v>4.90399605226286</v>
      </c>
      <c r="H1183" s="18" t="n">
        <v>4.79165078386854</v>
      </c>
      <c r="I1183" s="18" t="n">
        <v>4.74903484573811</v>
      </c>
      <c r="J1183" s="18" t="n">
        <v>4.75763157606327</v>
      </c>
    </row>
    <row r="1184" customFormat="false" ht="15" hidden="false" customHeight="false" outlineLevel="0" collapsed="false">
      <c r="A1184" s="28" t="n">
        <v>117913.872220261</v>
      </c>
      <c r="B1184" s="29" t="n">
        <v>6</v>
      </c>
      <c r="C1184" s="18" t="n">
        <v>4.69073784511571</v>
      </c>
      <c r="D1184" s="18" t="n">
        <v>5.87298785460914</v>
      </c>
      <c r="E1184" s="18" t="n">
        <v>6.00000033287243</v>
      </c>
      <c r="F1184" s="18" t="n">
        <v>5.81632751107757</v>
      </c>
      <c r="G1184" s="18" t="n">
        <v>4.9269839846043</v>
      </c>
      <c r="H1184" s="18" t="n">
        <v>4.77033297506976</v>
      </c>
      <c r="I1184" s="18" t="n">
        <v>4.74903484572482</v>
      </c>
      <c r="J1184" s="18" t="n">
        <v>4.75706047422517</v>
      </c>
    </row>
    <row r="1185" customFormat="false" ht="15" hidden="false" customHeight="false" outlineLevel="0" collapsed="false">
      <c r="A1185" s="28" t="n">
        <v>118013.883986351</v>
      </c>
      <c r="B1185" s="29" t="n">
        <v>6</v>
      </c>
      <c r="C1185" s="18" t="n">
        <v>5.65158077384275</v>
      </c>
      <c r="D1185" s="18" t="n">
        <v>8.24212869252717</v>
      </c>
      <c r="E1185" s="18" t="n">
        <v>6.0000003093111</v>
      </c>
      <c r="F1185" s="18" t="n">
        <v>6.1965679715345</v>
      </c>
      <c r="G1185" s="18" t="n">
        <v>4.89128483211553</v>
      </c>
      <c r="H1185" s="18" t="n">
        <v>4.64173318356946</v>
      </c>
      <c r="I1185" s="18" t="n">
        <v>4.74903484571246</v>
      </c>
      <c r="J1185" s="18" t="n">
        <v>4.74805428348223</v>
      </c>
    </row>
    <row r="1186" customFormat="false" ht="15" hidden="false" customHeight="false" outlineLevel="0" collapsed="false">
      <c r="A1186" s="28" t="n">
        <v>118113.895752442</v>
      </c>
      <c r="B1186" s="29" t="n">
        <v>6</v>
      </c>
      <c r="C1186" s="18" t="n">
        <v>9.13528735241567</v>
      </c>
      <c r="D1186" s="18" t="n">
        <v>5.43408570024554</v>
      </c>
      <c r="E1186" s="18" t="n">
        <v>6.00000028741746</v>
      </c>
      <c r="F1186" s="18" t="n">
        <v>6.43138415323035</v>
      </c>
      <c r="G1186" s="18" t="n">
        <v>4.39557946086596</v>
      </c>
      <c r="H1186" s="18" t="n">
        <v>4.74569545288206</v>
      </c>
      <c r="I1186" s="18" t="n">
        <v>4.74903484570098</v>
      </c>
      <c r="J1186" s="18" t="n">
        <v>4.73517808358598</v>
      </c>
    </row>
    <row r="1187" customFormat="false" ht="15" hidden="false" customHeight="false" outlineLevel="0" collapsed="false">
      <c r="A1187" s="28" t="n">
        <v>118213.907518532</v>
      </c>
      <c r="B1187" s="29" t="n">
        <v>6</v>
      </c>
      <c r="C1187" s="18" t="n">
        <v>5.09536635141734</v>
      </c>
      <c r="D1187" s="18" t="n">
        <v>4.92494952088813</v>
      </c>
      <c r="E1187" s="18" t="n">
        <v>6.00000026707349</v>
      </c>
      <c r="F1187" s="18" t="n">
        <v>5.87843268674176</v>
      </c>
      <c r="G1187" s="18" t="n">
        <v>4.6666452019958</v>
      </c>
      <c r="H1187" s="18" t="n">
        <v>4.79455793396739</v>
      </c>
      <c r="I1187" s="18" t="n">
        <v>4.74903484569032</v>
      </c>
      <c r="J1187" s="18" t="n">
        <v>4.74731798937237</v>
      </c>
    </row>
    <row r="1188" customFormat="false" ht="15" hidden="false" customHeight="false" outlineLevel="0" collapsed="false">
      <c r="A1188" s="28" t="n">
        <v>118313.919284622</v>
      </c>
      <c r="B1188" s="29" t="n">
        <v>6</v>
      </c>
      <c r="C1188" s="18" t="n">
        <v>4.40649945243086</v>
      </c>
      <c r="D1188" s="18" t="n">
        <v>5.11186656249203</v>
      </c>
      <c r="E1188" s="18" t="n">
        <v>6.00000024816954</v>
      </c>
      <c r="F1188" s="18" t="n">
        <v>5.68930305608153</v>
      </c>
      <c r="G1188" s="18" t="n">
        <v>4.88470265679102</v>
      </c>
      <c r="H1188" s="18" t="n">
        <v>4.79432673144078</v>
      </c>
      <c r="I1188" s="18" t="n">
        <v>4.74903484568041</v>
      </c>
      <c r="J1188" s="18" t="n">
        <v>4.75705170999654</v>
      </c>
    </row>
    <row r="1189" customFormat="false" ht="15" hidden="false" customHeight="false" outlineLevel="0" collapsed="false">
      <c r="A1189" s="28" t="n">
        <v>118413.931050712</v>
      </c>
      <c r="B1189" s="29" t="n">
        <v>6</v>
      </c>
      <c r="C1189" s="18" t="n">
        <v>4.5634633642632</v>
      </c>
      <c r="D1189" s="18" t="n">
        <v>5.57201408868088</v>
      </c>
      <c r="E1189" s="18" t="n">
        <v>6.00000023060365</v>
      </c>
      <c r="F1189" s="18" t="n">
        <v>5.83771109263424</v>
      </c>
      <c r="G1189" s="18" t="n">
        <v>4.92165311769063</v>
      </c>
      <c r="H1189" s="18" t="n">
        <v>4.78019726520989</v>
      </c>
      <c r="I1189" s="18" t="n">
        <v>4.7490348456712</v>
      </c>
      <c r="J1189" s="18" t="n">
        <v>4.75635588613489</v>
      </c>
    </row>
    <row r="1190" customFormat="false" ht="15" hidden="false" customHeight="false" outlineLevel="0" collapsed="false">
      <c r="A1190" s="28" t="n">
        <v>118513.942816802</v>
      </c>
      <c r="B1190" s="29" t="n">
        <v>6</v>
      </c>
      <c r="C1190" s="18" t="n">
        <v>5.02227091720675</v>
      </c>
      <c r="D1190" s="18" t="n">
        <v>8.04919438675484</v>
      </c>
      <c r="E1190" s="18" t="n">
        <v>6.00000021428113</v>
      </c>
      <c r="F1190" s="18" t="n">
        <v>6.1983393909819</v>
      </c>
      <c r="G1190" s="18" t="n">
        <v>4.92031019661555</v>
      </c>
      <c r="H1190" s="18" t="n">
        <v>4.66565621574684</v>
      </c>
      <c r="I1190" s="18" t="n">
        <v>4.74903484566264</v>
      </c>
      <c r="J1190" s="18" t="n">
        <v>4.74759389359287</v>
      </c>
    </row>
    <row r="1191" customFormat="false" ht="15" hidden="false" customHeight="false" outlineLevel="0" collapsed="false">
      <c r="A1191" s="28" t="n">
        <v>118613.954582892</v>
      </c>
      <c r="B1191" s="29" t="n">
        <v>6</v>
      </c>
      <c r="C1191" s="18" t="n">
        <v>8.9061174933426</v>
      </c>
      <c r="D1191" s="18" t="n">
        <v>6.31973410215173</v>
      </c>
      <c r="E1191" s="18" t="n">
        <v>6.00000019911394</v>
      </c>
      <c r="F1191" s="18" t="n">
        <v>6.37333470377889</v>
      </c>
      <c r="G1191" s="18" t="n">
        <v>4.47377668233238</v>
      </c>
      <c r="H1191" s="18" t="n">
        <v>4.63412050316651</v>
      </c>
      <c r="I1191" s="18" t="n">
        <v>4.74903484565469</v>
      </c>
      <c r="J1191" s="18" t="n">
        <v>4.73666785747461</v>
      </c>
    </row>
    <row r="1192" customFormat="false" ht="15" hidden="false" customHeight="false" outlineLevel="0" collapsed="false">
      <c r="A1192" s="28" t="n">
        <v>118713.966348982</v>
      </c>
      <c r="B1192" s="29" t="n">
        <v>6</v>
      </c>
      <c r="C1192" s="18" t="n">
        <v>8.73390741956081</v>
      </c>
      <c r="D1192" s="18" t="n">
        <v>4.94576882631737</v>
      </c>
      <c r="E1192" s="18" t="n">
        <v>6.00000018502028</v>
      </c>
      <c r="F1192" s="18" t="n">
        <v>5.88005372567782</v>
      </c>
      <c r="G1192" s="18" t="n">
        <v>4.3373987181799</v>
      </c>
      <c r="H1192" s="18" t="n">
        <v>4.78720761257296</v>
      </c>
      <c r="I1192" s="18" t="n">
        <v>4.7490348456473</v>
      </c>
      <c r="J1192" s="18" t="n">
        <v>4.74785580259129</v>
      </c>
    </row>
    <row r="1193" customFormat="false" ht="15" hidden="false" customHeight="false" outlineLevel="0" collapsed="false">
      <c r="A1193" s="28" t="n">
        <v>118813.978115072</v>
      </c>
      <c r="B1193" s="29" t="n">
        <v>6</v>
      </c>
      <c r="C1193" s="18" t="n">
        <v>4.5077505220387</v>
      </c>
      <c r="D1193" s="18" t="n">
        <v>5.04618763699104</v>
      </c>
      <c r="E1193" s="18" t="n">
        <v>6.00000017192423</v>
      </c>
      <c r="F1193" s="18" t="n">
        <v>5.71525675737779</v>
      </c>
      <c r="G1193" s="18" t="n">
        <v>4.84125211472519</v>
      </c>
      <c r="H1193" s="18" t="n">
        <v>4.79539965386853</v>
      </c>
      <c r="I1193" s="18" t="n">
        <v>4.74903484564043</v>
      </c>
      <c r="J1193" s="18" t="n">
        <v>4.75651725924235</v>
      </c>
    </row>
    <row r="1194" customFormat="false" ht="15" hidden="false" customHeight="false" outlineLevel="0" collapsed="false">
      <c r="A1194" s="28" t="n">
        <v>118913.989881163</v>
      </c>
      <c r="B1194" s="29" t="n">
        <v>6</v>
      </c>
      <c r="C1194" s="18" t="n">
        <v>4.47476406557413</v>
      </c>
      <c r="D1194" s="18" t="n">
        <v>5.41247664594125</v>
      </c>
      <c r="E1194" s="18" t="n">
        <v>6.00000015975514</v>
      </c>
      <c r="F1194" s="18" t="n">
        <v>5.86425401412489</v>
      </c>
      <c r="G1194" s="18" t="n">
        <v>4.91101856004493</v>
      </c>
      <c r="H1194" s="18" t="n">
        <v>4.78550208773936</v>
      </c>
      <c r="I1194" s="18" t="n">
        <v>4.74903484563405</v>
      </c>
      <c r="J1194" s="18" t="n">
        <v>4.75553591504549</v>
      </c>
    </row>
    <row r="1195" customFormat="false" ht="15" hidden="false" customHeight="false" outlineLevel="0" collapsed="false">
      <c r="A1195" s="28" t="n">
        <v>119014.001647253</v>
      </c>
      <c r="B1195" s="29" t="n">
        <v>6</v>
      </c>
      <c r="C1195" s="18" t="n">
        <v>4.77485350006229</v>
      </c>
      <c r="D1195" s="18" t="n">
        <v>7.57984231678322</v>
      </c>
      <c r="E1195" s="18" t="n">
        <v>6.0000001484474</v>
      </c>
      <c r="F1195" s="18" t="n">
        <v>6.20410133726313</v>
      </c>
      <c r="G1195" s="18" t="n">
        <v>4.92727754302117</v>
      </c>
      <c r="H1195" s="18" t="n">
        <v>4.73269055563684</v>
      </c>
      <c r="I1195" s="18" t="n">
        <v>4.74903484562812</v>
      </c>
      <c r="J1195" s="18" t="n">
        <v>4.74697085408547</v>
      </c>
    </row>
    <row r="1196" customFormat="false" ht="15" hidden="false" customHeight="false" outlineLevel="0" collapsed="false">
      <c r="A1196" s="28" t="n">
        <v>119114.013413343</v>
      </c>
      <c r="B1196" s="29" t="n">
        <v>6</v>
      </c>
      <c r="C1196" s="18" t="n">
        <v>8.12585246630583</v>
      </c>
      <c r="D1196" s="18" t="n">
        <v>8.1830685872348</v>
      </c>
      <c r="E1196" s="18" t="n">
        <v>6.00000013794006</v>
      </c>
      <c r="F1196" s="18" t="n">
        <v>6.31312969964074</v>
      </c>
      <c r="G1196" s="18" t="n">
        <v>4.84609024215508</v>
      </c>
      <c r="H1196" s="18" t="n">
        <v>4.62843264871421</v>
      </c>
      <c r="I1196" s="18" t="n">
        <v>4.74903484562262</v>
      </c>
      <c r="J1196" s="18" t="n">
        <v>4.73815120503134</v>
      </c>
    </row>
    <row r="1197" customFormat="false" ht="15" hidden="false" customHeight="false" outlineLevel="0" collapsed="false">
      <c r="A1197" s="28" t="n">
        <v>119214.025179433</v>
      </c>
      <c r="B1197" s="29" t="n">
        <v>6</v>
      </c>
      <c r="C1197" s="18" t="n">
        <v>9.18445668240443</v>
      </c>
      <c r="D1197" s="18" t="n">
        <v>5.06214382948978</v>
      </c>
      <c r="E1197" s="18" t="n">
        <v>6.00000012817647</v>
      </c>
      <c r="F1197" s="18" t="n">
        <v>5.87662916228172</v>
      </c>
      <c r="G1197" s="18" t="n">
        <v>4.36584502983401</v>
      </c>
      <c r="H1197" s="18" t="n">
        <v>4.77770041071151</v>
      </c>
      <c r="I1197" s="18" t="n">
        <v>4.7490348456175</v>
      </c>
      <c r="J1197" s="18" t="n">
        <v>4.74855779479541</v>
      </c>
    </row>
    <row r="1198" customFormat="false" ht="15" hidden="false" customHeight="false" outlineLevel="0" collapsed="false">
      <c r="A1198" s="28" t="n">
        <v>119314.036945523</v>
      </c>
      <c r="B1198" s="29" t="n">
        <v>6</v>
      </c>
      <c r="C1198" s="18" t="n">
        <v>4.80990991090914</v>
      </c>
      <c r="D1198" s="18" t="n">
        <v>4.9880389605254</v>
      </c>
      <c r="E1198" s="18" t="n">
        <v>6.00000011910396</v>
      </c>
      <c r="F1198" s="18" t="n">
        <v>5.74210184781838</v>
      </c>
      <c r="G1198" s="18" t="n">
        <v>4.77300507753969</v>
      </c>
      <c r="H1198" s="18" t="n">
        <v>4.79591912129121</v>
      </c>
      <c r="I1198" s="18" t="n">
        <v>4.74903484561274</v>
      </c>
      <c r="J1198" s="18" t="n">
        <v>4.75600698143536</v>
      </c>
    </row>
    <row r="1199" customFormat="false" ht="15" hidden="false" customHeight="false" outlineLevel="0" collapsed="false">
      <c r="A1199" s="28" t="n">
        <v>119414.048711613</v>
      </c>
      <c r="B1199" s="29" t="n">
        <v>6</v>
      </c>
      <c r="C1199" s="18" t="n">
        <v>4.42016540365824</v>
      </c>
      <c r="D1199" s="18" t="n">
        <v>5.28002662074476</v>
      </c>
      <c r="E1199" s="18" t="n">
        <v>6.00000011067361</v>
      </c>
      <c r="F1199" s="18" t="n">
        <v>5.89437327067352</v>
      </c>
      <c r="G1199" s="18" t="n">
        <v>4.89574647475437</v>
      </c>
      <c r="H1199" s="18" t="n">
        <v>4.78971764522472</v>
      </c>
      <c r="I1199" s="18" t="n">
        <v>4.74903484560832</v>
      </c>
      <c r="J1199" s="18" t="n">
        <v>4.75462543046893</v>
      </c>
    </row>
    <row r="1200" customFormat="false" ht="15" hidden="false" customHeight="false" outlineLevel="0" collapsed="false">
      <c r="A1200" s="28" t="n">
        <v>119514.060477703</v>
      </c>
      <c r="B1200" s="29" t="n">
        <v>6</v>
      </c>
      <c r="C1200" s="18" t="n">
        <v>4.62157575610341</v>
      </c>
      <c r="D1200" s="18" t="n">
        <v>6.18052877811333</v>
      </c>
      <c r="E1200" s="18" t="n">
        <v>6.00000010283996</v>
      </c>
      <c r="F1200" s="18" t="n">
        <v>6.20994601920823</v>
      </c>
      <c r="G1200" s="18" t="n">
        <v>4.9250115244801</v>
      </c>
      <c r="H1200" s="18" t="n">
        <v>4.7618290186358</v>
      </c>
      <c r="I1200" s="18" t="n">
        <v>4.74903484560421</v>
      </c>
      <c r="J1200" s="18" t="n">
        <v>4.74628602820912</v>
      </c>
    </row>
    <row r="1201" customFormat="false" ht="15" hidden="false" customHeight="false" outlineLevel="0" collapsed="false">
      <c r="A1201" s="28" t="n">
        <v>119614.072243793</v>
      </c>
      <c r="B1201" s="29" t="n">
        <v>6</v>
      </c>
      <c r="C1201" s="18" t="n">
        <v>5.23299748354369</v>
      </c>
      <c r="D1201" s="18" t="n">
        <v>8.27953977184492</v>
      </c>
      <c r="E1201" s="18" t="n">
        <v>6.00000009556079</v>
      </c>
      <c r="F1201" s="18" t="n">
        <v>6.25305982156267</v>
      </c>
      <c r="G1201" s="18" t="n">
        <v>4.91036890121912</v>
      </c>
      <c r="H1201" s="18" t="n">
        <v>4.6347268204366</v>
      </c>
      <c r="I1201" s="18" t="n">
        <v>4.74903484560039</v>
      </c>
      <c r="J1201" s="18" t="n">
        <v>4.73965324758102</v>
      </c>
    </row>
    <row r="1202" customFormat="false" ht="15" hidden="false" customHeight="false" outlineLevel="0" collapsed="false">
      <c r="A1202" s="28" t="n">
        <v>119714.084009884</v>
      </c>
      <c r="B1202" s="29" t="n">
        <v>6</v>
      </c>
      <c r="C1202" s="18" t="n">
        <v>9.04429270683107</v>
      </c>
      <c r="D1202" s="18" t="n">
        <v>5.25430366932938</v>
      </c>
      <c r="E1202" s="18" t="n">
        <v>6.00000008879685</v>
      </c>
      <c r="F1202" s="18" t="n">
        <v>5.87148375627634</v>
      </c>
      <c r="G1202" s="18" t="n">
        <v>4.43008729342309</v>
      </c>
      <c r="H1202" s="18" t="n">
        <v>4.76250243224693</v>
      </c>
      <c r="I1202" s="18" t="n">
        <v>4.74903484559685</v>
      </c>
      <c r="J1202" s="18" t="n">
        <v>4.74930279857871</v>
      </c>
    </row>
    <row r="1203" customFormat="false" ht="15" hidden="false" customHeight="false" outlineLevel="0" collapsed="false">
      <c r="A1203" s="28" t="n">
        <v>119814.095775974</v>
      </c>
      <c r="B1203" s="29" t="n">
        <v>6</v>
      </c>
      <c r="C1203" s="18" t="n">
        <v>5.98593017960959</v>
      </c>
      <c r="D1203" s="18" t="n">
        <v>4.94327602782613</v>
      </c>
      <c r="E1203" s="18" t="n">
        <v>6.0000000825117</v>
      </c>
      <c r="F1203" s="18" t="n">
        <v>5.76970497467503</v>
      </c>
      <c r="G1203" s="18" t="n">
        <v>4.35567532446588</v>
      </c>
      <c r="H1203" s="18" t="n">
        <v>4.79551649025956</v>
      </c>
      <c r="I1203" s="18" t="n">
        <v>4.74903484559355</v>
      </c>
      <c r="J1203" s="18" t="n">
        <v>4.75549628047954</v>
      </c>
    </row>
    <row r="1204" customFormat="false" ht="15" hidden="false" customHeight="false" outlineLevel="0" collapsed="false">
      <c r="A1204" s="28" t="n">
        <v>119914.107542064</v>
      </c>
      <c r="B1204" s="29" t="n">
        <v>6</v>
      </c>
      <c r="C1204" s="18" t="n">
        <v>4.41678357002681</v>
      </c>
      <c r="D1204" s="18" t="n">
        <v>5.16958048604372</v>
      </c>
      <c r="E1204" s="18" t="n">
        <v>6.00000007667143</v>
      </c>
      <c r="F1204" s="18" t="n">
        <v>5.92638589281728</v>
      </c>
      <c r="G1204" s="18" t="n">
        <v>4.86459483887195</v>
      </c>
      <c r="H1204" s="18" t="n">
        <v>4.79288756892137</v>
      </c>
      <c r="I1204" s="18" t="n">
        <v>4.74903484559049</v>
      </c>
      <c r="J1204" s="18" t="n">
        <v>4.7536521377306</v>
      </c>
    </row>
    <row r="1205" customFormat="false" ht="15" hidden="false" customHeight="false" outlineLevel="0" collapsed="false">
      <c r="A1205" s="28" t="n">
        <v>120014.119308154</v>
      </c>
      <c r="B1205" s="29" t="n">
        <v>6</v>
      </c>
      <c r="C1205" s="18" t="n">
        <v>4.39261641925734</v>
      </c>
      <c r="D1205" s="18" t="n">
        <v>4.92955166223757</v>
      </c>
      <c r="E1205" s="18" t="n">
        <v>4.96276432450262</v>
      </c>
      <c r="F1205" s="18" t="n">
        <v>4.97872436805541</v>
      </c>
      <c r="G1205" s="18" t="n">
        <v>4.91692785552698</v>
      </c>
      <c r="H1205" s="18" t="n">
        <v>4.7749133563465</v>
      </c>
      <c r="I1205" s="18" t="n">
        <v>4.74903484558765</v>
      </c>
      <c r="J1205" s="18" t="n">
        <v>4.74564070854667</v>
      </c>
    </row>
    <row r="1206" customFormat="false" ht="15" hidden="false" customHeight="false" outlineLevel="0" collapsed="false">
      <c r="A1206" s="28" t="n">
        <v>120114.131074244</v>
      </c>
      <c r="B1206" s="29" t="n">
        <v>6</v>
      </c>
      <c r="C1206" s="18" t="n">
        <v>4.15655119782391</v>
      </c>
      <c r="D1206" s="18" t="n">
        <v>4.25897245700463</v>
      </c>
      <c r="E1206" s="18" t="n">
        <v>4.23942860802425</v>
      </c>
      <c r="F1206" s="18" t="n">
        <v>4.24220976452681</v>
      </c>
      <c r="G1206" s="18" t="n">
        <v>5.00223204845941</v>
      </c>
      <c r="H1206" s="18" t="n">
        <v>4.84402587261402</v>
      </c>
      <c r="I1206" s="18" t="n">
        <v>4.75424833992051</v>
      </c>
      <c r="J1206" s="18" t="n">
        <v>4.8357903417886</v>
      </c>
    </row>
    <row r="1207" customFormat="false" ht="15" hidden="false" customHeight="false" outlineLevel="0" collapsed="false">
      <c r="A1207" s="28" t="n">
        <v>120214.142840334</v>
      </c>
      <c r="B1207" s="29" t="n">
        <v>6</v>
      </c>
      <c r="C1207" s="18" t="n">
        <v>4.04711957755236</v>
      </c>
      <c r="D1207" s="18" t="n">
        <v>4.04528078646935</v>
      </c>
      <c r="E1207" s="18" t="n">
        <v>4.01953371212479</v>
      </c>
      <c r="F1207" s="18" t="n">
        <v>4.02634680753879</v>
      </c>
      <c r="G1207" s="18" t="n">
        <v>5.07545446655365</v>
      </c>
      <c r="H1207" s="18" t="n">
        <v>4.86817500792063</v>
      </c>
      <c r="I1207" s="18" t="n">
        <v>4.76381764469194</v>
      </c>
      <c r="J1207" s="18" t="n">
        <v>4.90026934920332</v>
      </c>
    </row>
    <row r="1208" customFormat="false" ht="15" hidden="false" customHeight="false" outlineLevel="0" collapsed="false">
      <c r="A1208" s="28" t="n">
        <v>120314.154606424</v>
      </c>
      <c r="B1208" s="29" t="n">
        <v>6</v>
      </c>
      <c r="C1208" s="18" t="n">
        <v>3.99817527849097</v>
      </c>
      <c r="D1208" s="18" t="n">
        <v>3.92506306696518</v>
      </c>
      <c r="E1208" s="18" t="n">
        <v>3.87385553509378</v>
      </c>
      <c r="F1208" s="18" t="n">
        <v>3.91770968483305</v>
      </c>
      <c r="G1208" s="18" t="n">
        <v>5.14329974839021</v>
      </c>
      <c r="H1208" s="18" t="n">
        <v>4.88740716103457</v>
      </c>
      <c r="I1208" s="18" t="n">
        <v>4.77990884841569</v>
      </c>
      <c r="J1208" s="18" t="n">
        <v>4.95682004844636</v>
      </c>
    </row>
    <row r="1209" customFormat="false" ht="15" hidden="false" customHeight="false" outlineLevel="0" collapsed="false">
      <c r="A1209" s="28" t="n">
        <v>120414.166372514</v>
      </c>
      <c r="B1209" s="29" t="n">
        <v>6</v>
      </c>
      <c r="C1209" s="18" t="n">
        <v>3.98545148218484</v>
      </c>
      <c r="D1209" s="18" t="n">
        <v>3.84502292834548</v>
      </c>
      <c r="E1209" s="18" t="n">
        <v>3.7781964927503</v>
      </c>
      <c r="F1209" s="18" t="n">
        <v>3.85566299309107</v>
      </c>
      <c r="G1209" s="18" t="n">
        <v>5.2077468304568</v>
      </c>
      <c r="H1209" s="18" t="n">
        <v>4.90503174978362</v>
      </c>
      <c r="I1209" s="18" t="n">
        <v>4.79691920773867</v>
      </c>
      <c r="J1209" s="18" t="n">
        <v>5.01081235698567</v>
      </c>
    </row>
    <row r="1210" customFormat="false" ht="15" hidden="false" customHeight="false" outlineLevel="0" collapsed="false">
      <c r="A1210" s="28" t="n">
        <v>120514.178138605</v>
      </c>
      <c r="B1210" s="29" t="n">
        <v>6</v>
      </c>
      <c r="C1210" s="18" t="n">
        <v>4.00091397824047</v>
      </c>
      <c r="D1210" s="18" t="n">
        <v>3.78804442348168</v>
      </c>
      <c r="E1210" s="18" t="n">
        <v>3.71016475975206</v>
      </c>
      <c r="F1210" s="18" t="n">
        <v>3.8212136935539</v>
      </c>
      <c r="G1210" s="18" t="n">
        <v>5.26893381606354</v>
      </c>
      <c r="H1210" s="18" t="n">
        <v>4.92185492479794</v>
      </c>
      <c r="I1210" s="18" t="n">
        <v>4.81423340532248</v>
      </c>
      <c r="J1210" s="18" t="n">
        <v>5.0633764295505</v>
      </c>
    </row>
    <row r="1211" customFormat="false" ht="15" hidden="false" customHeight="false" outlineLevel="0" collapsed="false">
      <c r="A1211" s="28" t="n">
        <v>120614.189904695</v>
      </c>
      <c r="B1211" s="29" t="n">
        <v>6</v>
      </c>
      <c r="C1211" s="18" t="n">
        <v>4.04323218447712</v>
      </c>
      <c r="D1211" s="18" t="n">
        <v>3.74617791351417</v>
      </c>
      <c r="E1211" s="18" t="n">
        <v>3.65983297770489</v>
      </c>
      <c r="F1211" s="18" t="n">
        <v>3.80626550159893</v>
      </c>
      <c r="G1211" s="18" t="n">
        <v>5.32628884390225</v>
      </c>
      <c r="H1211" s="18" t="n">
        <v>4.93819943255395</v>
      </c>
      <c r="I1211" s="18" t="n">
        <v>4.83160970763005</v>
      </c>
      <c r="J1211" s="18" t="n">
        <v>5.11477445177865</v>
      </c>
    </row>
    <row r="1212" customFormat="false" ht="15" hidden="false" customHeight="false" outlineLevel="0" collapsed="false">
      <c r="A1212" s="28" t="n">
        <v>120714.201670785</v>
      </c>
      <c r="B1212" s="29" t="n">
        <v>6</v>
      </c>
      <c r="C1212" s="18" t="n">
        <v>4.11625733524101</v>
      </c>
      <c r="D1212" s="18" t="n">
        <v>3.71505393640963</v>
      </c>
      <c r="E1212" s="18" t="n">
        <v>3.62181887407743</v>
      </c>
      <c r="F1212" s="18" t="n">
        <v>3.80690587044434</v>
      </c>
      <c r="G1212" s="18" t="n">
        <v>5.37863438646528</v>
      </c>
      <c r="H1212" s="18" t="n">
        <v>4.95422048216655</v>
      </c>
      <c r="I1212" s="18" t="n">
        <v>4.84896634624113</v>
      </c>
      <c r="J1212" s="18" t="n">
        <v>5.1649877843199</v>
      </c>
    </row>
    <row r="1213" customFormat="false" ht="15" hidden="false" customHeight="false" outlineLevel="0" collapsed="false">
      <c r="A1213" s="28" t="n">
        <v>120814.213436875</v>
      </c>
      <c r="B1213" s="29" t="n">
        <v>6</v>
      </c>
      <c r="C1213" s="18" t="n">
        <v>4.23159724350476</v>
      </c>
      <c r="D1213" s="18" t="n">
        <v>3.69201223178746</v>
      </c>
      <c r="E1213" s="18" t="n">
        <v>3.59289448673475</v>
      </c>
      <c r="F1213" s="18" t="n">
        <v>3.82135284707575</v>
      </c>
      <c r="G1213" s="18" t="n">
        <v>5.42381720480479</v>
      </c>
      <c r="H1213" s="18" t="n">
        <v>4.97000018210059</v>
      </c>
      <c r="I1213" s="18" t="n">
        <v>4.86626206773352</v>
      </c>
      <c r="J1213" s="18" t="n">
        <v>5.21386155555873</v>
      </c>
    </row>
    <row r="1214" customFormat="false" ht="15" hidden="false" customHeight="false" outlineLevel="0" collapsed="false">
      <c r="A1214" s="28" t="n">
        <v>120914.225202965</v>
      </c>
      <c r="B1214" s="29" t="n">
        <v>6</v>
      </c>
      <c r="C1214" s="18" t="n">
        <v>4.42049941351222</v>
      </c>
      <c r="D1214" s="18" t="n">
        <v>3.67531670989857</v>
      </c>
      <c r="E1214" s="18" t="n">
        <v>3.57097767948258</v>
      </c>
      <c r="F1214" s="18" t="n">
        <v>3.8492256113197</v>
      </c>
      <c r="G1214" s="18" t="n">
        <v>5.45736067933873</v>
      </c>
      <c r="H1214" s="18" t="n">
        <v>4.98558414272479</v>
      </c>
      <c r="I1214" s="18" t="n">
        <v>4.88346970668859</v>
      </c>
      <c r="J1214" s="18" t="n">
        <v>5.26114090706152</v>
      </c>
    </row>
    <row r="1215" customFormat="false" ht="15" hidden="false" customHeight="false" outlineLevel="0" collapsed="false">
      <c r="A1215" s="28" t="n">
        <v>121014.236969055</v>
      </c>
      <c r="B1215" s="29" t="n">
        <v>6</v>
      </c>
      <c r="C1215" s="18" t="n">
        <v>4.80550623143493</v>
      </c>
      <c r="D1215" s="18" t="n">
        <v>3.6637767735675</v>
      </c>
      <c r="E1215" s="18" t="n">
        <v>3.55465105061911</v>
      </c>
      <c r="F1215" s="18" t="n">
        <v>3.89137764300181</v>
      </c>
      <c r="G1215" s="18" t="n">
        <v>5.46605230717376</v>
      </c>
      <c r="H1215" s="18" t="n">
        <v>5.00099796601946</v>
      </c>
      <c r="I1215" s="18" t="n">
        <v>4.90056722414035</v>
      </c>
      <c r="J1215" s="18" t="n">
        <v>5.30646316791314</v>
      </c>
    </row>
    <row r="1216" customFormat="false" ht="15" hidden="false" customHeight="false" outlineLevel="0" collapsed="false">
      <c r="A1216" s="28" t="n">
        <v>121114.248735145</v>
      </c>
      <c r="B1216" s="29" t="n">
        <v>6</v>
      </c>
      <c r="C1216" s="18" t="n">
        <v>8.80583650220545</v>
      </c>
      <c r="D1216" s="18" t="n">
        <v>3.65654586605496</v>
      </c>
      <c r="E1216" s="18" t="n">
        <v>3.54290930675801</v>
      </c>
      <c r="F1216" s="18" t="n">
        <v>3.95014118061956</v>
      </c>
      <c r="G1216" s="18" t="n">
        <v>5.06084188503299</v>
      </c>
      <c r="H1216" s="18" t="n">
        <v>5.01625547433722</v>
      </c>
      <c r="I1216" s="18" t="n">
        <v>4.91753471460236</v>
      </c>
      <c r="J1216" s="18" t="n">
        <v>5.34931473614452</v>
      </c>
    </row>
    <row r="1217" customFormat="false" ht="15" hidden="false" customHeight="false" outlineLevel="0" collapsed="false">
      <c r="A1217" s="28" t="n">
        <v>121214.260501235</v>
      </c>
      <c r="B1217" s="29" t="n">
        <v>6</v>
      </c>
      <c r="C1217" s="18" t="n">
        <v>9.19085501687914</v>
      </c>
      <c r="D1217" s="18" t="n">
        <v>3.65300619531363</v>
      </c>
      <c r="E1217" s="18" t="n">
        <v>3.53501640441943</v>
      </c>
      <c r="F1217" s="18" t="n">
        <v>4.03016013284204</v>
      </c>
      <c r="G1217" s="18" t="n">
        <v>4.85629969406585</v>
      </c>
      <c r="H1217" s="18" t="n">
        <v>5.03136313034267</v>
      </c>
      <c r="I1217" s="18" t="n">
        <v>4.93435333415997</v>
      </c>
      <c r="J1217" s="18" t="n">
        <v>5.38893312947749</v>
      </c>
    </row>
    <row r="1218" customFormat="false" ht="15" hidden="false" customHeight="false" outlineLevel="0" collapsed="false">
      <c r="A1218" s="28" t="n">
        <v>121314.272267326</v>
      </c>
      <c r="B1218" s="29" t="n">
        <v>6</v>
      </c>
      <c r="C1218" s="18" t="n">
        <v>4.75201152661744</v>
      </c>
      <c r="D1218" s="18" t="n">
        <v>3.65269896747251</v>
      </c>
      <c r="E1218" s="18" t="n">
        <v>3.53041989581983</v>
      </c>
      <c r="F1218" s="18" t="n">
        <v>4.14058725485299</v>
      </c>
      <c r="G1218" s="18" t="n">
        <v>5.29714006027944</v>
      </c>
      <c r="H1218" s="18" t="n">
        <v>5.04632254153393</v>
      </c>
      <c r="I1218" s="18" t="n">
        <v>4.9510048960393</v>
      </c>
      <c r="J1218" s="18" t="n">
        <v>5.42408441980756</v>
      </c>
    </row>
    <row r="1219" customFormat="false" ht="15" hidden="false" customHeight="false" outlineLevel="0" collapsed="false">
      <c r="A1219" s="28" t="n">
        <v>121414.284033416</v>
      </c>
      <c r="B1219" s="29" t="n">
        <v>6</v>
      </c>
      <c r="C1219" s="18" t="n">
        <v>4.42864627746065</v>
      </c>
      <c r="D1219" s="18" t="n">
        <v>3.65528028428255</v>
      </c>
      <c r="E1219" s="18" t="n">
        <v>3.52869708689637</v>
      </c>
      <c r="F1219" s="18" t="n">
        <v>4.30167763515168</v>
      </c>
      <c r="G1219" s="18" t="n">
        <v>5.4091040018766</v>
      </c>
      <c r="H1219" s="18" t="n">
        <v>5.06113193265559</v>
      </c>
      <c r="I1219" s="18" t="n">
        <v>4.96747170225433</v>
      </c>
      <c r="J1219" s="18" t="n">
        <v>5.45247187102925</v>
      </c>
    </row>
    <row r="1220" customFormat="false" ht="15" hidden="false" customHeight="false" outlineLevel="0" collapsed="false">
      <c r="A1220" s="28" t="n">
        <v>121514.295799506</v>
      </c>
      <c r="B1220" s="29" t="n">
        <v>6</v>
      </c>
      <c r="C1220" s="18" t="n">
        <v>4.66681543748419</v>
      </c>
      <c r="D1220" s="18" t="n">
        <v>3.66049232340937</v>
      </c>
      <c r="E1220" s="18" t="n">
        <v>3.52951985512352</v>
      </c>
      <c r="F1220" s="18" t="n">
        <v>4.57285704395995</v>
      </c>
      <c r="G1220" s="18" t="n">
        <v>5.43403678605952</v>
      </c>
      <c r="H1220" s="18" t="n">
        <v>5.07578702860747</v>
      </c>
      <c r="I1220" s="18" t="n">
        <v>4.98373645592235</v>
      </c>
      <c r="J1220" s="18" t="n">
        <v>5.46859495587972</v>
      </c>
    </row>
    <row r="1221" customFormat="false" ht="15" hidden="false" customHeight="false" outlineLevel="0" collapsed="false">
      <c r="A1221" s="28" t="n">
        <v>121614.307565596</v>
      </c>
      <c r="B1221" s="29" t="n">
        <v>6</v>
      </c>
      <c r="C1221" s="18" t="n">
        <v>5.58339856363955</v>
      </c>
      <c r="D1221" s="18" t="n">
        <v>3.66814406155105</v>
      </c>
      <c r="E1221" s="18" t="n">
        <v>3.53263091202094</v>
      </c>
      <c r="F1221" s="18" t="n">
        <v>5.42062145316611</v>
      </c>
      <c r="G1221" s="18" t="n">
        <v>5.40091994807736</v>
      </c>
      <c r="H1221" s="18" t="n">
        <v>5.09028158229025</v>
      </c>
      <c r="I1221" s="18" t="n">
        <v>4.99978219749036</v>
      </c>
      <c r="J1221" s="18" t="n">
        <v>5.44682486372105</v>
      </c>
    </row>
    <row r="1222" customFormat="false" ht="15" hidden="false" customHeight="false" outlineLevel="0" collapsed="false">
      <c r="A1222" s="28" t="n">
        <v>121714.319331686</v>
      </c>
      <c r="B1222" s="29" t="n">
        <v>6</v>
      </c>
      <c r="C1222" s="18" t="n">
        <v>9.14811304185319</v>
      </c>
      <c r="D1222" s="18" t="n">
        <v>3.67809822415609</v>
      </c>
      <c r="E1222" s="18" t="n">
        <v>3.53782735801442</v>
      </c>
      <c r="F1222" s="18" t="n">
        <v>9.22165254181988</v>
      </c>
      <c r="G1222" s="18" t="n">
        <v>4.90076360446352</v>
      </c>
      <c r="H1222" s="18" t="n">
        <v>5.1046076768047</v>
      </c>
      <c r="I1222" s="18" t="n">
        <v>5.01559224467001</v>
      </c>
      <c r="J1222" s="18" t="n">
        <v>5.30135749905171</v>
      </c>
    </row>
    <row r="1223" customFormat="false" ht="15" hidden="false" customHeight="false" outlineLevel="0" collapsed="false">
      <c r="A1223" s="28" t="n">
        <v>121814.331097776</v>
      </c>
      <c r="B1223" s="29" t="n">
        <v>6</v>
      </c>
      <c r="C1223" s="18" t="n">
        <v>5.16700622769942</v>
      </c>
      <c r="D1223" s="18" t="n">
        <v>3.69026248241661</v>
      </c>
      <c r="E1223" s="18" t="n">
        <v>3.54494904122225</v>
      </c>
      <c r="F1223" s="18" t="n">
        <v>9.3728451826944</v>
      </c>
      <c r="G1223" s="18" t="n">
        <v>5.02307668682223</v>
      </c>
      <c r="H1223" s="18" t="n">
        <v>5.11875587525459</v>
      </c>
      <c r="I1223" s="18" t="n">
        <v>5.03115012955229</v>
      </c>
      <c r="J1223" s="18" t="n">
        <v>5.26292744867107</v>
      </c>
    </row>
    <row r="1224" customFormat="false" ht="15" hidden="false" customHeight="false" outlineLevel="0" collapsed="false">
      <c r="A1224" s="28" t="n">
        <v>121914.342863866</v>
      </c>
      <c r="B1224" s="29" t="n">
        <v>6</v>
      </c>
      <c r="C1224" s="18" t="n">
        <v>4.39030504488318</v>
      </c>
      <c r="D1224" s="18" t="n">
        <v>3.70458369418816</v>
      </c>
      <c r="E1224" s="18" t="n">
        <v>3.55387017670665</v>
      </c>
      <c r="F1224" s="18" t="n">
        <v>9.38060086404835</v>
      </c>
      <c r="G1224" s="18" t="n">
        <v>5.37946964661608</v>
      </c>
      <c r="H1224" s="18" t="n">
        <v>5.13271525960011</v>
      </c>
      <c r="I1224" s="18" t="n">
        <v>5.04643953133533</v>
      </c>
      <c r="J1224" s="18" t="n">
        <v>5.18569805116588</v>
      </c>
    </row>
    <row r="1225" customFormat="false" ht="15" hidden="false" customHeight="false" outlineLevel="0" collapsed="false">
      <c r="A1225" s="28" t="n">
        <v>122014.354629957</v>
      </c>
      <c r="B1225" s="29" t="n">
        <v>6</v>
      </c>
      <c r="C1225" s="18" t="n">
        <v>4.53497396693939</v>
      </c>
      <c r="D1225" s="18" t="n">
        <v>3.72104446073742</v>
      </c>
      <c r="E1225" s="18" t="n">
        <v>3.56449324053751</v>
      </c>
      <c r="F1225" s="18" t="n">
        <v>9.2666033730512</v>
      </c>
      <c r="G1225" s="18" t="n">
        <v>5.4216509305587</v>
      </c>
      <c r="H1225" s="18" t="n">
        <v>5.14647338078034</v>
      </c>
      <c r="I1225" s="18" t="n">
        <v>5.06144420470325</v>
      </c>
      <c r="J1225" s="18" t="n">
        <v>5.11623121964196</v>
      </c>
    </row>
    <row r="1226" customFormat="false" ht="15" hidden="false" customHeight="false" outlineLevel="0" collapsed="false">
      <c r="A1226" s="28" t="n">
        <v>122114.366396047</v>
      </c>
      <c r="B1226" s="29" t="n">
        <v>6</v>
      </c>
      <c r="C1226" s="18" t="n">
        <v>4.95245137894142</v>
      </c>
      <c r="D1226" s="18" t="n">
        <v>3.73966158227172</v>
      </c>
      <c r="E1226" s="18" t="n">
        <v>3.57674449378668</v>
      </c>
      <c r="F1226" s="18" t="n">
        <v>8.8091668500945</v>
      </c>
      <c r="G1226" s="18" t="n">
        <v>5.42465166568836</v>
      </c>
      <c r="H1226" s="18" t="n">
        <v>5.16001612961996</v>
      </c>
      <c r="I1226" s="18" t="n">
        <v>5.07614790422409</v>
      </c>
      <c r="J1226" s="18" t="n">
        <v>5.07346907622135</v>
      </c>
    </row>
    <row r="1227" customFormat="false" ht="15" hidden="false" customHeight="false" outlineLevel="0" collapsed="false">
      <c r="A1227" s="28" t="n">
        <v>122214.378162137</v>
      </c>
      <c r="B1227" s="29" t="n">
        <v>6</v>
      </c>
      <c r="C1227" s="18" t="n">
        <v>8.83087066151296</v>
      </c>
      <c r="D1227" s="18" t="n">
        <v>3.76048621876211</v>
      </c>
      <c r="E1227" s="18" t="n">
        <v>3.59057070638176</v>
      </c>
      <c r="F1227" s="18" t="n">
        <v>5.0123193097178</v>
      </c>
      <c r="G1227" s="18" t="n">
        <v>5.00124692314824</v>
      </c>
      <c r="H1227" s="18" t="n">
        <v>5.17332752849734</v>
      </c>
      <c r="I1227" s="18" t="n">
        <v>5.09053430501021</v>
      </c>
      <c r="J1227" s="18" t="n">
        <v>5.17828741531718</v>
      </c>
    </row>
    <row r="1228" customFormat="false" ht="15" hidden="false" customHeight="false" outlineLevel="0" collapsed="false">
      <c r="A1228" s="28" t="n">
        <v>122314.389928227</v>
      </c>
      <c r="B1228" s="29" t="n">
        <v>6</v>
      </c>
      <c r="C1228" s="18" t="n">
        <v>8.94891962182983</v>
      </c>
      <c r="D1228" s="18" t="n">
        <v>3.78360574630785</v>
      </c>
      <c r="E1228" s="18" t="n">
        <v>3.60593679026618</v>
      </c>
      <c r="F1228" s="18" t="n">
        <v>4.68201168210592</v>
      </c>
      <c r="G1228" s="18" t="n">
        <v>4.83660990090117</v>
      </c>
      <c r="H1228" s="18" t="n">
        <v>5.18638943526132</v>
      </c>
      <c r="I1228" s="18" t="n">
        <v>5.10458691962303</v>
      </c>
      <c r="J1228" s="18" t="n">
        <v>5.20252826523746</v>
      </c>
    </row>
    <row r="1229" customFormat="false" ht="15" hidden="false" customHeight="false" outlineLevel="0" collapsed="false">
      <c r="A1229" s="28" t="n">
        <v>122414.401694317</v>
      </c>
      <c r="B1229" s="29" t="n">
        <v>6</v>
      </c>
      <c r="C1229" s="18" t="n">
        <v>4.57392195107167</v>
      </c>
      <c r="D1229" s="18" t="n">
        <v>3.80914747829343</v>
      </c>
      <c r="E1229" s="18" t="n">
        <v>3.6228241447241</v>
      </c>
      <c r="F1229" s="18" t="n">
        <v>4.61843888298484</v>
      </c>
      <c r="G1229" s="18" t="n">
        <v>5.32186327982844</v>
      </c>
      <c r="H1229" s="18" t="n">
        <v>5.19918114180933</v>
      </c>
      <c r="I1229" s="18" t="n">
        <v>5.11828901092282</v>
      </c>
      <c r="J1229" s="18" t="n">
        <v>5.23704363623433</v>
      </c>
    </row>
    <row r="1230" customFormat="false" ht="15" hidden="false" customHeight="false" outlineLevel="0" collapsed="false">
      <c r="A1230" s="28" t="n">
        <v>122514.413460407</v>
      </c>
      <c r="B1230" s="29" t="n">
        <v>6</v>
      </c>
      <c r="C1230" s="18" t="n">
        <v>4.43653083702187</v>
      </c>
      <c r="D1230" s="18" t="n">
        <v>3.83728462802156</v>
      </c>
      <c r="E1230" s="18" t="n">
        <v>3.64122958141365</v>
      </c>
      <c r="F1230" s="18" t="n">
        <v>4.61422701274088</v>
      </c>
      <c r="G1230" s="18" t="n">
        <v>5.40550443375616</v>
      </c>
      <c r="H1230" s="18" t="n">
        <v>5.21167883841923</v>
      </c>
      <c r="I1230" s="18" t="n">
        <v>5.13162350029759</v>
      </c>
      <c r="J1230" s="18" t="n">
        <v>5.27013193502302</v>
      </c>
    </row>
    <row r="1231" customFormat="false" ht="15" hidden="false" customHeight="false" outlineLevel="0" collapsed="false">
      <c r="A1231" s="28" t="n">
        <v>122614.425226497</v>
      </c>
      <c r="B1231" s="29" t="n">
        <v>6</v>
      </c>
      <c r="C1231" s="18" t="n">
        <v>4.68993245259371</v>
      </c>
      <c r="D1231" s="18" t="n">
        <v>3.86824516625915</v>
      </c>
      <c r="E1231" s="18" t="n">
        <v>3.66116474332225</v>
      </c>
      <c r="F1231" s="18" t="n">
        <v>4.67328613774414</v>
      </c>
      <c r="G1231" s="18" t="n">
        <v>5.4277666739736</v>
      </c>
      <c r="H1231" s="18" t="n">
        <v>5.22385489919916</v>
      </c>
      <c r="I1231" s="18" t="n">
        <v>5.14457287045937</v>
      </c>
      <c r="J1231" s="18" t="n">
        <v>5.29734145928837</v>
      </c>
    </row>
    <row r="1232" customFormat="false" ht="15" hidden="false" customHeight="false" outlineLevel="0" collapsed="false">
      <c r="A1232" s="28" t="n">
        <v>122714.436992587</v>
      </c>
      <c r="B1232" s="29" t="n">
        <v>6</v>
      </c>
      <c r="C1232" s="18" t="n">
        <v>5.67442169572854</v>
      </c>
      <c r="D1232" s="18" t="n">
        <v>3.90232463464741</v>
      </c>
      <c r="E1232" s="18" t="n">
        <v>3.68265596737966</v>
      </c>
      <c r="F1232" s="18" t="n">
        <v>4.80662757191023</v>
      </c>
      <c r="G1232" s="18" t="n">
        <v>5.39098656908538</v>
      </c>
      <c r="H1232" s="18" t="n">
        <v>5.23567692055926</v>
      </c>
      <c r="I1232" s="18" t="n">
        <v>5.15711906176266</v>
      </c>
      <c r="J1232" s="18" t="n">
        <v>5.31662745812539</v>
      </c>
    </row>
    <row r="1233" customFormat="false" ht="15" hidden="false" customHeight="false" outlineLevel="0" collapsed="false">
      <c r="A1233" s="28" t="n">
        <v>122814.448758678</v>
      </c>
      <c r="B1233" s="29" t="n">
        <v>6</v>
      </c>
      <c r="C1233" s="18" t="n">
        <v>9.13852614192648</v>
      </c>
      <c r="D1233" s="18" t="n">
        <v>3.93990461809722</v>
      </c>
      <c r="E1233" s="18" t="n">
        <v>3.70574456948731</v>
      </c>
      <c r="F1233" s="18" t="n">
        <v>5.07605645714869</v>
      </c>
      <c r="G1233" s="18" t="n">
        <v>4.89503065300498</v>
      </c>
      <c r="H1233" s="18" t="n">
        <v>5.24710640780144</v>
      </c>
      <c r="I1233" s="18" t="n">
        <v>5.16924336077065</v>
      </c>
      <c r="J1233" s="18" t="n">
        <v>5.32201287771466</v>
      </c>
    </row>
    <row r="1234" customFormat="false" ht="15" hidden="false" customHeight="false" outlineLevel="0" collapsed="false">
      <c r="A1234" s="28" t="n">
        <v>122914.460524768</v>
      </c>
      <c r="B1234" s="29" t="n">
        <v>6</v>
      </c>
      <c r="C1234" s="18" t="n">
        <v>5.08954094992063</v>
      </c>
      <c r="D1234" s="18" t="n">
        <v>3.98147964521006</v>
      </c>
      <c r="E1234" s="18" t="n">
        <v>3.73048755664928</v>
      </c>
      <c r="F1234" s="18" t="n">
        <v>6.1017064941454</v>
      </c>
      <c r="G1234" s="18" t="n">
        <v>5.17160524203325</v>
      </c>
      <c r="H1234" s="18" t="n">
        <v>5.25809694467847</v>
      </c>
      <c r="I1234" s="18" t="n">
        <v>5.18092627956166</v>
      </c>
      <c r="J1234" s="18" t="n">
        <v>5.29300393692845</v>
      </c>
    </row>
    <row r="1235" customFormat="false" ht="15" hidden="false" customHeight="false" outlineLevel="0" collapsed="false">
      <c r="A1235" s="28" t="n">
        <v>123014.472290858</v>
      </c>
      <c r="B1235" s="29" t="n">
        <v>6</v>
      </c>
      <c r="C1235" s="18" t="n">
        <v>4.40802400491054</v>
      </c>
      <c r="D1235" s="18" t="n">
        <v>4.02769713970287</v>
      </c>
      <c r="E1235" s="18" t="n">
        <v>3.7569587965192</v>
      </c>
      <c r="F1235" s="18" t="n">
        <v>8.68553578519149</v>
      </c>
      <c r="G1235" s="18" t="n">
        <v>5.38505037462373</v>
      </c>
      <c r="H1235" s="18" t="n">
        <v>5.26859157801777</v>
      </c>
      <c r="I1235" s="18" t="n">
        <v>5.19214742402493</v>
      </c>
      <c r="J1235" s="18" t="n">
        <v>5.19336367022953</v>
      </c>
    </row>
    <row r="1236" customFormat="false" ht="15" hidden="false" customHeight="false" outlineLevel="0" collapsed="false">
      <c r="A1236" s="28" t="n">
        <v>123114.484056948</v>
      </c>
      <c r="B1236" s="29" t="n">
        <v>6</v>
      </c>
      <c r="C1236" s="18" t="n">
        <v>4.56892712771584</v>
      </c>
      <c r="D1236" s="18" t="n">
        <v>4.07941842911149</v>
      </c>
      <c r="E1236" s="18" t="n">
        <v>3.78525070267745</v>
      </c>
      <c r="F1236" s="18" t="n">
        <v>8.21447449771445</v>
      </c>
      <c r="G1236" s="18" t="n">
        <v>5.42140596657333</v>
      </c>
      <c r="H1236" s="18" t="n">
        <v>5.27851896626311</v>
      </c>
      <c r="I1236" s="18" t="n">
        <v>5.20288534914222</v>
      </c>
      <c r="J1236" s="18" t="n">
        <v>5.17773495913248</v>
      </c>
    </row>
    <row r="1237" customFormat="false" ht="15" hidden="false" customHeight="false" outlineLevel="0" collapsed="false">
      <c r="A1237" s="28" t="n">
        <v>123214.495823038</v>
      </c>
      <c r="B1237" s="29" t="n">
        <v>6</v>
      </c>
      <c r="C1237" s="18" t="n">
        <v>5.04056214388768</v>
      </c>
      <c r="D1237" s="18" t="n">
        <v>4.13781533210968</v>
      </c>
      <c r="E1237" s="18" t="n">
        <v>3.81547652729545</v>
      </c>
      <c r="F1237" s="18" t="n">
        <v>5.28946589880963</v>
      </c>
      <c r="G1237" s="18" t="n">
        <v>5.4188045321112</v>
      </c>
      <c r="H1237" s="18" t="n">
        <v>5.28778749699241</v>
      </c>
      <c r="I1237" s="18" t="n">
        <v>5.21311739899654</v>
      </c>
      <c r="J1237" s="18" t="n">
        <v>5.26036289745175</v>
      </c>
    </row>
    <row r="1238" customFormat="false" ht="15" hidden="false" customHeight="false" outlineLevel="0" collapsed="false">
      <c r="A1238" s="28" t="n">
        <v>123314.507589128</v>
      </c>
      <c r="B1238" s="29" t="n">
        <v>6</v>
      </c>
      <c r="C1238" s="18" t="n">
        <v>8.92049745596415</v>
      </c>
      <c r="D1238" s="18" t="n">
        <v>4.20453020833043</v>
      </c>
      <c r="E1238" s="18" t="n">
        <v>3.84777339529679</v>
      </c>
      <c r="F1238" s="18" t="n">
        <v>5.17167151043295</v>
      </c>
      <c r="G1238" s="18" t="n">
        <v>4.96906965406743</v>
      </c>
      <c r="H1238" s="18" t="n">
        <v>5.29627589354894</v>
      </c>
      <c r="I1238" s="18" t="n">
        <v>5.22281952901317</v>
      </c>
      <c r="J1238" s="18" t="n">
        <v>5.27421150113302</v>
      </c>
    </row>
    <row r="1239" customFormat="false" ht="15" hidden="false" customHeight="false" outlineLevel="0" collapsed="false">
      <c r="A1239" s="28" t="n">
        <v>123414.519355218</v>
      </c>
      <c r="B1239" s="29" t="n">
        <v>6</v>
      </c>
      <c r="C1239" s="18" t="n">
        <v>8.69717833437382</v>
      </c>
      <c r="D1239" s="18" t="n">
        <v>4.28195694391656</v>
      </c>
      <c r="E1239" s="18" t="n">
        <v>3.8823062709211</v>
      </c>
      <c r="F1239" s="18" t="n">
        <v>5.38706259906614</v>
      </c>
      <c r="G1239" s="18" t="n">
        <v>4.83730339783303</v>
      </c>
      <c r="H1239" s="18" t="n">
        <v>5.3038173632497</v>
      </c>
      <c r="I1239" s="18" t="n">
        <v>5.23196610776695</v>
      </c>
      <c r="J1239" s="18" t="n">
        <v>5.27491730982939</v>
      </c>
    </row>
    <row r="1240" customFormat="false" ht="15" hidden="false" customHeight="false" outlineLevel="0" collapsed="false">
      <c r="A1240" s="28" t="n">
        <v>123514.531121308</v>
      </c>
      <c r="B1240" s="29" t="n">
        <v>6</v>
      </c>
      <c r="C1240" s="18" t="n">
        <v>4.5005251980293</v>
      </c>
      <c r="D1240" s="18" t="n">
        <v>4.37377247697059</v>
      </c>
      <c r="E1240" s="18" t="n">
        <v>3.91927312646148</v>
      </c>
      <c r="F1240" s="18" t="n">
        <v>5.88682815030463</v>
      </c>
      <c r="G1240" s="18" t="n">
        <v>5.34238049311347</v>
      </c>
      <c r="H1240" s="18" t="n">
        <v>5.31017089499358</v>
      </c>
      <c r="I1240" s="18" t="n">
        <v>5.24052969567314</v>
      </c>
      <c r="J1240" s="18" t="n">
        <v>5.26485253790661</v>
      </c>
    </row>
    <row r="1241" customFormat="false" ht="15" hidden="false" customHeight="false" outlineLevel="0" collapsed="false">
      <c r="A1241" s="28" t="n">
        <v>123614.542887399</v>
      </c>
      <c r="B1241" s="29" t="n">
        <v>6</v>
      </c>
      <c r="C1241" s="18" t="n">
        <v>4.47760264388253</v>
      </c>
      <c r="D1241" s="18" t="n">
        <v>4.4860477705141</v>
      </c>
      <c r="E1241" s="18" t="n">
        <v>3.95891169577196</v>
      </c>
      <c r="F1241" s="18" t="n">
        <v>7.86576118946179</v>
      </c>
      <c r="G1241" s="18" t="n">
        <v>5.41081670784441</v>
      </c>
      <c r="H1241" s="18" t="n">
        <v>5.31496421944474</v>
      </c>
      <c r="I1241" s="18" t="n">
        <v>5.24848079818488</v>
      </c>
      <c r="J1241" s="18" t="n">
        <v>5.20615081584317</v>
      </c>
    </row>
    <row r="1242" customFormat="false" ht="15" hidden="false" customHeight="false" outlineLevel="0" collapsed="false">
      <c r="A1242" s="28" t="n">
        <v>123714.554653489</v>
      </c>
      <c r="B1242" s="29" t="n">
        <v>6</v>
      </c>
      <c r="C1242" s="18" t="n">
        <v>4.78368624449885</v>
      </c>
      <c r="D1242" s="18" t="n">
        <v>4.62992134906575</v>
      </c>
      <c r="E1242" s="18" t="n">
        <v>4.00150836086764</v>
      </c>
      <c r="F1242" s="18" t="n">
        <v>6.23556640320575</v>
      </c>
      <c r="G1242" s="18" t="n">
        <v>5.42634765071814</v>
      </c>
      <c r="H1242" s="18" t="n">
        <v>5.31756476923383</v>
      </c>
      <c r="I1242" s="18" t="n">
        <v>5.25578759206459</v>
      </c>
      <c r="J1242" s="18" t="n">
        <v>5.195703345618</v>
      </c>
    </row>
    <row r="1243" customFormat="false" ht="15" hidden="false" customHeight="false" outlineLevel="0" collapsed="false">
      <c r="A1243" s="28" t="n">
        <v>123814.566419579</v>
      </c>
      <c r="B1243" s="29" t="n">
        <v>6</v>
      </c>
      <c r="C1243" s="18" t="n">
        <v>8.20883888819879</v>
      </c>
      <c r="D1243" s="18" t="n">
        <v>4.82959775003188</v>
      </c>
      <c r="E1243" s="18" t="n">
        <v>4.04740996966625</v>
      </c>
      <c r="F1243" s="18" t="n">
        <v>5.21735852303069</v>
      </c>
      <c r="G1243" s="18" t="n">
        <v>5.33793476821116</v>
      </c>
      <c r="H1243" s="18" t="n">
        <v>5.31672462747288</v>
      </c>
      <c r="I1243" s="18" t="n">
        <v>5.26241562546723</v>
      </c>
      <c r="J1243" s="18" t="n">
        <v>5.26179986285595</v>
      </c>
    </row>
    <row r="1244" customFormat="false" ht="15" hidden="false" customHeight="false" outlineLevel="0" collapsed="false">
      <c r="A1244" s="28" t="n">
        <v>123914.578185669</v>
      </c>
      <c r="B1244" s="29" t="n">
        <v>6</v>
      </c>
      <c r="C1244" s="18" t="n">
        <v>9.18146943857214</v>
      </c>
      <c r="D1244" s="18" t="n">
        <v>5.15808068876305</v>
      </c>
      <c r="E1244" s="18" t="n">
        <v>4.09703976935504</v>
      </c>
      <c r="F1244" s="18" t="n">
        <v>5.26250230818057</v>
      </c>
      <c r="G1244" s="18" t="n">
        <v>4.86391419717521</v>
      </c>
      <c r="H1244" s="18" t="n">
        <v>5.30920309438961</v>
      </c>
      <c r="I1244" s="18" t="n">
        <v>5.26832749708199</v>
      </c>
      <c r="J1244" s="18" t="n">
        <v>5.2697409336524</v>
      </c>
    </row>
    <row r="1245" customFormat="false" ht="15" hidden="false" customHeight="false" outlineLevel="0" collapsed="false">
      <c r="A1245" s="28" t="n">
        <v>124014.589951759</v>
      </c>
      <c r="B1245" s="29" t="n">
        <v>6</v>
      </c>
      <c r="C1245" s="18" t="n">
        <v>4.79578813917385</v>
      </c>
      <c r="D1245" s="18" t="n">
        <v>6.49757442485116</v>
      </c>
      <c r="E1245" s="18" t="n">
        <v>4.15091925545009</v>
      </c>
      <c r="F1245" s="18" t="n">
        <v>5.48853843701398</v>
      </c>
      <c r="G1245" s="18" t="n">
        <v>5.27573718214189</v>
      </c>
      <c r="H1245" s="18" t="n">
        <v>5.27596280913258</v>
      </c>
      <c r="I1245" s="18" t="n">
        <v>5.27348252855778</v>
      </c>
      <c r="J1245" s="18" t="n">
        <v>5.26898002612262</v>
      </c>
    </row>
    <row r="1246" customFormat="false" ht="15" hidden="false" customHeight="false" outlineLevel="0" collapsed="false">
      <c r="A1246" s="28" t="n">
        <v>124114.601717849</v>
      </c>
      <c r="B1246" s="29" t="n">
        <v>6</v>
      </c>
      <c r="C1246" s="18" t="n">
        <v>4.4214249179746</v>
      </c>
      <c r="D1246" s="18" t="n">
        <v>8.59008415289</v>
      </c>
      <c r="E1246" s="18" t="n">
        <v>4.20969874985112</v>
      </c>
      <c r="F1246" s="18" t="n">
        <v>5.98149193802507</v>
      </c>
      <c r="G1246" s="18" t="n">
        <v>5.39572836718812</v>
      </c>
      <c r="H1246" s="18" t="n">
        <v>5.13082535683767</v>
      </c>
      <c r="I1246" s="18" t="n">
        <v>5.27783646207645</v>
      </c>
      <c r="J1246" s="18" t="n">
        <v>5.25908106009025</v>
      </c>
    </row>
    <row r="1247" customFormat="false" ht="15" hidden="false" customHeight="false" outlineLevel="0" collapsed="false">
      <c r="A1247" s="28" t="n">
        <v>124214.613483939</v>
      </c>
      <c r="B1247" s="29" t="n">
        <v>6</v>
      </c>
      <c r="C1247" s="18" t="n">
        <v>4.62738741781552</v>
      </c>
      <c r="D1247" s="18" t="n">
        <v>5.34418431823042</v>
      </c>
      <c r="E1247" s="18" t="n">
        <v>4.27420125322043</v>
      </c>
      <c r="F1247" s="18" t="n">
        <v>7.6065700872779</v>
      </c>
      <c r="G1247" s="18" t="n">
        <v>5.42438337713766</v>
      </c>
      <c r="H1247" s="18" t="n">
        <v>5.26174752153825</v>
      </c>
      <c r="I1247" s="18" t="n">
        <v>5.28134124971832</v>
      </c>
      <c r="J1247" s="18" t="n">
        <v>5.21133003582513</v>
      </c>
    </row>
    <row r="1248" customFormat="false" ht="15" hidden="false" customHeight="false" outlineLevel="0" collapsed="false">
      <c r="A1248" s="28" t="n">
        <v>124314.625250029</v>
      </c>
      <c r="B1248" s="29" t="n">
        <v>6</v>
      </c>
      <c r="C1248" s="18" t="n">
        <v>5.2574477004995</v>
      </c>
      <c r="D1248" s="18" t="n">
        <v>4.92938889646156</v>
      </c>
      <c r="E1248" s="18" t="n">
        <v>4.34548721260844</v>
      </c>
      <c r="F1248" s="18" t="n">
        <v>6.01260186531513</v>
      </c>
      <c r="G1248" s="18" t="n">
        <v>5.40823366423767</v>
      </c>
      <c r="H1248" s="18" t="n">
        <v>5.30399113740496</v>
      </c>
      <c r="I1248" s="18" t="n">
        <v>5.28394507104118</v>
      </c>
      <c r="J1248" s="18" t="n">
        <v>5.22255603834885</v>
      </c>
    </row>
    <row r="1249" customFormat="false" ht="15" hidden="false" customHeight="false" outlineLevel="0" collapsed="false">
      <c r="A1249" s="28" t="n">
        <v>124414.63701612</v>
      </c>
      <c r="B1249" s="29" t="n">
        <v>6</v>
      </c>
      <c r="C1249" s="18" t="n">
        <v>9.04998068385137</v>
      </c>
      <c r="D1249" s="18" t="n">
        <v>5.18833715233042</v>
      </c>
      <c r="E1249" s="18" t="n">
        <v>4.4249536817942</v>
      </c>
      <c r="F1249" s="18" t="n">
        <v>5.27741120373835</v>
      </c>
      <c r="G1249" s="18" t="n">
        <v>4.9272347230165</v>
      </c>
      <c r="H1249" s="18" t="n">
        <v>5.30042628657264</v>
      </c>
      <c r="I1249" s="18" t="n">
        <v>5.2855928595426</v>
      </c>
      <c r="J1249" s="18" t="n">
        <v>5.26226313143733</v>
      </c>
    </row>
    <row r="1250" customFormat="false" ht="15" hidden="false" customHeight="false" outlineLevel="0" collapsed="false">
      <c r="A1250" s="28" t="n">
        <v>124514.64878221</v>
      </c>
      <c r="B1250" s="29" t="n">
        <v>6</v>
      </c>
      <c r="C1250" s="18" t="n">
        <v>5.82595720585205</v>
      </c>
      <c r="D1250" s="18" t="n">
        <v>6.08633840184759</v>
      </c>
      <c r="E1250" s="18" t="n">
        <v>4.51449310037503</v>
      </c>
      <c r="F1250" s="18" t="n">
        <v>5.34691293217879</v>
      </c>
      <c r="G1250" s="18" t="n">
        <v>4.85819281670785</v>
      </c>
      <c r="H1250" s="18" t="n">
        <v>5.2737185287418</v>
      </c>
      <c r="I1250" s="18" t="n">
        <v>5.28622793044028</v>
      </c>
      <c r="J1250" s="18" t="n">
        <v>5.26791184973963</v>
      </c>
    </row>
    <row r="1251" customFormat="false" ht="15" hidden="false" customHeight="false" outlineLevel="0" collapsed="false">
      <c r="A1251" s="28" t="n">
        <v>124614.6605483</v>
      </c>
      <c r="B1251" s="29" t="n">
        <v>6</v>
      </c>
      <c r="C1251" s="18" t="n">
        <v>4.41249380763304</v>
      </c>
      <c r="D1251" s="18" t="n">
        <v>8.45315416804965</v>
      </c>
      <c r="E1251" s="18" t="n">
        <v>4.61676258173262</v>
      </c>
      <c r="F1251" s="18" t="n">
        <v>5.60278953127318</v>
      </c>
      <c r="G1251" s="18" t="n">
        <v>5.36530736606078</v>
      </c>
      <c r="H1251" s="18" t="n">
        <v>5.13366059820997</v>
      </c>
      <c r="I1251" s="18" t="n">
        <v>5.285796020165</v>
      </c>
      <c r="J1251" s="18" t="n">
        <v>5.26542514254522</v>
      </c>
    </row>
    <row r="1252" customFormat="false" ht="15" hidden="false" customHeight="false" outlineLevel="0" collapsed="false">
      <c r="A1252" s="28" t="n">
        <v>124714.67231439</v>
      </c>
      <c r="B1252" s="29" t="n">
        <v>6</v>
      </c>
      <c r="C1252" s="18" t="n">
        <v>4.51819987123152</v>
      </c>
      <c r="D1252" s="18" t="n">
        <v>5.34744800525064</v>
      </c>
      <c r="E1252" s="18" t="n">
        <v>4.73567684810102</v>
      </c>
      <c r="F1252" s="18" t="n">
        <v>6.18898818727075</v>
      </c>
      <c r="G1252" s="18" t="n">
        <v>5.41655349382793</v>
      </c>
      <c r="H1252" s="18" t="n">
        <v>5.25791631308618</v>
      </c>
      <c r="I1252" s="18" t="n">
        <v>5.28425485948041</v>
      </c>
      <c r="J1252" s="18" t="n">
        <v>5.25323584885916</v>
      </c>
    </row>
    <row r="1253" customFormat="false" ht="15" hidden="false" customHeight="false" outlineLevel="0" collapsed="false">
      <c r="A1253" s="28" t="n">
        <v>124814.68408048</v>
      </c>
      <c r="B1253" s="29" t="n">
        <v>6</v>
      </c>
      <c r="C1253" s="18" t="n">
        <v>4.89203779111162</v>
      </c>
      <c r="D1253" s="18" t="n">
        <v>4.93314516710953</v>
      </c>
      <c r="E1253" s="18" t="n">
        <v>4.87741128199585</v>
      </c>
      <c r="F1253" s="18" t="n">
        <v>7.51439598609157</v>
      </c>
      <c r="G1253" s="18" t="n">
        <v>5.42413499212277</v>
      </c>
      <c r="H1253" s="18" t="n">
        <v>5.29960048973417</v>
      </c>
      <c r="I1253" s="18" t="n">
        <v>5.28159763659309</v>
      </c>
      <c r="J1253" s="18" t="n">
        <v>5.20720717436158</v>
      </c>
    </row>
    <row r="1254" customFormat="false" ht="15" hidden="false" customHeight="false" outlineLevel="0" collapsed="false">
      <c r="A1254" s="28" t="n">
        <v>124914.69584657</v>
      </c>
      <c r="B1254" s="29" t="n">
        <v>6</v>
      </c>
      <c r="C1254" s="18" t="n">
        <v>8.70067731144054</v>
      </c>
      <c r="D1254" s="18" t="n">
        <v>5.16777423885162</v>
      </c>
      <c r="E1254" s="18" t="n">
        <v>5.05278513301598</v>
      </c>
      <c r="F1254" s="18" t="n">
        <v>5.73235607549906</v>
      </c>
      <c r="G1254" s="18" t="n">
        <v>5.04239406248781</v>
      </c>
      <c r="H1254" s="18" t="n">
        <v>5.29700726799952</v>
      </c>
      <c r="I1254" s="18" t="n">
        <v>5.27791735035011</v>
      </c>
      <c r="J1254" s="18" t="n">
        <v>5.24146735717794</v>
      </c>
    </row>
    <row r="1255" customFormat="false" ht="15" hidden="false" customHeight="false" outlineLevel="0" collapsed="false">
      <c r="A1255" s="28" t="n">
        <v>125014.70761266</v>
      </c>
      <c r="B1255" s="29" t="n">
        <v>6</v>
      </c>
      <c r="C1255" s="18" t="n">
        <v>9.0321470630012</v>
      </c>
      <c r="D1255" s="18" t="n">
        <v>5.83374373065471</v>
      </c>
      <c r="E1255" s="18" t="n">
        <v>5.28449679623396</v>
      </c>
      <c r="F1255" s="18" t="n">
        <v>5.32180743586454</v>
      </c>
      <c r="G1255" s="18" t="n">
        <v>4.83922980650983</v>
      </c>
      <c r="H1255" s="18" t="n">
        <v>5.27597699417791</v>
      </c>
      <c r="I1255" s="18" t="n">
        <v>5.27363199752469</v>
      </c>
      <c r="J1255" s="18" t="n">
        <v>5.26377372764706</v>
      </c>
    </row>
    <row r="1256" customFormat="false" ht="15" hidden="false" customHeight="false" outlineLevel="0" collapsed="false">
      <c r="A1256" s="28" t="n">
        <v>125114.71937875</v>
      </c>
      <c r="B1256" s="29" t="n">
        <v>6</v>
      </c>
      <c r="C1256" s="18" t="n">
        <v>4.62294532148242</v>
      </c>
      <c r="D1256" s="18" t="n">
        <v>8.33426931131913</v>
      </c>
      <c r="E1256" s="18" t="n">
        <v>5.64157867512081</v>
      </c>
      <c r="F1256" s="18" t="n">
        <v>5.44782965530251</v>
      </c>
      <c r="G1256" s="18" t="n">
        <v>5.31414057641375</v>
      </c>
      <c r="H1256" s="18" t="n">
        <v>5.14053758780111</v>
      </c>
      <c r="I1256" s="18" t="n">
        <v>5.27056080482099</v>
      </c>
      <c r="J1256" s="18" t="n">
        <v>5.26655990406578</v>
      </c>
    </row>
    <row r="1257" customFormat="false" ht="15" hidden="false" customHeight="false" outlineLevel="0" collapsed="false">
      <c r="A1257" s="28" t="n">
        <v>125214.731144841</v>
      </c>
      <c r="B1257" s="29" t="n">
        <v>6</v>
      </c>
      <c r="C1257" s="18" t="n">
        <v>4.44550396871613</v>
      </c>
      <c r="D1257" s="18" t="n">
        <v>5.48978105545004</v>
      </c>
      <c r="E1257" s="18" t="n">
        <v>6.98048808507017</v>
      </c>
      <c r="F1257" s="18" t="n">
        <v>5.77184083896853</v>
      </c>
      <c r="G1257" s="18" t="n">
        <v>5.40383766936839</v>
      </c>
      <c r="H1257" s="18" t="n">
        <v>5.24013820599546</v>
      </c>
      <c r="I1257" s="18" t="n">
        <v>5.2659251508811</v>
      </c>
      <c r="J1257" s="18" t="n">
        <v>5.26142975922488</v>
      </c>
    </row>
    <row r="1258" customFormat="false" ht="15" hidden="false" customHeight="false" outlineLevel="0" collapsed="false">
      <c r="A1258" s="28" t="n">
        <v>125314.742910931</v>
      </c>
      <c r="B1258" s="29" t="n">
        <v>6</v>
      </c>
      <c r="C1258" s="18" t="n">
        <v>4.69780205867989</v>
      </c>
      <c r="D1258" s="18" t="n">
        <v>4.92076944231988</v>
      </c>
      <c r="E1258" s="18" t="n">
        <v>8.24083790513798</v>
      </c>
      <c r="F1258" s="18" t="n">
        <v>6.6457484227175</v>
      </c>
      <c r="G1258" s="18" t="n">
        <v>5.42619322947568</v>
      </c>
      <c r="H1258" s="18" t="n">
        <v>5.29647632531514</v>
      </c>
      <c r="I1258" s="18" t="n">
        <v>5.26219939001122</v>
      </c>
      <c r="J1258" s="18" t="n">
        <v>5.24251614745868</v>
      </c>
    </row>
    <row r="1259" customFormat="false" ht="15" hidden="false" customHeight="false" outlineLevel="0" collapsed="false">
      <c r="A1259" s="28" t="n">
        <v>125414.754677021</v>
      </c>
      <c r="B1259" s="29" t="n">
        <v>6</v>
      </c>
      <c r="C1259" s="18" t="n">
        <v>5.71413629090573</v>
      </c>
      <c r="D1259" s="18" t="n">
        <v>5.11288543742792</v>
      </c>
      <c r="E1259" s="18" t="n">
        <v>8.44076512417619</v>
      </c>
      <c r="F1259" s="18" t="n">
        <v>7.05150790503428</v>
      </c>
      <c r="G1259" s="18" t="n">
        <v>5.38798813434677</v>
      </c>
      <c r="H1259" s="18" t="n">
        <v>5.29630562982131</v>
      </c>
      <c r="I1259" s="18" t="n">
        <v>5.26072339937908</v>
      </c>
      <c r="J1259" s="18" t="n">
        <v>5.20620138029664</v>
      </c>
    </row>
    <row r="1260" customFormat="false" ht="15" hidden="false" customHeight="false" outlineLevel="0" collapsed="false">
      <c r="A1260" s="28" t="n">
        <v>125514.766443111</v>
      </c>
      <c r="B1260" s="29" t="n">
        <v>6</v>
      </c>
      <c r="C1260" s="18" t="n">
        <v>9.13729287740441</v>
      </c>
      <c r="D1260" s="18" t="n">
        <v>5.61217251321209</v>
      </c>
      <c r="E1260" s="18" t="n">
        <v>8.55231349862563</v>
      </c>
      <c r="F1260" s="18" t="n">
        <v>5.48978249420358</v>
      </c>
      <c r="G1260" s="18" t="n">
        <v>4.89327471420042</v>
      </c>
      <c r="H1260" s="18" t="n">
        <v>5.28084077368864</v>
      </c>
      <c r="I1260" s="18" t="n">
        <v>5.25856597590761</v>
      </c>
      <c r="J1260" s="18" t="n">
        <v>5.25352067112453</v>
      </c>
    </row>
    <row r="1261" customFormat="false" ht="15" hidden="false" customHeight="false" outlineLevel="0" collapsed="false">
      <c r="A1261" s="28" t="n">
        <v>125614.778209201</v>
      </c>
      <c r="B1261" s="29" t="n">
        <v>6</v>
      </c>
      <c r="C1261" s="18" t="n">
        <v>5.06942864127885</v>
      </c>
      <c r="D1261" s="18" t="n">
        <v>8.16504737297197</v>
      </c>
      <c r="E1261" s="18" t="n">
        <v>8.61609353614175</v>
      </c>
      <c r="F1261" s="18" t="n">
        <v>5.3813397414342</v>
      </c>
      <c r="G1261" s="18" t="n">
        <v>5.18433233647765</v>
      </c>
      <c r="H1261" s="18" t="n">
        <v>5.15588551460493</v>
      </c>
      <c r="I1261" s="18" t="n">
        <v>5.25253439880344</v>
      </c>
      <c r="J1261" s="18" t="n">
        <v>5.2650222252184</v>
      </c>
    </row>
    <row r="1262" customFormat="false" ht="15" hidden="false" customHeight="false" outlineLevel="0" collapsed="false">
      <c r="A1262" s="28" t="n">
        <v>125714.789975291</v>
      </c>
      <c r="B1262" s="29" t="n">
        <v>6</v>
      </c>
      <c r="C1262" s="18" t="n">
        <v>4.40670487637546</v>
      </c>
      <c r="D1262" s="18" t="n">
        <v>5.95349151077732</v>
      </c>
      <c r="E1262" s="18" t="n">
        <v>8.62543790523915</v>
      </c>
      <c r="F1262" s="18" t="n">
        <v>5.58710624726712</v>
      </c>
      <c r="G1262" s="18" t="n">
        <v>5.38517963428747</v>
      </c>
      <c r="H1262" s="18" t="n">
        <v>5.14413899000091</v>
      </c>
      <c r="I1262" s="18" t="n">
        <v>5.24481903231768</v>
      </c>
      <c r="J1262" s="18" t="n">
        <v>5.26438902949576</v>
      </c>
    </row>
    <row r="1263" customFormat="false" ht="15" hidden="false" customHeight="false" outlineLevel="0" collapsed="false">
      <c r="A1263" s="28" t="n">
        <v>125814.801741381</v>
      </c>
      <c r="B1263" s="29" t="n">
        <v>6</v>
      </c>
      <c r="C1263" s="18" t="n">
        <v>4.56822613701748</v>
      </c>
      <c r="D1263" s="18" t="n">
        <v>4.92275332376945</v>
      </c>
      <c r="E1263" s="18" t="n">
        <v>8.55662635243205</v>
      </c>
      <c r="F1263" s="18" t="n">
        <v>6.05003922898088</v>
      </c>
      <c r="G1263" s="18" t="n">
        <v>5.4211545694379</v>
      </c>
      <c r="H1263" s="18" t="n">
        <v>5.290166009644</v>
      </c>
      <c r="I1263" s="18" t="n">
        <v>5.23946427924017</v>
      </c>
      <c r="J1263" s="18" t="n">
        <v>5.25516879212797</v>
      </c>
    </row>
    <row r="1264" customFormat="false" ht="15" hidden="false" customHeight="false" outlineLevel="0" collapsed="false">
      <c r="A1264" s="28" t="n">
        <v>125914.813507472</v>
      </c>
      <c r="B1264" s="29" t="n">
        <v>6</v>
      </c>
      <c r="C1264" s="18" t="n">
        <v>5.03762229647853</v>
      </c>
      <c r="D1264" s="18" t="n">
        <v>5.05420092259934</v>
      </c>
      <c r="E1264" s="18" t="n">
        <v>8.383884339212</v>
      </c>
      <c r="F1264" s="18" t="n">
        <v>7.24849919521227</v>
      </c>
      <c r="G1264" s="18" t="n">
        <v>5.41873735229702</v>
      </c>
      <c r="H1264" s="18" t="n">
        <v>5.29632146715769</v>
      </c>
      <c r="I1264" s="18" t="n">
        <v>5.23829834808703</v>
      </c>
      <c r="J1264" s="18" t="n">
        <v>5.22019070013502</v>
      </c>
    </row>
    <row r="1265" customFormat="false" ht="15" hidden="false" customHeight="false" outlineLevel="0" collapsed="false">
      <c r="A1265" s="28" t="n">
        <v>126014.825273562</v>
      </c>
      <c r="B1265" s="29" t="n">
        <v>6</v>
      </c>
      <c r="C1265" s="18" t="n">
        <v>8.91673051533349</v>
      </c>
      <c r="D1265" s="18" t="n">
        <v>5.44901716425117</v>
      </c>
      <c r="E1265" s="18" t="n">
        <v>8.04167875184282</v>
      </c>
      <c r="F1265" s="18" t="n">
        <v>5.96664240097926</v>
      </c>
      <c r="G1265" s="18" t="n">
        <v>4.96978070292148</v>
      </c>
      <c r="H1265" s="18" t="n">
        <v>5.28519468982229</v>
      </c>
      <c r="I1265" s="18" t="n">
        <v>5.23833954664501</v>
      </c>
      <c r="J1265" s="18" t="n">
        <v>5.23418475507406</v>
      </c>
    </row>
    <row r="1266" customFormat="false" ht="15" hidden="false" customHeight="false" outlineLevel="0" collapsed="false">
      <c r="A1266" s="28" t="n">
        <v>126114.837039652</v>
      </c>
      <c r="B1266" s="29" t="n">
        <v>6</v>
      </c>
      <c r="C1266" s="18" t="n">
        <v>8.69959675489388</v>
      </c>
      <c r="D1266" s="18" t="n">
        <v>7.83365106633533</v>
      </c>
      <c r="E1266" s="18" t="n">
        <v>6.73305613018075</v>
      </c>
      <c r="F1266" s="18" t="n">
        <v>5.39498198180547</v>
      </c>
      <c r="G1266" s="18" t="n">
        <v>4.83730338209267</v>
      </c>
      <c r="H1266" s="18" t="n">
        <v>5.20733433068149</v>
      </c>
      <c r="I1266" s="18" t="n">
        <v>5.24026290037883</v>
      </c>
      <c r="J1266" s="18" t="n">
        <v>5.26131856720419</v>
      </c>
    </row>
    <row r="1267" customFormat="false" ht="15" hidden="false" customHeight="false" outlineLevel="0" collapsed="false">
      <c r="A1267" s="28" t="n">
        <v>126214.848805742</v>
      </c>
      <c r="B1267" s="29" t="n">
        <v>6</v>
      </c>
      <c r="C1267" s="18" t="n">
        <v>4.50119425281371</v>
      </c>
      <c r="D1267" s="18" t="n">
        <v>8.03108290558854</v>
      </c>
      <c r="E1267" s="18" t="n">
        <v>5.93620440152335</v>
      </c>
      <c r="F1267" s="18" t="n">
        <v>5.48588107070527</v>
      </c>
      <c r="G1267" s="18" t="n">
        <v>5.34223574695514</v>
      </c>
      <c r="H1267" s="18" t="n">
        <v>5.12721726407926</v>
      </c>
      <c r="I1267" s="18" t="n">
        <v>5.24005214213464</v>
      </c>
      <c r="J1267" s="18" t="n">
        <v>5.2650099929706</v>
      </c>
    </row>
    <row r="1268" customFormat="false" ht="15" hidden="false" customHeight="false" outlineLevel="0" collapsed="false">
      <c r="A1268" s="28" t="n">
        <v>126314.860571832</v>
      </c>
      <c r="B1268" s="29" t="n">
        <v>6</v>
      </c>
      <c r="C1268" s="18" t="n">
        <v>4.4776786398697</v>
      </c>
      <c r="D1268" s="18" t="n">
        <v>5.01971991359606</v>
      </c>
      <c r="E1268" s="18" t="n">
        <v>5.71748959938995</v>
      </c>
      <c r="F1268" s="18" t="n">
        <v>5.79918259586456</v>
      </c>
      <c r="G1268" s="18" t="n">
        <v>5.41075193012412</v>
      </c>
      <c r="H1268" s="18" t="n">
        <v>5.28142950584123</v>
      </c>
      <c r="I1268" s="18" t="n">
        <v>5.24014264451591</v>
      </c>
      <c r="J1268" s="18" t="n">
        <v>5.26024696986971</v>
      </c>
    </row>
    <row r="1269" customFormat="false" ht="15" hidden="false" customHeight="false" outlineLevel="0" collapsed="false">
      <c r="A1269" s="28" t="n">
        <v>126414.872337922</v>
      </c>
      <c r="B1269" s="29" t="n">
        <v>6</v>
      </c>
      <c r="C1269" s="18" t="n">
        <v>4.78360792299847</v>
      </c>
      <c r="D1269" s="18" t="n">
        <v>5.00768454377815</v>
      </c>
      <c r="E1269" s="18" t="n">
        <v>5.5713944883527</v>
      </c>
      <c r="F1269" s="18" t="n">
        <v>6.59231247050938</v>
      </c>
      <c r="G1269" s="18" t="n">
        <v>5.42629865498462</v>
      </c>
      <c r="H1269" s="18" t="n">
        <v>5.2961802650606</v>
      </c>
      <c r="I1269" s="18" t="n">
        <v>5.24049987923273</v>
      </c>
      <c r="J1269" s="18" t="n">
        <v>5.242367473148</v>
      </c>
    </row>
    <row r="1270" customFormat="false" ht="15" hidden="false" customHeight="false" outlineLevel="0" collapsed="false">
      <c r="A1270" s="28" t="n">
        <v>126514.884104012</v>
      </c>
      <c r="B1270" s="29" t="n">
        <v>6</v>
      </c>
      <c r="C1270" s="18" t="n">
        <v>8.20671052731506</v>
      </c>
      <c r="D1270" s="18" t="n">
        <v>5.33080851546308</v>
      </c>
      <c r="E1270" s="18" t="n">
        <v>5.47667525763908</v>
      </c>
      <c r="F1270" s="18" t="n">
        <v>6.82367847938505</v>
      </c>
      <c r="G1270" s="18" t="n">
        <v>5.33807820719752</v>
      </c>
      <c r="H1270" s="18" t="n">
        <v>5.28846407680994</v>
      </c>
      <c r="I1270" s="18" t="n">
        <v>5.24081917903456</v>
      </c>
      <c r="J1270" s="18" t="n">
        <v>5.21234601825879</v>
      </c>
    </row>
    <row r="1271" customFormat="false" ht="15" hidden="false" customHeight="false" outlineLevel="0" collapsed="false">
      <c r="A1271" s="28" t="n">
        <v>126614.895870102</v>
      </c>
      <c r="B1271" s="29" t="n">
        <v>6</v>
      </c>
      <c r="C1271" s="18" t="n">
        <v>9.18129607551597</v>
      </c>
      <c r="D1271" s="18" t="n">
        <v>6.67179463248428</v>
      </c>
      <c r="E1271" s="18" t="n">
        <v>5.40931600307936</v>
      </c>
      <c r="F1271" s="18" t="n">
        <v>5.52902766763105</v>
      </c>
      <c r="G1271" s="18" t="n">
        <v>4.8639341853271</v>
      </c>
      <c r="H1271" s="18" t="n">
        <v>5.2529334461012</v>
      </c>
      <c r="I1271" s="18" t="n">
        <v>5.24131918182985</v>
      </c>
      <c r="J1271" s="18" t="n">
        <v>5.25359993275297</v>
      </c>
    </row>
    <row r="1272" customFormat="false" ht="15" hidden="false" customHeight="false" outlineLevel="0" collapsed="false">
      <c r="A1272" s="28" t="n">
        <v>126714.907636193</v>
      </c>
      <c r="B1272" s="29" t="n">
        <v>6</v>
      </c>
      <c r="C1272" s="18" t="n">
        <v>4.7958240532832</v>
      </c>
      <c r="D1272" s="18" t="n">
        <v>8.28180663665265</v>
      </c>
      <c r="E1272" s="18" t="n">
        <v>5.36023349994516</v>
      </c>
      <c r="F1272" s="18" t="n">
        <v>5.43543349631737</v>
      </c>
      <c r="G1272" s="18" t="n">
        <v>5.27571982219144</v>
      </c>
      <c r="H1272" s="18" t="n">
        <v>5.13094481341242</v>
      </c>
      <c r="I1272" s="18" t="n">
        <v>5.24198657788439</v>
      </c>
      <c r="J1272" s="18" t="n">
        <v>5.26405945313024</v>
      </c>
    </row>
    <row r="1273" customFormat="false" ht="15" hidden="false" customHeight="false" outlineLevel="0" collapsed="false">
      <c r="A1273" s="28" t="n">
        <v>126814.919402283</v>
      </c>
      <c r="B1273" s="29" t="n">
        <v>6</v>
      </c>
      <c r="C1273" s="18" t="n">
        <v>4.42142835104744</v>
      </c>
      <c r="D1273" s="18" t="n">
        <v>5.16189646941609</v>
      </c>
      <c r="E1273" s="18" t="n">
        <v>5.32555331503348</v>
      </c>
      <c r="F1273" s="18" t="n">
        <v>5.65485378507228</v>
      </c>
      <c r="G1273" s="18" t="n">
        <v>5.39571500064741</v>
      </c>
      <c r="H1273" s="18" t="n">
        <v>5.27037528613151</v>
      </c>
      <c r="I1273" s="18" t="n">
        <v>5.24272034354339</v>
      </c>
      <c r="J1273" s="18" t="n">
        <v>5.26267354741503</v>
      </c>
    </row>
    <row r="1274" customFormat="false" ht="15" hidden="false" customHeight="false" outlineLevel="0" collapsed="false">
      <c r="A1274" s="28" t="n">
        <v>126914.931168373</v>
      </c>
      <c r="B1274" s="29" t="n">
        <v>6</v>
      </c>
      <c r="C1274" s="18" t="n">
        <v>4.62736667769041</v>
      </c>
      <c r="D1274" s="18" t="n">
        <v>4.97128836535201</v>
      </c>
      <c r="E1274" s="18" t="n">
        <v>5.30232679776374</v>
      </c>
      <c r="F1274" s="18" t="n">
        <v>6.16047688319725</v>
      </c>
      <c r="G1274" s="18" t="n">
        <v>5.42437258328974</v>
      </c>
      <c r="H1274" s="18" t="n">
        <v>5.29573463094422</v>
      </c>
      <c r="I1274" s="18" t="n">
        <v>5.24346792810155</v>
      </c>
      <c r="J1274" s="18" t="n">
        <v>5.25213386245476</v>
      </c>
    </row>
    <row r="1275" customFormat="false" ht="15" hidden="false" customHeight="false" outlineLevel="0" collapsed="false">
      <c r="A1275" s="28" t="n">
        <v>127014.942934463</v>
      </c>
      <c r="B1275" s="29" t="n">
        <v>6</v>
      </c>
      <c r="C1275" s="18" t="n">
        <v>5.25727884753468</v>
      </c>
      <c r="D1275" s="18" t="n">
        <v>5.23617659120594</v>
      </c>
      <c r="E1275" s="18" t="n">
        <v>5.28831488497717</v>
      </c>
      <c r="F1275" s="18" t="n">
        <v>7.16827194352952</v>
      </c>
      <c r="G1275" s="18" t="n">
        <v>5.40823339165752</v>
      </c>
      <c r="H1275" s="18" t="n">
        <v>5.29103734826966</v>
      </c>
      <c r="I1275" s="18" t="n">
        <v>5.24419475808836</v>
      </c>
      <c r="J1275" s="18" t="n">
        <v>5.21783763177412</v>
      </c>
    </row>
    <row r="1276" customFormat="false" ht="15" hidden="false" customHeight="false" outlineLevel="0" collapsed="false">
      <c r="A1276" s="28" t="n">
        <v>127114.954700553</v>
      </c>
      <c r="B1276" s="29" t="n">
        <v>6</v>
      </c>
      <c r="C1276" s="18" t="n">
        <v>9.04988351287077</v>
      </c>
      <c r="D1276" s="18" t="n">
        <v>5.96951620963595</v>
      </c>
      <c r="E1276" s="18" t="n">
        <v>5.2818292238996</v>
      </c>
      <c r="F1276" s="18" t="n">
        <v>5.82433990835444</v>
      </c>
      <c r="G1276" s="18" t="n">
        <v>4.92724955150536</v>
      </c>
      <c r="H1276" s="18" t="n">
        <v>5.26748307628308</v>
      </c>
      <c r="I1276" s="18" t="n">
        <v>5.24487885258286</v>
      </c>
      <c r="J1276" s="18" t="n">
        <v>5.2417005102044</v>
      </c>
    </row>
    <row r="1277" customFormat="false" ht="15" hidden="false" customHeight="false" outlineLevel="0" collapsed="false">
      <c r="A1277" s="28" t="n">
        <v>127214.966466643</v>
      </c>
      <c r="B1277" s="29" t="n">
        <v>6</v>
      </c>
      <c r="C1277" s="18" t="n">
        <v>5.82623736262397</v>
      </c>
      <c r="D1277" s="18" t="n">
        <v>8.26246057454303</v>
      </c>
      <c r="E1277" s="18" t="n">
        <v>5.28156659487433</v>
      </c>
      <c r="F1277" s="18" t="n">
        <v>5.43201723840387</v>
      </c>
      <c r="G1277" s="18" t="n">
        <v>4.8581865257804</v>
      </c>
      <c r="H1277" s="18" t="n">
        <v>5.13876298022676</v>
      </c>
      <c r="I1277" s="18" t="n">
        <v>5.24550675825262</v>
      </c>
      <c r="J1277" s="18" t="n">
        <v>5.26185421356598</v>
      </c>
    </row>
    <row r="1278" customFormat="false" ht="15" hidden="false" customHeight="false" outlineLevel="0" collapsed="false">
      <c r="A1278" s="28" t="n">
        <v>127314.978232733</v>
      </c>
      <c r="B1278" s="29" t="n">
        <v>6</v>
      </c>
      <c r="C1278" s="18" t="n">
        <v>4.41250736802556</v>
      </c>
      <c r="D1278" s="18" t="n">
        <v>5.36292987259846</v>
      </c>
      <c r="E1278" s="18" t="n">
        <v>5.28649559244481</v>
      </c>
      <c r="F1278" s="18" t="n">
        <v>5.56348140900116</v>
      </c>
      <c r="G1278" s="18" t="n">
        <v>5.36530309333282</v>
      </c>
      <c r="H1278" s="18" t="n">
        <v>5.25326298123869</v>
      </c>
      <c r="I1278" s="18" t="n">
        <v>5.24607096426122</v>
      </c>
      <c r="J1278" s="18" t="n">
        <v>5.26369970261911</v>
      </c>
    </row>
    <row r="1279" customFormat="false" ht="15" hidden="false" customHeight="false" outlineLevel="0" collapsed="false">
      <c r="A1279" s="28" t="n">
        <v>127414.989998823</v>
      </c>
      <c r="B1279" s="29" t="n">
        <v>6</v>
      </c>
      <c r="C1279" s="18" t="n">
        <v>4.51820037817939</v>
      </c>
      <c r="D1279" s="18" t="n">
        <v>4.94335835513935</v>
      </c>
      <c r="E1279" s="18" t="n">
        <v>5.29577657056464</v>
      </c>
      <c r="F1279" s="18" t="n">
        <v>5.93218534622998</v>
      </c>
      <c r="G1279" s="18" t="n">
        <v>5.41655098568028</v>
      </c>
      <c r="H1279" s="18" t="n">
        <v>5.29474182950325</v>
      </c>
      <c r="I1279" s="18" t="n">
        <v>5.2465682853733</v>
      </c>
      <c r="J1279" s="18" t="n">
        <v>5.25713616480556</v>
      </c>
    </row>
    <row r="1280" customFormat="false" ht="15" hidden="false" customHeight="false" outlineLevel="0" collapsed="false">
      <c r="A1280" s="28" t="n">
        <v>127515.001764914</v>
      </c>
      <c r="B1280" s="29" t="n">
        <v>6</v>
      </c>
      <c r="C1280" s="18" t="n">
        <v>4.89202949707148</v>
      </c>
      <c r="D1280" s="18" t="n">
        <v>5.15393402475431</v>
      </c>
      <c r="E1280" s="18" t="n">
        <v>5.30870610068668</v>
      </c>
      <c r="F1280" s="18" t="n">
        <v>6.87561865537828</v>
      </c>
      <c r="G1280" s="18" t="n">
        <v>5.42413332484437</v>
      </c>
      <c r="H1280" s="18" t="n">
        <v>5.29313406891996</v>
      </c>
      <c r="I1280" s="18" t="n">
        <v>5.24699874401596</v>
      </c>
      <c r="J1280" s="18" t="n">
        <v>5.23365337162941</v>
      </c>
    </row>
    <row r="1281" customFormat="false" ht="15" hidden="false" customHeight="false" outlineLevel="0" collapsed="false">
      <c r="A1281" s="28" t="n">
        <v>127615.013531004</v>
      </c>
      <c r="B1281" s="29" t="n">
        <v>6</v>
      </c>
      <c r="C1281" s="18" t="n">
        <v>8.70064128583266</v>
      </c>
      <c r="D1281" s="18" t="n">
        <v>5.68328622110768</v>
      </c>
      <c r="E1281" s="18" t="n">
        <v>5.32467854556149</v>
      </c>
      <c r="F1281" s="18" t="n">
        <v>6.27844881950608</v>
      </c>
      <c r="G1281" s="18" t="n">
        <v>5.04240515639722</v>
      </c>
      <c r="H1281" s="18" t="n">
        <v>5.27630727061802</v>
      </c>
      <c r="I1281" s="18" t="n">
        <v>5.2473647444675</v>
      </c>
      <c r="J1281" s="18" t="n">
        <v>5.22599509320778</v>
      </c>
    </row>
    <row r="1282" customFormat="false" ht="15" hidden="false" customHeight="false" outlineLevel="0" collapsed="false">
      <c r="A1282" s="28" t="n">
        <v>127715.025297094</v>
      </c>
      <c r="B1282" s="29" t="n">
        <v>6</v>
      </c>
      <c r="C1282" s="18" t="n">
        <v>9.0321461038629</v>
      </c>
      <c r="D1282" s="18" t="n">
        <v>8.15441889925071</v>
      </c>
      <c r="E1282" s="18" t="n">
        <v>5.34315967226712</v>
      </c>
      <c r="F1282" s="18" t="n">
        <v>5.48251430913271</v>
      </c>
      <c r="G1282" s="18" t="n">
        <v>4.83923038970268</v>
      </c>
      <c r="H1282" s="18" t="n">
        <v>5.15227504520619</v>
      </c>
      <c r="I1282" s="18" t="n">
        <v>5.24767041629223</v>
      </c>
      <c r="J1282" s="18" t="n">
        <v>5.25789115931066</v>
      </c>
    </row>
    <row r="1283" customFormat="false" ht="15" hidden="false" customHeight="false" outlineLevel="0" collapsed="false">
      <c r="A1283" s="28" t="n">
        <v>127815.037063184</v>
      </c>
      <c r="B1283" s="29" t="n">
        <v>6</v>
      </c>
      <c r="C1283" s="18" t="n">
        <v>4.62294799406745</v>
      </c>
      <c r="D1283" s="18" t="n">
        <v>5.73052257269706</v>
      </c>
      <c r="E1283" s="18" t="n">
        <v>5.36366887770262</v>
      </c>
      <c r="F1283" s="18" t="n">
        <v>5.5060970979438</v>
      </c>
      <c r="G1283" s="18" t="n">
        <v>5.31413969905916</v>
      </c>
      <c r="H1283" s="18" t="n">
        <v>5.17839875628827</v>
      </c>
      <c r="I1283" s="18" t="n">
        <v>5.24792106325123</v>
      </c>
      <c r="J1283" s="18" t="n">
        <v>5.26370244953936</v>
      </c>
    </row>
    <row r="1284" customFormat="false" ht="15" hidden="false" customHeight="false" outlineLevel="0" collapsed="false">
      <c r="A1284" s="28" t="n">
        <v>127915.048829274</v>
      </c>
      <c r="B1284" s="29" t="n">
        <v>6</v>
      </c>
      <c r="C1284" s="18" t="n">
        <v>4.44550417510645</v>
      </c>
      <c r="D1284" s="18" t="n">
        <v>4.92395136428356</v>
      </c>
      <c r="E1284" s="18" t="n">
        <v>5.38576765279139</v>
      </c>
      <c r="F1284" s="18" t="n">
        <v>5.78758777739995</v>
      </c>
      <c r="G1284" s="18" t="n">
        <v>5.40383712537719</v>
      </c>
      <c r="H1284" s="18" t="n">
        <v>5.29094408967733</v>
      </c>
      <c r="I1284" s="18" t="n">
        <v>5.2481226879727</v>
      </c>
      <c r="J1284" s="18" t="n">
        <v>5.25998792870563</v>
      </c>
    </row>
    <row r="1285" customFormat="false" ht="15" hidden="false" customHeight="false" outlineLevel="0" collapsed="false">
      <c r="A1285" s="28" t="n">
        <v>128015.060595364</v>
      </c>
      <c r="B1285" s="29" t="n">
        <v>6</v>
      </c>
      <c r="C1285" s="18" t="n">
        <v>4.69780105903101</v>
      </c>
      <c r="D1285" s="18" t="n">
        <v>5.07264373223755</v>
      </c>
      <c r="E1285" s="18" t="n">
        <v>5.40905256713018</v>
      </c>
      <c r="F1285" s="18" t="n">
        <v>6.45803911156964</v>
      </c>
      <c r="G1285" s="18" t="n">
        <v>5.42619281272546</v>
      </c>
      <c r="H1285" s="18" t="n">
        <v>5.29489062206634</v>
      </c>
      <c r="I1285" s="18" t="n">
        <v>5.24828158221616</v>
      </c>
      <c r="J1285" s="18" t="n">
        <v>5.24464525349146</v>
      </c>
    </row>
    <row r="1286" customFormat="false" ht="15" hidden="false" customHeight="false" outlineLevel="0" collapsed="false">
      <c r="A1286" s="28" t="n">
        <v>128115.072361454</v>
      </c>
      <c r="B1286" s="29" t="n">
        <v>6</v>
      </c>
      <c r="C1286" s="18" t="n">
        <v>5.71411688173993</v>
      </c>
      <c r="D1286" s="18" t="n">
        <v>5.47736920746428</v>
      </c>
      <c r="E1286" s="18" t="n">
        <v>5.43315145047038</v>
      </c>
      <c r="F1286" s="18" t="n">
        <v>6.81330669867974</v>
      </c>
      <c r="G1286" s="18" t="n">
        <v>5.38798844146295</v>
      </c>
      <c r="H1286" s="18" t="n">
        <v>5.28317899792292</v>
      </c>
      <c r="I1286" s="18" t="n">
        <v>5.24840398260643</v>
      </c>
      <c r="J1286" s="18" t="n">
        <v>5.21655325744539</v>
      </c>
    </row>
    <row r="1287" customFormat="false" ht="15" hidden="false" customHeight="false" outlineLevel="0" collapsed="false">
      <c r="A1287" s="28" t="n">
        <v>128215.084127544</v>
      </c>
      <c r="B1287" s="29" t="n">
        <v>6</v>
      </c>
      <c r="C1287" s="18" t="n">
        <v>9.13729004021209</v>
      </c>
      <c r="D1287" s="18" t="n">
        <v>7.85421409777582</v>
      </c>
      <c r="E1287" s="18" t="n">
        <v>5.45772169063509</v>
      </c>
      <c r="F1287" s="18" t="n">
        <v>5.60748979577205</v>
      </c>
      <c r="G1287" s="18" t="n">
        <v>4.89327512038874</v>
      </c>
      <c r="H1287" s="18" t="n">
        <v>5.19819651141605</v>
      </c>
      <c r="I1287" s="18" t="n">
        <v>5.24849579506252</v>
      </c>
      <c r="J1287" s="18" t="n">
        <v>5.25169402122928</v>
      </c>
    </row>
    <row r="1288" customFormat="false" ht="15" hidden="false" customHeight="false" outlineLevel="0" collapsed="false">
      <c r="A1288" s="28" t="n">
        <v>128315.095893635</v>
      </c>
      <c r="B1288" s="29" t="n">
        <v>6</v>
      </c>
      <c r="C1288" s="18" t="n">
        <v>5.06943061289653</v>
      </c>
      <c r="D1288" s="18" t="n">
        <v>7.84949595008839</v>
      </c>
      <c r="E1288" s="18" t="n">
        <v>5.48244973656373</v>
      </c>
      <c r="F1288" s="18" t="n">
        <v>5.47630356867934</v>
      </c>
      <c r="G1288" s="18" t="n">
        <v>5.18433124800611</v>
      </c>
      <c r="H1288" s="18" t="n">
        <v>5.12834075092386</v>
      </c>
      <c r="I1288" s="18" t="n">
        <v>5.2485623899256</v>
      </c>
      <c r="J1288" s="18" t="n">
        <v>5.26290705938975</v>
      </c>
    </row>
    <row r="1289" customFormat="false" ht="15" hidden="false" customHeight="false" outlineLevel="0" collapsed="false">
      <c r="A1289" s="28" t="n">
        <v>128415.107659725</v>
      </c>
      <c r="B1289" s="29" t="n">
        <v>6</v>
      </c>
      <c r="C1289" s="18" t="n">
        <v>4.40670507479072</v>
      </c>
      <c r="D1289" s="18" t="n">
        <v>5.00277299935581</v>
      </c>
      <c r="E1289" s="18" t="n">
        <v>5.50705104054841</v>
      </c>
      <c r="F1289" s="18" t="n">
        <v>5.68802568345103</v>
      </c>
      <c r="G1289" s="18" t="n">
        <v>5.38517948772198</v>
      </c>
      <c r="H1289" s="18" t="n">
        <v>5.28211871372672</v>
      </c>
      <c r="I1289" s="18" t="n">
        <v>5.24860869975513</v>
      </c>
      <c r="J1289" s="18" t="n">
        <v>5.26162927732573</v>
      </c>
    </row>
    <row r="1290" customFormat="false" ht="15" hidden="false" customHeight="false" outlineLevel="0" collapsed="false">
      <c r="A1290" s="28" t="n">
        <v>128515.119425815</v>
      </c>
      <c r="B1290" s="29" t="n">
        <v>6</v>
      </c>
      <c r="C1290" s="18" t="n">
        <v>4.5682260885006</v>
      </c>
      <c r="D1290" s="18" t="n">
        <v>5.00984800179529</v>
      </c>
      <c r="E1290" s="18" t="n">
        <v>5.53127050465204</v>
      </c>
      <c r="F1290" s="18" t="n">
        <v>6.18864091480432</v>
      </c>
      <c r="G1290" s="18" t="n">
        <v>5.42115447148733</v>
      </c>
      <c r="H1290" s="18" t="n">
        <v>5.29565967952658</v>
      </c>
      <c r="I1290" s="18" t="n">
        <v>5.24864671687601</v>
      </c>
      <c r="J1290" s="18" t="n">
        <v>5.25099214272101</v>
      </c>
    </row>
    <row r="1291" customFormat="false" ht="15" hidden="false" customHeight="false" outlineLevel="0" collapsed="false">
      <c r="A1291" s="28" t="n">
        <v>128615.131191905</v>
      </c>
      <c r="B1291" s="29" t="n">
        <v>6</v>
      </c>
      <c r="C1291" s="18" t="n">
        <v>5.03762168225808</v>
      </c>
      <c r="D1291" s="18" t="n">
        <v>5.33295968233036</v>
      </c>
      <c r="E1291" s="18" t="n">
        <v>5.55494523793961</v>
      </c>
      <c r="F1291" s="18" t="n">
        <v>7.03512843531821</v>
      </c>
      <c r="G1291" s="18" t="n">
        <v>5.41873730312896</v>
      </c>
      <c r="H1291" s="18" t="n">
        <v>5.28787074866021</v>
      </c>
      <c r="I1291" s="18" t="n">
        <v>5.24868145742861</v>
      </c>
      <c r="J1291" s="18" t="n">
        <v>5.22018837423894</v>
      </c>
    </row>
    <row r="1292" customFormat="false" ht="15" hidden="false" customHeight="false" outlineLevel="0" collapsed="false">
      <c r="A1292" s="28" t="n">
        <v>128715.142957995</v>
      </c>
      <c r="B1292" s="29" t="n">
        <v>6</v>
      </c>
      <c r="C1292" s="18" t="n">
        <v>8.91672953086172</v>
      </c>
      <c r="D1292" s="18" t="n">
        <v>6.61547362380639</v>
      </c>
      <c r="E1292" s="18" t="n">
        <v>5.57804050500155</v>
      </c>
      <c r="F1292" s="18" t="n">
        <v>5.81248768110309</v>
      </c>
      <c r="G1292" s="18" t="n">
        <v>4.96978085922174</v>
      </c>
      <c r="H1292" s="18" t="n">
        <v>5.25300041016139</v>
      </c>
      <c r="I1292" s="18" t="n">
        <v>5.24871281535833</v>
      </c>
      <c r="J1292" s="18" t="n">
        <v>5.24359727325723</v>
      </c>
    </row>
    <row r="1293" customFormat="false" ht="15" hidden="false" customHeight="false" outlineLevel="0" collapsed="false">
      <c r="A1293" s="28" t="n">
        <v>128815.154724085</v>
      </c>
      <c r="B1293" s="29" t="n">
        <v>6</v>
      </c>
      <c r="C1293" s="18" t="n">
        <v>8.69959699834029</v>
      </c>
      <c r="D1293" s="18" t="n">
        <v>8.26659519869045</v>
      </c>
      <c r="E1293" s="18" t="n">
        <v>5.60052890606804</v>
      </c>
      <c r="F1293" s="18" t="n">
        <v>5.47336289027444</v>
      </c>
      <c r="G1293" s="18" t="n">
        <v>4.83730337833618</v>
      </c>
      <c r="H1293" s="18" t="n">
        <v>5.1314643002784</v>
      </c>
      <c r="I1293" s="18" t="n">
        <v>5.2487410202098</v>
      </c>
      <c r="J1293" s="18" t="n">
        <v>5.26136837054508</v>
      </c>
    </row>
    <row r="1294" customFormat="false" ht="15" hidden="false" customHeight="false" outlineLevel="0" collapsed="false">
      <c r="A1294" s="28" t="n">
        <v>128915.166490175</v>
      </c>
      <c r="B1294" s="29" t="n">
        <v>6</v>
      </c>
      <c r="C1294" s="18" t="n">
        <v>4.501194351527</v>
      </c>
      <c r="D1294" s="18" t="n">
        <v>5.16483126666112</v>
      </c>
      <c r="E1294" s="18" t="n">
        <v>5.62238195452504</v>
      </c>
      <c r="F1294" s="18" t="n">
        <v>5.61734302005994</v>
      </c>
      <c r="G1294" s="18" t="n">
        <v>5.34223571285107</v>
      </c>
      <c r="H1294" s="18" t="n">
        <v>5.26994308031293</v>
      </c>
      <c r="I1294" s="18" t="n">
        <v>5.24876629289293</v>
      </c>
      <c r="J1294" s="18" t="n">
        <v>5.26251090615422</v>
      </c>
    </row>
    <row r="1295" customFormat="false" ht="15" hidden="false" customHeight="false" outlineLevel="0" collapsed="false">
      <c r="A1295" s="28" t="n">
        <v>129015.178256265</v>
      </c>
      <c r="B1295" s="29" t="n">
        <v>6</v>
      </c>
      <c r="C1295" s="18" t="n">
        <v>4.47767864360977</v>
      </c>
      <c r="D1295" s="18" t="n">
        <v>4.9720708243891</v>
      </c>
      <c r="E1295" s="18" t="n">
        <v>5.64357201989703</v>
      </c>
      <c r="F1295" s="18" t="n">
        <v>6.01335841378102</v>
      </c>
      <c r="G1295" s="18" t="n">
        <v>5.41075190844843</v>
      </c>
      <c r="H1295" s="18" t="n">
        <v>5.29540612675125</v>
      </c>
      <c r="I1295" s="18" t="n">
        <v>5.24878885396665</v>
      </c>
      <c r="J1295" s="18" t="n">
        <v>5.25498035325897</v>
      </c>
    </row>
    <row r="1296" customFormat="false" ht="15" hidden="false" customHeight="false" outlineLevel="0" collapsed="false">
      <c r="A1296" s="28" t="n">
        <v>129115.190022356</v>
      </c>
      <c r="B1296" s="29" t="n">
        <v>6</v>
      </c>
      <c r="C1296" s="18" t="n">
        <v>4.7836078664109</v>
      </c>
      <c r="D1296" s="18" t="n">
        <v>5.23484075590586</v>
      </c>
      <c r="E1296" s="18" t="n">
        <v>5.66407282980698</v>
      </c>
      <c r="F1296" s="18" t="n">
        <v>6.91920620413874</v>
      </c>
      <c r="G1296" s="18" t="n">
        <v>5.42629863942757</v>
      </c>
      <c r="H1296" s="18" t="n">
        <v>5.29079780723745</v>
      </c>
      <c r="I1296" s="18" t="n">
        <v>5.24880892299595</v>
      </c>
      <c r="J1296" s="18" t="n">
        <v>5.22979087761562</v>
      </c>
    </row>
    <row r="1297" customFormat="false" ht="15" hidden="false" customHeight="false" outlineLevel="0" collapsed="false">
      <c r="A1297" s="28" t="n">
        <v>129215.201788446</v>
      </c>
      <c r="B1297" s="29" t="n">
        <v>6</v>
      </c>
      <c r="C1297" s="18" t="n">
        <v>8.20670953889926</v>
      </c>
      <c r="D1297" s="18" t="n">
        <v>5.95270593543249</v>
      </c>
      <c r="E1297" s="18" t="n">
        <v>5.68386010092705</v>
      </c>
      <c r="F1297" s="18" t="n">
        <v>6.08727995551293</v>
      </c>
      <c r="G1297" s="18" t="n">
        <v>5.33807828267448</v>
      </c>
      <c r="H1297" s="18" t="n">
        <v>5.26765755585486</v>
      </c>
      <c r="I1297" s="18" t="n">
        <v>5.24882671623692</v>
      </c>
      <c r="J1297" s="18" t="n">
        <v>5.23408598162711</v>
      </c>
    </row>
    <row r="1298" customFormat="false" ht="15" hidden="false" customHeight="false" outlineLevel="0" collapsed="false">
      <c r="A1298" s="28" t="n">
        <v>129315.213554536</v>
      </c>
      <c r="B1298" s="29" t="n">
        <v>6</v>
      </c>
      <c r="C1298" s="18" t="n">
        <v>9.18129601642575</v>
      </c>
      <c r="D1298" s="18" t="n">
        <v>8.25192149154994</v>
      </c>
      <c r="E1298" s="18" t="n">
        <v>5.70291214471648</v>
      </c>
      <c r="F1298" s="18" t="n">
        <v>5.49860371200478</v>
      </c>
      <c r="G1298" s="18" t="n">
        <v>4.86393419767887</v>
      </c>
      <c r="H1298" s="18" t="n">
        <v>5.13939713004266</v>
      </c>
      <c r="I1298" s="18" t="n">
        <v>5.24884244462424</v>
      </c>
      <c r="J1298" s="18" t="n">
        <v>5.2589818162263</v>
      </c>
    </row>
    <row r="1299" customFormat="false" ht="15" hidden="false" customHeight="false" outlineLevel="0" collapsed="false">
      <c r="A1299" s="28" t="n">
        <v>129415.225320626</v>
      </c>
      <c r="B1299" s="29" t="n">
        <v>6</v>
      </c>
      <c r="C1299" s="18" t="n">
        <v>4.795824098467</v>
      </c>
      <c r="D1299" s="18" t="n">
        <v>5.37217748532203</v>
      </c>
      <c r="E1299" s="18" t="n">
        <v>5.72121042920477</v>
      </c>
      <c r="F1299" s="18" t="n">
        <v>5.56762949617696</v>
      </c>
      <c r="G1299" s="18" t="n">
        <v>5.27571981059768</v>
      </c>
      <c r="H1299" s="18" t="n">
        <v>5.25226941425238</v>
      </c>
      <c r="I1299" s="18" t="n">
        <v>5.24885631184472</v>
      </c>
      <c r="J1299" s="18" t="n">
        <v>5.26279440273583</v>
      </c>
    </row>
    <row r="1300" customFormat="false" ht="15" hidden="false" customHeight="false" outlineLevel="0" collapsed="false">
      <c r="A1300" s="28" t="n">
        <v>129515.237086716</v>
      </c>
      <c r="B1300" s="29" t="n">
        <v>6</v>
      </c>
      <c r="C1300" s="18" t="n">
        <v>4.42142835603238</v>
      </c>
      <c r="D1300" s="18" t="n">
        <v>4.94207774487448</v>
      </c>
      <c r="E1300" s="18" t="n">
        <v>5.73874007308762</v>
      </c>
      <c r="F1300" s="18" t="n">
        <v>5.89002024448807</v>
      </c>
      <c r="G1300" s="18" t="n">
        <v>5.39571499577287</v>
      </c>
      <c r="H1300" s="18" t="n">
        <v>5.29454192192313</v>
      </c>
      <c r="I1300" s="18" t="n">
        <v>5.24886851258533</v>
      </c>
      <c r="J1300" s="18" t="n">
        <v>5.25760398996207</v>
      </c>
    </row>
    <row r="1301" customFormat="false" ht="15" hidden="false" customHeight="false" outlineLevel="0" collapsed="false">
      <c r="A1301" s="28" t="n">
        <v>129615.248852806</v>
      </c>
      <c r="B1301" s="29" t="n">
        <v>6</v>
      </c>
      <c r="C1301" s="18" t="n">
        <v>4.62736667328601</v>
      </c>
      <c r="D1301" s="18" t="n">
        <v>5.14942109896682</v>
      </c>
      <c r="E1301" s="18" t="n">
        <v>5.75549025049673</v>
      </c>
      <c r="F1301" s="18" t="n">
        <v>6.65613418470934</v>
      </c>
      <c r="G1301" s="18" t="n">
        <v>5.42437257948956</v>
      </c>
      <c r="H1301" s="18" t="n">
        <v>5.29310984037116</v>
      </c>
      <c r="I1301" s="18" t="n">
        <v>5.24887923101356</v>
      </c>
      <c r="J1301" s="18" t="n">
        <v>5.23872367166902</v>
      </c>
    </row>
    <row r="1302" customFormat="false" ht="15" hidden="false" customHeight="false" outlineLevel="0" collapsed="false">
      <c r="A1302" s="28" t="n">
        <v>129715.260618896</v>
      </c>
      <c r="B1302" s="29" t="n">
        <v>6</v>
      </c>
      <c r="C1302" s="18" t="n">
        <v>5.2572787991534</v>
      </c>
      <c r="D1302" s="18" t="n">
        <v>5.66785278341418</v>
      </c>
      <c r="E1302" s="18" t="n">
        <v>5.77145448897776</v>
      </c>
      <c r="F1302" s="18" t="n">
        <v>6.40978244835133</v>
      </c>
      <c r="G1302" s="18" t="n">
        <v>5.40823339095318</v>
      </c>
      <c r="H1302" s="18" t="n">
        <v>5.2766784335167</v>
      </c>
      <c r="I1302" s="18" t="n">
        <v>5.24888863953671</v>
      </c>
      <c r="J1302" s="18" t="n">
        <v>5.22503078834764</v>
      </c>
    </row>
    <row r="1303" customFormat="false" ht="15" hidden="false" customHeight="false" outlineLevel="0" collapsed="false">
      <c r="A1303" s="28" t="n">
        <v>129815.272384987</v>
      </c>
      <c r="B1303" s="29" t="n">
        <v>6</v>
      </c>
      <c r="C1303" s="18" t="n">
        <v>9.049883482563</v>
      </c>
      <c r="D1303" s="18" t="n">
        <v>8.13841727794573</v>
      </c>
      <c r="E1303" s="18" t="n">
        <v>5.78663084860253</v>
      </c>
      <c r="F1303" s="18" t="n">
        <v>5.55640398112848</v>
      </c>
      <c r="G1303" s="18" t="n">
        <v>4.92724955562</v>
      </c>
      <c r="H1303" s="18" t="n">
        <v>5.15380232611089</v>
      </c>
      <c r="I1303" s="18" t="n">
        <v>5.2488968978717</v>
      </c>
      <c r="J1303" s="18" t="n">
        <v>5.25557305042143</v>
      </c>
    </row>
    <row r="1304" customFormat="false" ht="15" hidden="false" customHeight="false" outlineLevel="0" collapsed="false">
      <c r="A1304" s="28" t="n">
        <v>129915.284151077</v>
      </c>
      <c r="B1304" s="29" t="n">
        <v>6</v>
      </c>
      <c r="C1304" s="18" t="n">
        <v>5.82623742317205</v>
      </c>
      <c r="D1304" s="18" t="n">
        <v>5.76862302474144</v>
      </c>
      <c r="E1304" s="18" t="n">
        <v>5.8010219764359</v>
      </c>
      <c r="F1304" s="18" t="n">
        <v>5.53515291944548</v>
      </c>
      <c r="G1304" s="18" t="n">
        <v>4.8581865242829</v>
      </c>
      <c r="H1304" s="18" t="n">
        <v>5.1671767172225</v>
      </c>
      <c r="I1304" s="18" t="n">
        <v>5.24890415244048</v>
      </c>
      <c r="J1304" s="18" t="n">
        <v>5.26258789813835</v>
      </c>
    </row>
    <row r="1305" customFormat="false" ht="15" hidden="false" customHeight="false" outlineLevel="0" collapsed="false">
      <c r="A1305" s="28" t="n">
        <v>130015.295917167</v>
      </c>
      <c r="B1305" s="29" t="n">
        <v>6</v>
      </c>
      <c r="C1305" s="18" t="n">
        <v>4.41250737117021</v>
      </c>
      <c r="D1305" s="18" t="n">
        <v>4.92194426463296</v>
      </c>
      <c r="E1305" s="18" t="n">
        <v>5.81463503721242</v>
      </c>
      <c r="F1305" s="18" t="n">
        <v>5.79941403131105</v>
      </c>
      <c r="G1305" s="18" t="n">
        <v>5.36530309204354</v>
      </c>
      <c r="H1305" s="18" t="n">
        <v>5.29034049359279</v>
      </c>
      <c r="I1305" s="18" t="n">
        <v>5.24891053608937</v>
      </c>
      <c r="J1305" s="18" t="n">
        <v>5.259343636639</v>
      </c>
    </row>
    <row r="1306" customFormat="false" ht="15" hidden="false" customHeight="false" outlineLevel="0" collapsed="false">
      <c r="A1306" s="28" t="n">
        <v>130115.307683257</v>
      </c>
      <c r="B1306" s="29" t="n">
        <v>6</v>
      </c>
      <c r="C1306" s="18" t="n">
        <v>4.51820037802852</v>
      </c>
      <c r="D1306" s="18" t="n">
        <v>5.06493589083391</v>
      </c>
      <c r="E1306" s="18" t="n">
        <v>5.82748152747276</v>
      </c>
      <c r="F1306" s="18" t="n">
        <v>6.41669139369215</v>
      </c>
      <c r="G1306" s="18" t="n">
        <v>5.41655098482216</v>
      </c>
      <c r="H1306" s="18" t="n">
        <v>5.29497442117501</v>
      </c>
      <c r="I1306" s="18" t="n">
        <v>5.24891616811504</v>
      </c>
      <c r="J1306" s="18" t="n">
        <v>5.24495784449938</v>
      </c>
    </row>
    <row r="1307" customFormat="false" ht="15" hidden="false" customHeight="false" outlineLevel="0" collapsed="false">
      <c r="A1307" s="28" t="n">
        <v>130215.319449347</v>
      </c>
      <c r="B1307" s="29" t="n">
        <v>6</v>
      </c>
      <c r="C1307" s="18" t="n">
        <v>4.89202949363621</v>
      </c>
      <c r="D1307" s="18" t="n">
        <v>5.4595625374291</v>
      </c>
      <c r="E1307" s="18" t="n">
        <v>5.83957698602334</v>
      </c>
      <c r="F1307" s="18" t="n">
        <v>6.71247027920871</v>
      </c>
      <c r="G1307" s="18" t="n">
        <v>5.42413332430002</v>
      </c>
      <c r="H1307" s="18" t="n">
        <v>5.28371205312658</v>
      </c>
      <c r="I1307" s="18" t="n">
        <v>5.24892115456721</v>
      </c>
      <c r="J1307" s="18" t="n">
        <v>5.22080470945637</v>
      </c>
    </row>
    <row r="1308" customFormat="false" ht="15" hidden="false" customHeight="false" outlineLevel="0" collapsed="false">
      <c r="A1308" s="28" t="n">
        <v>130315.331215437</v>
      </c>
      <c r="B1308" s="29" t="n">
        <v>6</v>
      </c>
      <c r="C1308" s="18" t="n">
        <v>8.7006412722113</v>
      </c>
      <c r="D1308" s="18" t="n">
        <v>7.79364368000362</v>
      </c>
      <c r="E1308" s="18" t="n">
        <v>5.85094061798719</v>
      </c>
      <c r="F1308" s="18" t="n">
        <v>5.65135037548269</v>
      </c>
      <c r="G1308" s="18" t="n">
        <v>5.04240516071285</v>
      </c>
      <c r="H1308" s="18" t="n">
        <v>5.2098346877363</v>
      </c>
      <c r="I1308" s="18" t="n">
        <v>5.24892558878777</v>
      </c>
      <c r="J1308" s="18" t="n">
        <v>5.25121103797426</v>
      </c>
    </row>
    <row r="1309" customFormat="false" ht="15" hidden="false" customHeight="false" outlineLevel="0" collapsed="false">
      <c r="A1309" s="28" t="n">
        <v>130415.342981527</v>
      </c>
      <c r="B1309" s="29" t="n">
        <v>6</v>
      </c>
      <c r="C1309" s="18" t="n">
        <v>9.0321461039342</v>
      </c>
      <c r="D1309" s="18" t="n">
        <v>7.98843613940979</v>
      </c>
      <c r="E1309" s="18" t="n">
        <v>5.8615948526353</v>
      </c>
      <c r="F1309" s="18" t="n">
        <v>5.51840701674101</v>
      </c>
      <c r="G1309" s="18" t="n">
        <v>4.83923038995934</v>
      </c>
      <c r="H1309" s="18" t="n">
        <v>5.12828621875267</v>
      </c>
      <c r="I1309" s="18" t="n">
        <v>5.24892955214043</v>
      </c>
      <c r="J1309" s="18" t="n">
        <v>5.26196316324734</v>
      </c>
    </row>
    <row r="1310" customFormat="false" ht="15" hidden="false" customHeight="false" outlineLevel="0" collapsed="false">
      <c r="A1310" s="28" t="n">
        <v>130515.354747617</v>
      </c>
      <c r="B1310" s="29" t="n">
        <v>6</v>
      </c>
      <c r="C1310" s="18" t="n">
        <v>4.62294799534411</v>
      </c>
      <c r="D1310" s="18" t="n">
        <v>5.01943106731909</v>
      </c>
      <c r="E1310" s="18" t="n">
        <v>5.87156485653079</v>
      </c>
      <c r="F1310" s="18" t="n">
        <v>5.73169456631102</v>
      </c>
      <c r="G1310" s="18" t="n">
        <v>5.31413969870899</v>
      </c>
      <c r="H1310" s="18" t="n">
        <v>5.28096655665636</v>
      </c>
      <c r="I1310" s="18" t="n">
        <v>5.24893311488212</v>
      </c>
      <c r="J1310" s="18" t="n">
        <v>5.26046416330337</v>
      </c>
    </row>
    <row r="1311" customFormat="false" ht="15" hidden="false" customHeight="false" outlineLevel="0" collapsed="false">
      <c r="A1311" s="28" t="n">
        <v>130615.366513708</v>
      </c>
      <c r="B1311" s="29" t="n">
        <v>6</v>
      </c>
      <c r="C1311" s="18" t="n">
        <v>4.44550417522715</v>
      </c>
      <c r="D1311" s="18" t="n">
        <v>5.00909192218456</v>
      </c>
      <c r="E1311" s="18" t="n">
        <v>5.8808780233555</v>
      </c>
      <c r="F1311" s="18" t="n">
        <v>6.2407971923436</v>
      </c>
      <c r="G1311" s="18" t="n">
        <v>5.40383712518697</v>
      </c>
      <c r="H1311" s="18" t="n">
        <v>5.29554387852484</v>
      </c>
      <c r="I1311" s="18" t="n">
        <v>5.2489363371283</v>
      </c>
      <c r="J1311" s="18" t="n">
        <v>5.24923486483824</v>
      </c>
    </row>
    <row r="1312" customFormat="false" ht="15" hidden="false" customHeight="false" outlineLevel="0" collapsed="false">
      <c r="A1312" s="28" t="n">
        <v>130715.378279798</v>
      </c>
      <c r="B1312" s="29" t="n">
        <v>6</v>
      </c>
      <c r="C1312" s="18" t="n">
        <v>4.6978010587336</v>
      </c>
      <c r="D1312" s="18" t="n">
        <v>5.32809212886404</v>
      </c>
      <c r="E1312" s="18" t="n">
        <v>5.88956346033019</v>
      </c>
      <c r="F1312" s="18" t="n">
        <v>6.87397916649862</v>
      </c>
      <c r="G1312" s="18" t="n">
        <v>5.42619281257969</v>
      </c>
      <c r="H1312" s="18" t="n">
        <v>5.28797311052331</v>
      </c>
      <c r="I1312" s="18" t="n">
        <v>5.24893926986791</v>
      </c>
      <c r="J1312" s="18" t="n">
        <v>5.22230207945195</v>
      </c>
    </row>
    <row r="1313" customFormat="false" ht="15" hidden="false" customHeight="false" outlineLevel="0" collapsed="false">
      <c r="A1313" s="28" t="n">
        <v>130815.390045888</v>
      </c>
      <c r="B1313" s="29" t="n">
        <v>6</v>
      </c>
      <c r="C1313" s="18" t="n">
        <v>5.7141168754532</v>
      </c>
      <c r="D1313" s="18" t="n">
        <v>6.55008756995501</v>
      </c>
      <c r="E1313" s="18" t="n">
        <v>5.89765148868706</v>
      </c>
      <c r="F1313" s="18" t="n">
        <v>5.7798222494466</v>
      </c>
      <c r="G1313" s="18" t="n">
        <v>5.3879884415522</v>
      </c>
      <c r="H1313" s="18" t="n">
        <v>5.25398727855868</v>
      </c>
      <c r="I1313" s="18" t="n">
        <v>5.24894195598881</v>
      </c>
      <c r="J1313" s="18" t="n">
        <v>5.24620972869431</v>
      </c>
    </row>
    <row r="1314" customFormat="false" ht="15" hidden="false" customHeight="false" outlineLevel="0" collapsed="false">
      <c r="A1314" s="28" t="n">
        <v>130915.401811978</v>
      </c>
      <c r="B1314" s="29" t="n">
        <v>6</v>
      </c>
      <c r="C1314" s="18" t="n">
        <v>9.13729003926136</v>
      </c>
      <c r="D1314" s="18" t="n">
        <v>8.26721316778863</v>
      </c>
      <c r="E1314" s="18" t="n">
        <v>5.90517317255066</v>
      </c>
      <c r="F1314" s="18" t="n">
        <v>5.51675182744116</v>
      </c>
      <c r="G1314" s="18" t="n">
        <v>4.89327512051658</v>
      </c>
      <c r="H1314" s="18" t="n">
        <v>5.13180446117141</v>
      </c>
      <c r="I1314" s="18" t="n">
        <v>5.24894443128145</v>
      </c>
      <c r="J1314" s="18" t="n">
        <v>5.26095569550633</v>
      </c>
    </row>
    <row r="1315" customFormat="false" ht="15" hidden="false" customHeight="false" outlineLevel="0" collapsed="false">
      <c r="A1315" s="28" t="n">
        <v>131015.413578068</v>
      </c>
      <c r="B1315" s="29" t="n">
        <v>6</v>
      </c>
      <c r="C1315" s="18" t="n">
        <v>5.06943061346879</v>
      </c>
      <c r="D1315" s="18" t="n">
        <v>5.17308999232807</v>
      </c>
      <c r="E1315" s="18" t="n">
        <v>5.91215988716954</v>
      </c>
      <c r="F1315" s="18" t="n">
        <v>5.68147639185216</v>
      </c>
      <c r="G1315" s="18" t="n">
        <v>5.1843312476909</v>
      </c>
      <c r="H1315" s="18" t="n">
        <v>5.26928656623484</v>
      </c>
      <c r="I1315" s="18" t="n">
        <v>5.24894672539538</v>
      </c>
      <c r="J1315" s="18" t="n">
        <v>5.26111916438007</v>
      </c>
    </row>
    <row r="1316" customFormat="false" ht="15" hidden="false" customHeight="false" outlineLevel="0" collapsed="false">
      <c r="A1316" s="28" t="n">
        <v>131115.425344158</v>
      </c>
      <c r="B1316" s="29" t="n">
        <v>6</v>
      </c>
      <c r="C1316" s="18" t="n">
        <v>4.40670507484967</v>
      </c>
      <c r="D1316" s="18" t="n">
        <v>4.97060247966037</v>
      </c>
      <c r="E1316" s="18" t="n">
        <v>5.91864293401656</v>
      </c>
      <c r="F1316" s="18" t="n">
        <v>6.11301846815849</v>
      </c>
      <c r="G1316" s="18" t="n">
        <v>5.38517948767336</v>
      </c>
      <c r="H1316" s="18" t="n">
        <v>5.29535748115159</v>
      </c>
      <c r="I1316" s="18" t="n">
        <v>5.24894886273026</v>
      </c>
      <c r="J1316" s="18" t="n">
        <v>5.25221497297864</v>
      </c>
    </row>
    <row r="1317" customFormat="false" ht="15" hidden="false" customHeight="false" outlineLevel="0" collapsed="false">
      <c r="A1317" s="28" t="n">
        <v>131215.437110248</v>
      </c>
      <c r="B1317" s="29" t="n">
        <v>6</v>
      </c>
      <c r="C1317" s="18" t="n">
        <v>4.56822608847901</v>
      </c>
      <c r="D1317" s="18" t="n">
        <v>5.23060356730758</v>
      </c>
      <c r="E1317" s="18" t="n">
        <v>5.92465320707797</v>
      </c>
      <c r="F1317" s="18" t="n">
        <v>6.87345159032332</v>
      </c>
      <c r="G1317" s="18" t="n">
        <v>5.42115447145359</v>
      </c>
      <c r="H1317" s="18" t="n">
        <v>5.29089776886741</v>
      </c>
      <c r="I1317" s="18" t="n">
        <v>5.24895086324925</v>
      </c>
      <c r="J1317" s="18" t="n">
        <v>5.22700338125267</v>
      </c>
    </row>
    <row r="1318" customFormat="false" ht="15" hidden="false" customHeight="false" outlineLevel="0" collapsed="false">
      <c r="A1318" s="28" t="n">
        <v>131315.448876338</v>
      </c>
      <c r="B1318" s="29" t="n">
        <v>6</v>
      </c>
      <c r="C1318" s="18" t="n">
        <v>5.03762168203465</v>
      </c>
      <c r="D1318" s="18" t="n">
        <v>5.93466437235449</v>
      </c>
      <c r="E1318" s="18" t="n">
        <v>5.93022091184789</v>
      </c>
      <c r="F1318" s="18" t="n">
        <v>5.93078627186539</v>
      </c>
      <c r="G1318" s="18" t="n">
        <v>5.41873730311264</v>
      </c>
      <c r="H1318" s="18" t="n">
        <v>5.26816651569079</v>
      </c>
      <c r="I1318" s="18" t="n">
        <v>5.24895274320842</v>
      </c>
      <c r="J1318" s="18" t="n">
        <v>5.24100049371604</v>
      </c>
    </row>
    <row r="1319" customFormat="false" ht="15" hidden="false" customHeight="false" outlineLevel="0" collapsed="false">
      <c r="A1319" s="28" t="n">
        <v>131415.460642429</v>
      </c>
      <c r="B1319" s="29" t="n">
        <v>6</v>
      </c>
      <c r="C1319" s="18" t="n">
        <v>8.9167295305128</v>
      </c>
      <c r="D1319" s="18" t="n">
        <v>8.24810369831987</v>
      </c>
      <c r="E1319" s="18" t="n">
        <v>5.93537533622914</v>
      </c>
      <c r="F1319" s="18" t="n">
        <v>5.52974367824074</v>
      </c>
      <c r="G1319" s="18" t="n">
        <v>4.96978085927823</v>
      </c>
      <c r="H1319" s="18" t="n">
        <v>5.13991275521701</v>
      </c>
      <c r="I1319" s="18" t="n">
        <v>5.24895451580022</v>
      </c>
      <c r="J1319" s="18" t="n">
        <v>5.25959315887183</v>
      </c>
    </row>
    <row r="1320" customFormat="false" ht="15" hidden="false" customHeight="false" outlineLevel="0" collapsed="false">
      <c r="A1320" s="28" t="n">
        <v>131515.472408519</v>
      </c>
      <c r="B1320" s="29" t="n">
        <v>6</v>
      </c>
      <c r="C1320" s="18" t="n">
        <v>8.69959699844077</v>
      </c>
      <c r="D1320" s="18" t="n">
        <v>5.38401330269893</v>
      </c>
      <c r="E1320" s="18" t="n">
        <v>5.94014467075084</v>
      </c>
      <c r="F1320" s="18" t="n">
        <v>5.64584166769934</v>
      </c>
      <c r="G1320" s="18" t="n">
        <v>4.83730337833496</v>
      </c>
      <c r="H1320" s="18" t="n">
        <v>5.25102760644226</v>
      </c>
      <c r="I1320" s="18" t="n">
        <v>5.24895619171268</v>
      </c>
      <c r="J1320" s="18" t="n">
        <v>5.26140113231675</v>
      </c>
    </row>
    <row r="1321" customFormat="false" ht="15" hidden="false" customHeight="false" outlineLevel="0" collapsed="false">
      <c r="A1321" s="28" t="n">
        <v>131615.484174609</v>
      </c>
      <c r="B1321" s="29" t="n">
        <v>6</v>
      </c>
      <c r="C1321" s="18" t="n">
        <v>4.50119435156439</v>
      </c>
      <c r="D1321" s="18" t="n">
        <v>4.93829541514112</v>
      </c>
      <c r="E1321" s="18" t="n">
        <v>5.94455587423207</v>
      </c>
      <c r="F1321" s="18" t="n">
        <v>6.01940378209279</v>
      </c>
      <c r="G1321" s="18" t="n">
        <v>5.34223571283887</v>
      </c>
      <c r="H1321" s="18" t="n">
        <v>5.29450571337578</v>
      </c>
      <c r="I1321" s="18" t="n">
        <v>5.24895777960869</v>
      </c>
      <c r="J1321" s="18" t="n">
        <v>5.25428153867538</v>
      </c>
    </row>
    <row r="1322" customFormat="false" ht="15" hidden="false" customHeight="false" outlineLevel="0" collapsed="false">
      <c r="A1322" s="28" t="n">
        <v>131715.495940699</v>
      </c>
      <c r="B1322" s="29" t="n">
        <v>6</v>
      </c>
      <c r="C1322" s="18" t="n">
        <v>4.47767864361135</v>
      </c>
      <c r="D1322" s="18" t="n">
        <v>5.14147271785266</v>
      </c>
      <c r="E1322" s="18" t="n">
        <v>5.94863458020328</v>
      </c>
      <c r="F1322" s="18" t="n">
        <v>6.77475111428924</v>
      </c>
      <c r="G1322" s="18" t="n">
        <v>5.41075190844094</v>
      </c>
      <c r="H1322" s="18" t="n">
        <v>5.29331285315047</v>
      </c>
      <c r="I1322" s="18" t="n">
        <v>5.24895928653131</v>
      </c>
      <c r="J1322" s="18" t="n">
        <v>5.23241847865107</v>
      </c>
    </row>
    <row r="1323" customFormat="false" ht="15" hidden="false" customHeight="false" outlineLevel="0" collapsed="false">
      <c r="A1323" s="28" t="n">
        <v>131815.507706789</v>
      </c>
      <c r="B1323" s="29" t="n">
        <v>6</v>
      </c>
      <c r="C1323" s="18" t="n">
        <v>4.78360786639191</v>
      </c>
      <c r="D1323" s="18" t="n">
        <v>5.64655840663969</v>
      </c>
      <c r="E1323" s="18" t="n">
        <v>5.95240503897395</v>
      </c>
      <c r="F1323" s="18" t="n">
        <v>6.08831857986559</v>
      </c>
      <c r="G1323" s="18" t="n">
        <v>5.42629863942218</v>
      </c>
      <c r="H1323" s="18" t="n">
        <v>5.27738853268235</v>
      </c>
      <c r="I1323" s="18" t="n">
        <v>5.24896071824221</v>
      </c>
      <c r="J1323" s="18" t="n">
        <v>5.23622427374513</v>
      </c>
    </row>
    <row r="1324" customFormat="false" ht="15" hidden="false" customHeight="false" outlineLevel="0" collapsed="false">
      <c r="A1324" s="28" t="n">
        <v>131915.519472879</v>
      </c>
      <c r="B1324" s="29" t="n">
        <v>6</v>
      </c>
      <c r="C1324" s="18" t="n">
        <v>8.20670953856639</v>
      </c>
      <c r="D1324" s="18" t="n">
        <v>8.1209223206862</v>
      </c>
      <c r="E1324" s="18" t="n">
        <v>5.95589009013155</v>
      </c>
      <c r="F1324" s="18" t="n">
        <v>5.55660361806231</v>
      </c>
      <c r="G1324" s="18" t="n">
        <v>5.33807828269975</v>
      </c>
      <c r="H1324" s="18" t="n">
        <v>5.155863413659</v>
      </c>
      <c r="I1324" s="18" t="n">
        <v>5.24896207950087</v>
      </c>
      <c r="J1324" s="18" t="n">
        <v>5.25792688974355</v>
      </c>
    </row>
    <row r="1325" customFormat="false" ht="15" hidden="false" customHeight="false" outlineLevel="0" collapsed="false">
      <c r="A1325" s="28" t="n">
        <v>132015.531238969</v>
      </c>
      <c r="B1325" s="29" t="n">
        <v>6</v>
      </c>
      <c r="C1325" s="18" t="n">
        <v>9.18129601640509</v>
      </c>
      <c r="D1325" s="18" t="n">
        <v>5.83278559289058</v>
      </c>
      <c r="E1325" s="18" t="n">
        <v>5.95911116039636</v>
      </c>
      <c r="F1325" s="18" t="n">
        <v>5.62325822585097</v>
      </c>
      <c r="G1325" s="18" t="n">
        <v>4.86393419768285</v>
      </c>
      <c r="H1325" s="18" t="n">
        <v>5.15561921384101</v>
      </c>
      <c r="I1325" s="18" t="n">
        <v>5.24896337429196</v>
      </c>
      <c r="J1325" s="18" t="n">
        <v>5.26137557842819</v>
      </c>
    </row>
    <row r="1326" customFormat="false" ht="15" hidden="false" customHeight="false" outlineLevel="0" collapsed="false">
      <c r="A1326" s="28" t="n">
        <v>132115.543005059</v>
      </c>
      <c r="B1326" s="29" t="n">
        <v>6</v>
      </c>
      <c r="C1326" s="18" t="n">
        <v>4.79582409848116</v>
      </c>
      <c r="D1326" s="18" t="n">
        <v>4.92245600302339</v>
      </c>
      <c r="E1326" s="18" t="n">
        <v>5.9620882820679</v>
      </c>
      <c r="F1326" s="18" t="n">
        <v>5.95172137063935</v>
      </c>
      <c r="G1326" s="18" t="n">
        <v>5.27571981059388</v>
      </c>
      <c r="H1326" s="18" t="n">
        <v>5.28966767841708</v>
      </c>
      <c r="I1326" s="18" t="n">
        <v>5.24896460600832</v>
      </c>
      <c r="J1326" s="18" t="n">
        <v>5.25566243458287</v>
      </c>
    </row>
    <row r="1327" customFormat="false" ht="15" hidden="false" customHeight="false" outlineLevel="0" collapsed="false">
      <c r="A1327" s="28" t="n">
        <v>132215.55477115</v>
      </c>
      <c r="B1327" s="29" t="n">
        <v>6</v>
      </c>
      <c r="C1327" s="18" t="n">
        <v>4.42142835603364</v>
      </c>
      <c r="D1327" s="18" t="n">
        <v>5.05865340496223</v>
      </c>
      <c r="E1327" s="18" t="n">
        <v>5.96484012772201</v>
      </c>
      <c r="F1327" s="18" t="n">
        <v>6.64515780235895</v>
      </c>
      <c r="G1327" s="18" t="n">
        <v>5.39571499577123</v>
      </c>
      <c r="H1327" s="18" t="n">
        <v>5.29507779390125</v>
      </c>
      <c r="I1327" s="18" t="n">
        <v>5.24896577759634</v>
      </c>
      <c r="J1327" s="18" t="n">
        <v>5.23697624947911</v>
      </c>
    </row>
    <row r="1328" customFormat="false" ht="15" hidden="false" customHeight="false" outlineLevel="0" collapsed="false">
      <c r="A1328" s="28" t="n">
        <v>132315.56653724</v>
      </c>
      <c r="B1328" s="29" t="n">
        <v>6</v>
      </c>
      <c r="C1328" s="18" t="n">
        <v>4.62736667328415</v>
      </c>
      <c r="D1328" s="18" t="n">
        <v>5.44537746685093</v>
      </c>
      <c r="E1328" s="18" t="n">
        <v>5.96738405730332</v>
      </c>
      <c r="F1328" s="18" t="n">
        <v>6.23131592807557</v>
      </c>
      <c r="G1328" s="18" t="n">
        <v>5.42437257948829</v>
      </c>
      <c r="H1328" s="18" t="n">
        <v>5.28418283503897</v>
      </c>
      <c r="I1328" s="18" t="n">
        <v>5.2489668916697</v>
      </c>
      <c r="J1328" s="18" t="n">
        <v>5.23261800488826</v>
      </c>
    </row>
    <row r="1329" customFormat="false" ht="15" hidden="false" customHeight="false" outlineLevel="0" collapsed="false">
      <c r="A1329" s="28" t="n">
        <v>132415.57830333</v>
      </c>
      <c r="B1329" s="29" t="n">
        <v>6</v>
      </c>
      <c r="C1329" s="18" t="n">
        <v>5.25727879913663</v>
      </c>
      <c r="D1329" s="18" t="n">
        <v>7.73949544992126</v>
      </c>
      <c r="E1329" s="18" t="n">
        <v>5.96973617426325</v>
      </c>
      <c r="F1329" s="18" t="n">
        <v>5.59485306696146</v>
      </c>
      <c r="G1329" s="18" t="n">
        <v>5.40823339095296</v>
      </c>
      <c r="H1329" s="18" t="n">
        <v>5.21815727205257</v>
      </c>
      <c r="I1329" s="18" t="n">
        <v>5.24896795059734</v>
      </c>
      <c r="J1329" s="18" t="n">
        <v>5.25607921022938</v>
      </c>
    </row>
    <row r="1330" customFormat="false" ht="15" hidden="false" customHeight="false" outlineLevel="0" collapsed="false">
      <c r="A1330" s="28" t="n">
        <v>132515.59006942</v>
      </c>
      <c r="B1330" s="29" t="n">
        <v>6</v>
      </c>
      <c r="C1330" s="18" t="n">
        <v>9.04988348255268</v>
      </c>
      <c r="D1330" s="18" t="n">
        <v>8.06643829366193</v>
      </c>
      <c r="E1330" s="18" t="n">
        <v>5.9719113878966</v>
      </c>
      <c r="F1330" s="18" t="n">
        <v>5.61249307484669</v>
      </c>
      <c r="G1330" s="18" t="n">
        <v>4.92724955562133</v>
      </c>
      <c r="H1330" s="18" t="n">
        <v>5.1283050866692</v>
      </c>
      <c r="I1330" s="18" t="n">
        <v>5.24896895657001</v>
      </c>
      <c r="J1330" s="18" t="n">
        <v>5.26110019202408</v>
      </c>
    </row>
    <row r="1331" customFormat="false" ht="15" hidden="false" customHeight="false" outlineLevel="0" collapsed="false">
      <c r="A1331" s="28" t="n">
        <v>132615.60183551</v>
      </c>
      <c r="B1331" s="29" t="n">
        <v>6</v>
      </c>
      <c r="C1331" s="18" t="n">
        <v>5.82623742319173</v>
      </c>
      <c r="D1331" s="18" t="n">
        <v>5.03259831288453</v>
      </c>
      <c r="E1331" s="18" t="n">
        <v>5.97392347950232</v>
      </c>
      <c r="F1331" s="18" t="n">
        <v>5.90492779768384</v>
      </c>
      <c r="G1331" s="18" t="n">
        <v>4.85818652428234</v>
      </c>
      <c r="H1331" s="18" t="n">
        <v>5.28005367506065</v>
      </c>
      <c r="I1331" s="18" t="n">
        <v>5.24896991164994</v>
      </c>
      <c r="J1331" s="18" t="n">
        <v>5.25650451504656</v>
      </c>
    </row>
    <row r="1332" customFormat="false" ht="15" hidden="false" customHeight="false" outlineLevel="0" collapsed="false">
      <c r="A1332" s="28" t="n">
        <v>132715.6136016</v>
      </c>
      <c r="B1332" s="29" t="n">
        <v>6</v>
      </c>
      <c r="C1332" s="18" t="n">
        <v>4.41250737117091</v>
      </c>
      <c r="D1332" s="18" t="n">
        <v>5.00772977717245</v>
      </c>
      <c r="E1332" s="18" t="n">
        <v>5.97578517042998</v>
      </c>
      <c r="F1332" s="18" t="n">
        <v>6.52853352113038</v>
      </c>
      <c r="G1332" s="18" t="n">
        <v>5.36530309204314</v>
      </c>
      <c r="H1332" s="18" t="n">
        <v>5.29549300353943</v>
      </c>
      <c r="I1332" s="18" t="n">
        <v>5.2489708178068</v>
      </c>
      <c r="J1332" s="18" t="n">
        <v>5.24031303488</v>
      </c>
    </row>
    <row r="1333" customFormat="false" ht="15" hidden="false" customHeight="false" outlineLevel="0" collapsed="false">
      <c r="A1333" s="28" t="n">
        <v>132815.62536769</v>
      </c>
      <c r="B1333" s="29" t="n">
        <v>6</v>
      </c>
      <c r="C1333" s="18" t="n">
        <v>4.51820037802818</v>
      </c>
      <c r="D1333" s="18" t="n">
        <v>5.32297851027386</v>
      </c>
      <c r="E1333" s="18" t="n">
        <v>5.97750819046203</v>
      </c>
      <c r="F1333" s="18" t="n">
        <v>6.33967107716734</v>
      </c>
      <c r="G1333" s="18" t="n">
        <v>5.4165509848219</v>
      </c>
      <c r="H1333" s="18" t="n">
        <v>5.28812094529719</v>
      </c>
      <c r="I1333" s="18" t="n">
        <v>5.24897167694307</v>
      </c>
      <c r="J1333" s="18" t="n">
        <v>5.23070972747068</v>
      </c>
    </row>
    <row r="1334" customFormat="false" ht="15" hidden="false" customHeight="false" outlineLevel="0" collapsed="false">
      <c r="A1334" s="28" t="n">
        <v>132915.637133781</v>
      </c>
      <c r="B1334" s="29" t="n">
        <v>6</v>
      </c>
      <c r="C1334" s="18" t="n">
        <v>4.89202949363494</v>
      </c>
      <c r="D1334" s="18" t="n">
        <v>6.4937866960277</v>
      </c>
      <c r="E1334" s="18" t="n">
        <v>5.97910334532186</v>
      </c>
      <c r="F1334" s="18" t="n">
        <v>5.64004211170184</v>
      </c>
      <c r="G1334" s="18" t="n">
        <v>5.42413332429986</v>
      </c>
      <c r="H1334" s="18" t="n">
        <v>5.25493896562069</v>
      </c>
      <c r="I1334" s="18" t="n">
        <v>5.24897249091119</v>
      </c>
      <c r="J1334" s="18" t="n">
        <v>5.25424844160811</v>
      </c>
    </row>
    <row r="1335" customFormat="false" ht="15" hidden="false" customHeight="false" outlineLevel="0" collapsed="false">
      <c r="A1335" s="28" t="n">
        <v>133015.648899871</v>
      </c>
      <c r="B1335" s="29" t="n">
        <v>6</v>
      </c>
      <c r="C1335" s="18" t="n">
        <v>8.7006412722078</v>
      </c>
      <c r="D1335" s="18" t="n">
        <v>8.26860209695812</v>
      </c>
      <c r="E1335" s="18" t="n">
        <v>5.98058058238943</v>
      </c>
      <c r="F1335" s="18" t="n">
        <v>5.6123093856193</v>
      </c>
      <c r="G1335" s="18" t="n">
        <v>5.042405160714</v>
      </c>
      <c r="H1335" s="18" t="n">
        <v>5.13211186313074</v>
      </c>
      <c r="I1335" s="18" t="n">
        <v>5.24897326152446</v>
      </c>
      <c r="J1335" s="18" t="n">
        <v>5.26063313044267</v>
      </c>
    </row>
    <row r="1336" customFormat="false" ht="15" hidden="false" customHeight="false" outlineLevel="0" collapsed="false">
      <c r="A1336" s="28" t="n">
        <v>133115.660665961</v>
      </c>
      <c r="B1336" s="29" t="n">
        <v>6</v>
      </c>
      <c r="C1336" s="18" t="n">
        <v>9.0321461039346</v>
      </c>
      <c r="D1336" s="18" t="n">
        <v>5.1811074608003</v>
      </c>
      <c r="E1336" s="18" t="n">
        <v>5.98194905395104</v>
      </c>
      <c r="F1336" s="18" t="n">
        <v>5.8757127693195</v>
      </c>
      <c r="G1336" s="18" t="n">
        <v>4.83923038995928</v>
      </c>
      <c r="H1336" s="18" t="n">
        <v>5.26862922389135</v>
      </c>
      <c r="I1336" s="18" t="n">
        <v>5.24897399056323</v>
      </c>
      <c r="J1336" s="18" t="n">
        <v>5.25690973674552</v>
      </c>
    </row>
    <row r="1337" customFormat="false" ht="15" hidden="false" customHeight="false" outlineLevel="0" collapsed="false">
      <c r="A1337" s="28" t="n">
        <v>133215.672432051</v>
      </c>
      <c r="B1337" s="29" t="n">
        <v>6</v>
      </c>
      <c r="C1337" s="18" t="n">
        <v>4.62294799534394</v>
      </c>
      <c r="D1337" s="18" t="n">
        <v>4.9681674452101</v>
      </c>
      <c r="E1337" s="18" t="n">
        <v>5.98321717751416</v>
      </c>
      <c r="F1337" s="18" t="n">
        <v>6.43927412890501</v>
      </c>
      <c r="G1337" s="18" t="n">
        <v>5.31413969870892</v>
      </c>
      <c r="H1337" s="18" t="n">
        <v>5.29534636368031</v>
      </c>
      <c r="I1337" s="18" t="n">
        <v>5.24897467977782</v>
      </c>
      <c r="J1337" s="18" t="n">
        <v>5.24256535829247</v>
      </c>
    </row>
    <row r="1338" customFormat="false" ht="15" hidden="false" customHeight="false" outlineLevel="0" collapsed="false">
      <c r="A1338" s="28" t="n">
        <v>133315.684198141</v>
      </c>
      <c r="B1338" s="29" t="n">
        <v>6</v>
      </c>
      <c r="C1338" s="18" t="n">
        <v>4.44550417522679</v>
      </c>
      <c r="D1338" s="18" t="n">
        <v>5.22492082639797</v>
      </c>
      <c r="E1338" s="18" t="n">
        <v>5.984392692883</v>
      </c>
      <c r="F1338" s="18" t="n">
        <v>6.40164512010396</v>
      </c>
      <c r="G1338" s="18" t="n">
        <v>5.40383712518694</v>
      </c>
      <c r="H1338" s="18" t="n">
        <v>5.29106059650871</v>
      </c>
      <c r="I1338" s="18" t="n">
        <v>5.24897533088897</v>
      </c>
      <c r="J1338" s="18" t="n">
        <v>5.23044648926127</v>
      </c>
    </row>
    <row r="1339" customFormat="false" ht="15" hidden="false" customHeight="false" outlineLevel="0" collapsed="false">
      <c r="A1339" s="28" t="n">
        <v>133415.695964231</v>
      </c>
      <c r="B1339" s="29" t="n">
        <v>6</v>
      </c>
      <c r="C1339" s="18" t="n">
        <v>4.69780105873317</v>
      </c>
      <c r="D1339" s="18" t="n">
        <v>5.91252635311106</v>
      </c>
      <c r="E1339" s="18" t="n">
        <v>5.98548271582317</v>
      </c>
      <c r="F1339" s="18" t="n">
        <v>5.6862222303781</v>
      </c>
      <c r="G1339" s="18" t="n">
        <v>5.42619281257968</v>
      </c>
      <c r="H1339" s="18" t="n">
        <v>5.26882873837381</v>
      </c>
      <c r="I1339" s="18" t="n">
        <v>5.24897594558678</v>
      </c>
      <c r="J1339" s="18" t="n">
        <v>5.25265910998887</v>
      </c>
    </row>
    <row r="1340" customFormat="false" ht="15" hidden="false" customHeight="false" outlineLevel="0" collapsed="false">
      <c r="A1340" s="28" t="n">
        <v>133515.707730321</v>
      </c>
      <c r="B1340" s="29" t="n">
        <v>6</v>
      </c>
      <c r="C1340" s="18" t="n">
        <v>5.71411687545167</v>
      </c>
      <c r="D1340" s="18" t="n">
        <v>8.24371026135139</v>
      </c>
      <c r="E1340" s="18" t="n">
        <v>5.98649378824885</v>
      </c>
      <c r="F1340" s="18" t="n">
        <v>5.62126047426424</v>
      </c>
      <c r="G1340" s="18" t="n">
        <v>5.38798844155224</v>
      </c>
      <c r="H1340" s="18" t="n">
        <v>5.1405689348669</v>
      </c>
      <c r="I1340" s="18" t="n">
        <v>5.24897652552858</v>
      </c>
      <c r="J1340" s="18" t="n">
        <v>5.26003461437383</v>
      </c>
    </row>
    <row r="1341" customFormat="false" ht="15" hidden="false" customHeight="false" outlineLevel="0" collapsed="false">
      <c r="A1341" s="28" t="n">
        <v>133615.719496411</v>
      </c>
      <c r="B1341" s="29" t="n">
        <v>6</v>
      </c>
      <c r="C1341" s="18" t="n">
        <v>9.13729003926187</v>
      </c>
      <c r="D1341" s="18" t="n">
        <v>5.39969402997029</v>
      </c>
      <c r="E1341" s="18" t="n">
        <v>5.98743192494463</v>
      </c>
      <c r="F1341" s="18" t="n">
        <v>5.86167538900792</v>
      </c>
      <c r="G1341" s="18" t="n">
        <v>4.89327512051656</v>
      </c>
      <c r="H1341" s="18" t="n">
        <v>5.24933995630121</v>
      </c>
      <c r="I1341" s="18" t="n">
        <v>5.24897707233636</v>
      </c>
      <c r="J1341" s="18" t="n">
        <v>5.25695298489172</v>
      </c>
    </row>
    <row r="1342" customFormat="false" ht="15" hidden="false" customHeight="false" outlineLevel="0" collapsed="false">
      <c r="A1342" s="28" t="n">
        <v>133715.731262502</v>
      </c>
      <c r="B1342" s="29" t="n">
        <v>6</v>
      </c>
      <c r="C1342" s="18" t="n">
        <v>5.06943061346842</v>
      </c>
      <c r="D1342" s="18" t="n">
        <v>4.93296537578281</v>
      </c>
      <c r="E1342" s="18" t="n">
        <v>5.9883026568958</v>
      </c>
      <c r="F1342" s="18" t="n">
        <v>6.37692802791124</v>
      </c>
      <c r="G1342" s="18" t="n">
        <v>5.18433124769093</v>
      </c>
      <c r="H1342" s="18" t="n">
        <v>5.29447567362362</v>
      </c>
      <c r="I1342" s="18" t="n">
        <v>5.24897758759392</v>
      </c>
      <c r="J1342" s="18" t="n">
        <v>5.24394381877407</v>
      </c>
    </row>
    <row r="1343" customFormat="false" ht="15" hidden="false" customHeight="false" outlineLevel="0" collapsed="false">
      <c r="A1343" s="28" t="n">
        <v>133815.743028592</v>
      </c>
      <c r="B1343" s="29" t="n">
        <v>6</v>
      </c>
      <c r="C1343" s="18" t="n">
        <v>4.40670507484936</v>
      </c>
      <c r="D1343" s="18" t="n">
        <v>5.1306824964179</v>
      </c>
      <c r="E1343" s="18" t="n">
        <v>5.98911107134403</v>
      </c>
      <c r="F1343" s="18" t="n">
        <v>6.41824719549367</v>
      </c>
      <c r="G1343" s="18" t="n">
        <v>5.38517948767338</v>
      </c>
      <c r="H1343" s="18" t="n">
        <v>5.29359989515213</v>
      </c>
      <c r="I1343" s="18" t="n">
        <v>5.24897807284404</v>
      </c>
      <c r="J1343" s="18" t="n">
        <v>5.23133096758182</v>
      </c>
    </row>
    <row r="1344" customFormat="false" ht="15" hidden="false" customHeight="false" outlineLevel="0" collapsed="false">
      <c r="A1344" s="28" t="n">
        <v>133915.754794682</v>
      </c>
      <c r="B1344" s="29" t="n">
        <v>6</v>
      </c>
      <c r="C1344" s="18" t="n">
        <v>4.56822608847864</v>
      </c>
      <c r="D1344" s="18" t="n">
        <v>5.61884692273025</v>
      </c>
      <c r="E1344" s="18" t="n">
        <v>5.98986184871562</v>
      </c>
      <c r="F1344" s="18" t="n">
        <v>5.72756390511046</v>
      </c>
      <c r="G1344" s="18" t="n">
        <v>5.42115447145362</v>
      </c>
      <c r="H1344" s="18" t="n">
        <v>5.27833159811419</v>
      </c>
      <c r="I1344" s="18" t="n">
        <v>5.24897852958595</v>
      </c>
      <c r="J1344" s="18" t="n">
        <v>5.25148492702028</v>
      </c>
    </row>
    <row r="1345" customFormat="false" ht="15" hidden="false" customHeight="false" outlineLevel="0" collapsed="false">
      <c r="A1345" s="28" t="n">
        <v>134015.766560772</v>
      </c>
      <c r="B1345" s="29" t="n">
        <v>6</v>
      </c>
      <c r="C1345" s="18" t="n">
        <v>5.03762168203377</v>
      </c>
      <c r="D1345" s="18" t="n">
        <v>8.09527339945095</v>
      </c>
      <c r="E1345" s="18" t="n">
        <v>5.99055929659003</v>
      </c>
      <c r="F1345" s="18" t="n">
        <v>5.63767621361397</v>
      </c>
      <c r="G1345" s="18" t="n">
        <v>5.41873730311273</v>
      </c>
      <c r="H1345" s="18" t="n">
        <v>5.15901555681134</v>
      </c>
      <c r="I1345" s="18" t="n">
        <v>5.24897895927299</v>
      </c>
      <c r="J1345" s="18" t="n">
        <v>5.2593617004725</v>
      </c>
    </row>
    <row r="1346" customFormat="false" ht="15" hidden="false" customHeight="false" outlineLevel="0" collapsed="false">
      <c r="A1346" s="28" t="n">
        <v>134115.778326862</v>
      </c>
      <c r="B1346" s="29" t="n">
        <v>6</v>
      </c>
      <c r="C1346" s="18" t="n">
        <v>8.91672953051219</v>
      </c>
      <c r="D1346" s="18" t="n">
        <v>5.95094011111876</v>
      </c>
      <c r="E1346" s="18" t="n">
        <v>5.99120738088717</v>
      </c>
      <c r="F1346" s="18" t="n">
        <v>5.86080326529713</v>
      </c>
      <c r="G1346" s="18" t="n">
        <v>4.96978085927844</v>
      </c>
      <c r="H1346" s="18" t="n">
        <v>5.14500980500174</v>
      </c>
      <c r="I1346" s="18" t="n">
        <v>5.24897936331069</v>
      </c>
      <c r="J1346" s="18" t="n">
        <v>5.25669266193123</v>
      </c>
    </row>
    <row r="1347" customFormat="false" ht="15" hidden="false" customHeight="false" outlineLevel="0" collapsed="false">
      <c r="A1347" s="28" t="n">
        <v>134215.790092952</v>
      </c>
      <c r="B1347" s="29" t="n">
        <v>6</v>
      </c>
      <c r="C1347" s="18" t="n">
        <v>8.69959699844234</v>
      </c>
      <c r="D1347" s="18" t="n">
        <v>4.92844808751698</v>
      </c>
      <c r="E1347" s="18" t="n">
        <v>5.99180975445751</v>
      </c>
      <c r="F1347" s="18" t="n">
        <v>6.33673624991985</v>
      </c>
      <c r="G1347" s="18" t="n">
        <v>4.83730337833495</v>
      </c>
      <c r="H1347" s="18" t="n">
        <v>5.28876741662402</v>
      </c>
      <c r="I1347" s="18" t="n">
        <v>5.24897974305525</v>
      </c>
      <c r="J1347" s="18" t="n">
        <v>5.24463710234265</v>
      </c>
    </row>
    <row r="1348" customFormat="false" ht="15" hidden="false" customHeight="false" outlineLevel="0" collapsed="false">
      <c r="A1348" s="28" t="n">
        <v>134315.801859042</v>
      </c>
      <c r="B1348" s="29" t="n">
        <v>6</v>
      </c>
      <c r="C1348" s="18" t="n">
        <v>4.50119435156472</v>
      </c>
      <c r="D1348" s="18" t="n">
        <v>5.05512298603981</v>
      </c>
      <c r="E1348" s="18" t="n">
        <v>5.99236978325885</v>
      </c>
      <c r="F1348" s="18" t="n">
        <v>6.39958269559591</v>
      </c>
      <c r="G1348" s="18" t="n">
        <v>5.34223571283884</v>
      </c>
      <c r="H1348" s="18" t="n">
        <v>5.29509569799228</v>
      </c>
      <c r="I1348" s="18" t="n">
        <v>5.24898009981241</v>
      </c>
      <c r="J1348" s="18" t="n">
        <v>5.23284090195972</v>
      </c>
    </row>
    <row r="1349" customFormat="false" ht="15" hidden="false" customHeight="false" outlineLevel="0" collapsed="false">
      <c r="A1349" s="28" t="n">
        <v>134415.813625132</v>
      </c>
      <c r="B1349" s="29" t="n">
        <v>6</v>
      </c>
      <c r="C1349" s="18" t="n">
        <v>4.4776786436114</v>
      </c>
      <c r="D1349" s="18" t="n">
        <v>5.4360982103012</v>
      </c>
      <c r="E1349" s="18" t="n">
        <v>5.99289057030005</v>
      </c>
      <c r="F1349" s="18" t="n">
        <v>5.76022552382812</v>
      </c>
      <c r="G1349" s="18" t="n">
        <v>5.41075190844095</v>
      </c>
      <c r="H1349" s="18" t="n">
        <v>5.28448217137247</v>
      </c>
      <c r="I1349" s="18" t="n">
        <v>5.24898043483672</v>
      </c>
      <c r="J1349" s="18" t="n">
        <v>5.25079933208875</v>
      </c>
    </row>
    <row r="1350" customFormat="false" ht="15" hidden="false" customHeight="false" outlineLevel="0" collapsed="false">
      <c r="A1350" s="28" t="n">
        <v>134515.825391223</v>
      </c>
      <c r="B1350" s="29" t="n">
        <v>6</v>
      </c>
      <c r="C1350" s="18" t="n">
        <v>4.78360786639199</v>
      </c>
      <c r="D1350" s="18" t="n">
        <v>7.69729650928414</v>
      </c>
      <c r="E1350" s="18" t="n">
        <v>5.99337497752612</v>
      </c>
      <c r="F1350" s="18" t="n">
        <v>5.65983853955653</v>
      </c>
      <c r="G1350" s="18" t="n">
        <v>5.42629863942219</v>
      </c>
      <c r="H1350" s="18" t="n">
        <v>5.22304426324997</v>
      </c>
      <c r="I1350" s="18" t="n">
        <v>5.24898074933122</v>
      </c>
      <c r="J1350" s="18" t="n">
        <v>5.25865987568683</v>
      </c>
    </row>
    <row r="1351" customFormat="false" ht="15" hidden="false" customHeight="false" outlineLevel="0" collapsed="false">
      <c r="A1351" s="28" t="n">
        <v>134615.837157313</v>
      </c>
      <c r="B1351" s="29" t="n">
        <v>6</v>
      </c>
      <c r="C1351" s="18" t="n">
        <v>8.20670953856727</v>
      </c>
      <c r="D1351" s="18" t="n">
        <v>8.10558906548631</v>
      </c>
      <c r="E1351" s="18" t="n">
        <v>5.99382564581058</v>
      </c>
      <c r="F1351" s="18" t="n">
        <v>5.87115570037906</v>
      </c>
      <c r="G1351" s="18" t="n">
        <v>5.33807828269967</v>
      </c>
      <c r="H1351" s="18" t="n">
        <v>5.12837026055017</v>
      </c>
      <c r="I1351" s="18" t="n">
        <v>5.24898104444737</v>
      </c>
      <c r="J1351" s="18" t="n">
        <v>5.25617743539854</v>
      </c>
    </row>
    <row r="1352" customFormat="false" ht="15" hidden="false" customHeight="false" outlineLevel="0" collapsed="false">
      <c r="A1352" s="28" t="n">
        <v>134715.848923403</v>
      </c>
      <c r="B1352" s="29" t="n">
        <v>6</v>
      </c>
      <c r="C1352" s="18" t="n">
        <v>9.18129601640565</v>
      </c>
      <c r="D1352" s="18" t="n">
        <v>5.04124793857081</v>
      </c>
      <c r="E1352" s="18" t="n">
        <v>5.99424501321256</v>
      </c>
      <c r="F1352" s="18" t="n">
        <v>6.31297369406274</v>
      </c>
      <c r="G1352" s="18" t="n">
        <v>4.8639341976829</v>
      </c>
      <c r="H1352" s="18" t="n">
        <v>5.27942297321336</v>
      </c>
      <c r="I1352" s="18" t="n">
        <v>5.24898132128541</v>
      </c>
      <c r="J1352" s="18" t="n">
        <v>5.24481132851887</v>
      </c>
    </row>
    <row r="1353" customFormat="false" ht="15" hidden="false" customHeight="false" outlineLevel="0" collapsed="false">
      <c r="A1353" s="28" t="n">
        <v>134815.860689493</v>
      </c>
      <c r="B1353" s="29" t="n">
        <v>6</v>
      </c>
      <c r="C1353" s="18" t="n">
        <v>4.79582409848111</v>
      </c>
      <c r="D1353" s="18" t="n">
        <v>5.00582277399409</v>
      </c>
      <c r="E1353" s="18" t="n">
        <v>5.99463533164568</v>
      </c>
      <c r="F1353" s="18" t="n">
        <v>6.35771910988817</v>
      </c>
      <c r="G1353" s="18" t="n">
        <v>5.2757198105939</v>
      </c>
      <c r="H1353" s="18" t="n">
        <v>5.29547866441794</v>
      </c>
      <c r="I1353" s="18" t="n">
        <v>5.24898158089493</v>
      </c>
      <c r="J1353" s="18" t="n">
        <v>5.2346359973513</v>
      </c>
    </row>
    <row r="1354" customFormat="false" ht="15" hidden="false" customHeight="false" outlineLevel="0" collapsed="false">
      <c r="A1354" s="28" t="n">
        <v>134915.872455583</v>
      </c>
      <c r="B1354" s="29" t="n">
        <v>6</v>
      </c>
      <c r="C1354" s="18" t="n">
        <v>4.42142835603363</v>
      </c>
      <c r="D1354" s="18" t="n">
        <v>5.31772157593329</v>
      </c>
      <c r="E1354" s="18" t="n">
        <v>5.99499868209616</v>
      </c>
      <c r="F1354" s="18" t="n">
        <v>5.78323034034246</v>
      </c>
      <c r="G1354" s="18" t="n">
        <v>5.39571499577123</v>
      </c>
      <c r="H1354" s="18" t="n">
        <v>5.28827969511283</v>
      </c>
      <c r="I1354" s="18" t="n">
        <v>5.24898182427566</v>
      </c>
      <c r="J1354" s="18" t="n">
        <v>5.25056903692902</v>
      </c>
    </row>
    <row r="1355" customFormat="false" ht="15" hidden="false" customHeight="false" outlineLevel="0" collapsed="false">
      <c r="A1355" s="28" t="n">
        <v>135015.884221673</v>
      </c>
      <c r="B1355" s="29" t="n">
        <v>6</v>
      </c>
      <c r="C1355" s="18" t="n">
        <v>4.62736667328414</v>
      </c>
      <c r="D1355" s="18" t="n">
        <v>6.44244806610501</v>
      </c>
      <c r="E1355" s="18" t="n">
        <v>5.99533698851719</v>
      </c>
      <c r="F1355" s="18" t="n">
        <v>5.68621103025645</v>
      </c>
      <c r="G1355" s="18" t="n">
        <v>5.42437257948829</v>
      </c>
      <c r="H1355" s="18" t="n">
        <v>5.25586439084233</v>
      </c>
      <c r="I1355" s="18" t="n">
        <v>5.24898205237853</v>
      </c>
      <c r="J1355" s="18" t="n">
        <v>5.25795594829243</v>
      </c>
    </row>
    <row r="1356" customFormat="false" ht="15" hidden="false" customHeight="false" outlineLevel="0" collapsed="false">
      <c r="A1356" s="28" t="n">
        <v>135115.895987763</v>
      </c>
      <c r="B1356" s="29" t="n">
        <v>6</v>
      </c>
      <c r="C1356" s="18" t="n">
        <v>5.25727879913665</v>
      </c>
      <c r="D1356" s="18" t="n">
        <v>8.26985340646473</v>
      </c>
      <c r="E1356" s="18" t="n">
        <v>5.99565203051707</v>
      </c>
      <c r="F1356" s="18" t="n">
        <v>5.89068414846562</v>
      </c>
      <c r="G1356" s="18" t="n">
        <v>5.40823339095296</v>
      </c>
      <c r="H1356" s="18" t="n">
        <v>5.13242074598299</v>
      </c>
      <c r="I1356" s="18" t="n">
        <v>5.24898226610684</v>
      </c>
      <c r="J1356" s="18" t="n">
        <v>5.2554509495727</v>
      </c>
    </row>
    <row r="1357" customFormat="false" ht="15" hidden="false" customHeight="false" outlineLevel="0" collapsed="false">
      <c r="A1357" s="28" t="n">
        <v>135215.907753853</v>
      </c>
      <c r="B1357" s="29" t="n">
        <v>6</v>
      </c>
      <c r="C1357" s="18" t="n">
        <v>9.04988348255309</v>
      </c>
      <c r="D1357" s="18" t="n">
        <v>5.18916001407527</v>
      </c>
      <c r="E1357" s="18" t="n">
        <v>5.99594545494879</v>
      </c>
      <c r="F1357" s="18" t="n">
        <v>6.29963322557348</v>
      </c>
      <c r="G1357" s="18" t="n">
        <v>4.92724955562133</v>
      </c>
      <c r="H1357" s="18" t="n">
        <v>5.26792785177975</v>
      </c>
      <c r="I1357" s="18" t="n">
        <v>5.24898246631763</v>
      </c>
      <c r="J1357" s="18" t="n">
        <v>5.24462447385459</v>
      </c>
    </row>
    <row r="1358" customFormat="false" ht="15" hidden="false" customHeight="false" outlineLevel="0" collapsed="false">
      <c r="A1358" s="28" t="n">
        <v>135315.919519944</v>
      </c>
      <c r="B1358" s="29" t="n">
        <v>6</v>
      </c>
      <c r="C1358" s="18" t="n">
        <v>5.82623742319173</v>
      </c>
      <c r="D1358" s="18" t="n">
        <v>4.96451698013004</v>
      </c>
      <c r="E1358" s="18" t="n">
        <v>5.99621878649999</v>
      </c>
      <c r="F1358" s="18" t="n">
        <v>6.30270181459776</v>
      </c>
      <c r="G1358" s="18" t="n">
        <v>4.85818652428234</v>
      </c>
      <c r="H1358" s="18" t="n">
        <v>5.29535714381906</v>
      </c>
      <c r="I1358" s="18" t="n">
        <v>5.24898265382306</v>
      </c>
      <c r="J1358" s="18" t="n">
        <v>5.23654665729866</v>
      </c>
    </row>
    <row r="1359" customFormat="false" ht="15" hidden="false" customHeight="false" outlineLevel="0" collapsed="false">
      <c r="A1359" s="28" t="n">
        <v>135415.931286034</v>
      </c>
      <c r="B1359" s="29" t="n">
        <v>6</v>
      </c>
      <c r="C1359" s="18" t="n">
        <v>4.4125073711709</v>
      </c>
      <c r="D1359" s="18" t="n">
        <v>5.21722516288135</v>
      </c>
      <c r="E1359" s="18" t="n">
        <v>5.99647343737365</v>
      </c>
      <c r="F1359" s="18" t="n">
        <v>5.79808974910443</v>
      </c>
      <c r="G1359" s="18" t="n">
        <v>5.36530309204314</v>
      </c>
      <c r="H1359" s="18" t="n">
        <v>5.29128606159758</v>
      </c>
      <c r="I1359" s="18" t="n">
        <v>5.24898282939203</v>
      </c>
      <c r="J1359" s="18" t="n">
        <v>5.25068427737155</v>
      </c>
    </row>
    <row r="1360" customFormat="false" ht="15" hidden="false" customHeight="false" outlineLevel="0" collapsed="false">
      <c r="A1360" s="28" t="n">
        <v>135515.943052124</v>
      </c>
      <c r="B1360" s="29" t="n">
        <v>6</v>
      </c>
      <c r="C1360" s="18" t="n">
        <v>4.51820037802817</v>
      </c>
      <c r="D1360" s="18" t="n">
        <v>5.88408266091506</v>
      </c>
      <c r="E1360" s="18" t="n">
        <v>5.99671071614161</v>
      </c>
      <c r="F1360" s="18" t="n">
        <v>5.71558877651327</v>
      </c>
      <c r="G1360" s="18" t="n">
        <v>5.4165509848219</v>
      </c>
      <c r="H1360" s="18" t="n">
        <v>5.26969846350071</v>
      </c>
      <c r="I1360" s="18" t="n">
        <v>5.24898299375168</v>
      </c>
      <c r="J1360" s="18" t="n">
        <v>5.25725659611425</v>
      </c>
    </row>
    <row r="1361" customFormat="false" ht="15" hidden="false" customHeight="false" outlineLevel="0" collapsed="false">
      <c r="A1361" s="28" t="n">
        <v>135615.954818214</v>
      </c>
      <c r="B1361" s="29" t="n">
        <v>6</v>
      </c>
      <c r="C1361" s="18" t="n">
        <v>4.89202949363493</v>
      </c>
      <c r="D1361" s="18" t="n">
        <v>8.23739750566615</v>
      </c>
      <c r="E1361" s="18" t="n">
        <v>5.99693183584622</v>
      </c>
      <c r="F1361" s="18" t="n">
        <v>5.91715516101689</v>
      </c>
      <c r="G1361" s="18" t="n">
        <v>5.42413332429987</v>
      </c>
      <c r="H1361" s="18" t="n">
        <v>5.14149122875168</v>
      </c>
      <c r="I1361" s="18" t="n">
        <v>5.24898314758911</v>
      </c>
      <c r="J1361" s="18" t="n">
        <v>5.25455557040702</v>
      </c>
    </row>
    <row r="1362" customFormat="false" ht="15" hidden="false" customHeight="false" outlineLevel="0" collapsed="false">
      <c r="A1362" s="28" t="n">
        <v>135715.966584304</v>
      </c>
      <c r="B1362" s="29" t="n">
        <v>6</v>
      </c>
      <c r="C1362" s="18" t="n">
        <v>8.7006412722077</v>
      </c>
      <c r="D1362" s="18" t="n">
        <v>5.42226210163934</v>
      </c>
      <c r="E1362" s="18" t="n">
        <v>5.99713792141792</v>
      </c>
      <c r="F1362" s="18" t="n">
        <v>6.29070770830103</v>
      </c>
      <c r="G1362" s="18" t="n">
        <v>5.04240516071401</v>
      </c>
      <c r="H1362" s="18" t="n">
        <v>5.24692613444527</v>
      </c>
      <c r="I1362" s="18" t="n">
        <v>5.24898329155299</v>
      </c>
      <c r="J1362" s="18" t="n">
        <v>5.24423561083296</v>
      </c>
    </row>
    <row r="1363" customFormat="false" ht="15" hidden="false" customHeight="false" outlineLevel="0" collapsed="false">
      <c r="A1363" s="28" t="n">
        <v>135815.978350394</v>
      </c>
      <c r="B1363" s="29" t="n">
        <v>6</v>
      </c>
      <c r="C1363" s="18" t="n">
        <v>9.0321461039346</v>
      </c>
      <c r="D1363" s="18" t="n">
        <v>4.92842931791985</v>
      </c>
      <c r="E1363" s="18" t="n">
        <v>5.99733001647088</v>
      </c>
      <c r="F1363" s="18" t="n">
        <v>6.24200977945858</v>
      </c>
      <c r="G1363" s="18" t="n">
        <v>4.83923038995935</v>
      </c>
      <c r="H1363" s="18" t="n">
        <v>5.29438451940689</v>
      </c>
      <c r="I1363" s="18" t="n">
        <v>5.2489834262552</v>
      </c>
      <c r="J1363" s="18" t="n">
        <v>5.23849161278008</v>
      </c>
    </row>
    <row r="1364" customFormat="false" ht="15" hidden="false" customHeight="false" outlineLevel="0" collapsed="false">
      <c r="A1364" s="28" t="n">
        <v>135915.990116484</v>
      </c>
      <c r="B1364" s="29" t="n">
        <v>6</v>
      </c>
      <c r="C1364" s="18" t="n">
        <v>4.622947995344</v>
      </c>
      <c r="D1364" s="18" t="n">
        <v>5.12026874080295</v>
      </c>
      <c r="E1364" s="18" t="n">
        <v>5.99750908953262</v>
      </c>
      <c r="F1364" s="18" t="n">
        <v>5.8076617631118</v>
      </c>
      <c r="G1364" s="18" t="n">
        <v>5.31413969870893</v>
      </c>
      <c r="H1364" s="18" t="n">
        <v>5.2938680138382</v>
      </c>
      <c r="I1364" s="18" t="n">
        <v>5.24898355227257</v>
      </c>
      <c r="J1364" s="18" t="n">
        <v>5.25100494201012</v>
      </c>
    </row>
    <row r="1365" customFormat="false" ht="15" hidden="false" customHeight="false" outlineLevel="0" collapsed="false">
      <c r="A1365" s="28" t="n">
        <v>136016.001882574</v>
      </c>
      <c r="B1365" s="29" t="n">
        <v>6</v>
      </c>
      <c r="C1365" s="18" t="n">
        <v>4.44550417522682</v>
      </c>
      <c r="D1365" s="18" t="n">
        <v>5.59269122079195</v>
      </c>
      <c r="E1365" s="18" t="n">
        <v>5.99767603975836</v>
      </c>
      <c r="F1365" s="18" t="n">
        <v>5.7470924276759</v>
      </c>
      <c r="G1365" s="18" t="n">
        <v>5.40383712518694</v>
      </c>
      <c r="H1365" s="18" t="n">
        <v>5.27922416246772</v>
      </c>
      <c r="I1365" s="18" t="n">
        <v>5.24898367014844</v>
      </c>
      <c r="J1365" s="18" t="n">
        <v>5.25655377374626</v>
      </c>
    </row>
    <row r="1366" customFormat="false" ht="15" hidden="false" customHeight="false" outlineLevel="0" collapsed="false">
      <c r="A1366" s="28" t="n">
        <v>136116.013648665</v>
      </c>
      <c r="B1366" s="29" t="n">
        <v>6</v>
      </c>
      <c r="C1366" s="18" t="n">
        <v>4.69780105873322</v>
      </c>
      <c r="D1366" s="18" t="n">
        <v>8.0667416954187</v>
      </c>
      <c r="E1366" s="18" t="n">
        <v>5.99783170217661</v>
      </c>
      <c r="F1366" s="18" t="n">
        <v>5.94813716785938</v>
      </c>
      <c r="G1366" s="18" t="n">
        <v>5.42619281257968</v>
      </c>
      <c r="H1366" s="18" t="n">
        <v>5.16264433538526</v>
      </c>
      <c r="I1366" s="18" t="n">
        <v>5.24898378039433</v>
      </c>
      <c r="J1366" s="18" t="n">
        <v>5.25353577973732</v>
      </c>
    </row>
    <row r="1367" customFormat="false" ht="15" hidden="false" customHeight="false" outlineLevel="0" collapsed="false">
      <c r="A1367" s="28" t="n">
        <v>136216.025414755</v>
      </c>
      <c r="B1367" s="29" t="n">
        <v>6</v>
      </c>
      <c r="C1367" s="18" t="n">
        <v>5.71411687545222</v>
      </c>
      <c r="D1367" s="18" t="n">
        <v>6.11944635213767</v>
      </c>
      <c r="E1367" s="18" t="n">
        <v>5.99797685250725</v>
      </c>
      <c r="F1367" s="18" t="n">
        <v>6.28074718860971</v>
      </c>
      <c r="G1367" s="18" t="n">
        <v>5.38798844155222</v>
      </c>
      <c r="H1367" s="18" t="n">
        <v>5.13803499249717</v>
      </c>
      <c r="I1367" s="18" t="n">
        <v>5.2489838834915</v>
      </c>
      <c r="J1367" s="18" t="n">
        <v>5.24380301832036</v>
      </c>
    </row>
    <row r="1368" customFormat="false" ht="15" hidden="false" customHeight="false" outlineLevel="0" collapsed="false">
      <c r="A1368" s="28" t="n">
        <v>136316.037180845</v>
      </c>
      <c r="B1368" s="29" t="n">
        <v>6</v>
      </c>
      <c r="C1368" s="18" t="n">
        <v>9.13729003926187</v>
      </c>
      <c r="D1368" s="18" t="n">
        <v>4.93812913012332</v>
      </c>
      <c r="E1368" s="18" t="n">
        <v>5.99811221159033</v>
      </c>
      <c r="F1368" s="18" t="n">
        <v>6.18118896881355</v>
      </c>
      <c r="G1368" s="18" t="n">
        <v>4.8932751205165</v>
      </c>
      <c r="H1368" s="18" t="n">
        <v>5.28781825699044</v>
      </c>
      <c r="I1368" s="18" t="n">
        <v>5.24898397989249</v>
      </c>
      <c r="J1368" s="18" t="n">
        <v>5.24041277920175</v>
      </c>
    </row>
    <row r="1369" customFormat="false" ht="15" hidden="false" customHeight="false" outlineLevel="0" collapsed="false">
      <c r="A1369" s="28" t="n">
        <v>136416.048946935</v>
      </c>
      <c r="B1369" s="29" t="n">
        <v>6</v>
      </c>
      <c r="C1369" s="18" t="n">
        <v>5.06943061346828</v>
      </c>
      <c r="D1369" s="18" t="n">
        <v>5.05312916232787</v>
      </c>
      <c r="E1369" s="18" t="n">
        <v>5.99823844945933</v>
      </c>
      <c r="F1369" s="18" t="n">
        <v>5.8149629862893</v>
      </c>
      <c r="G1369" s="18" t="n">
        <v>5.18433124769099</v>
      </c>
      <c r="H1369" s="18" t="n">
        <v>5.29506786707971</v>
      </c>
      <c r="I1369" s="18" t="n">
        <v>5.24898407002265</v>
      </c>
      <c r="J1369" s="18" t="n">
        <v>5.25140009540481</v>
      </c>
    </row>
    <row r="1370" customFormat="false" ht="15" hidden="false" customHeight="false" outlineLevel="0" collapsed="false">
      <c r="A1370" s="28" t="n">
        <v>136516.060713025</v>
      </c>
      <c r="B1370" s="29" t="n">
        <v>6</v>
      </c>
      <c r="C1370" s="18" t="n">
        <v>4.40670507484934</v>
      </c>
      <c r="D1370" s="18" t="n">
        <v>5.42951707258975</v>
      </c>
      <c r="E1370" s="18" t="n">
        <v>5.99835618909041</v>
      </c>
      <c r="F1370" s="18" t="n">
        <v>5.78004205155423</v>
      </c>
      <c r="G1370" s="18" t="n">
        <v>5.38517948767338</v>
      </c>
      <c r="H1370" s="18" t="n">
        <v>5.2846859408788</v>
      </c>
      <c r="I1370" s="18" t="n">
        <v>5.24898415428152</v>
      </c>
      <c r="J1370" s="18" t="n">
        <v>5.25583389287244</v>
      </c>
    </row>
    <row r="1371" customFormat="false" ht="15" hidden="false" customHeight="false" outlineLevel="0" collapsed="false">
      <c r="A1371" s="28" t="n">
        <v>136616.072479115</v>
      </c>
      <c r="B1371" s="29" t="n">
        <v>6</v>
      </c>
      <c r="C1371" s="18" t="n">
        <v>4.56822608847863</v>
      </c>
      <c r="D1371" s="18" t="n">
        <v>7.66265732016372</v>
      </c>
      <c r="E1371" s="18" t="n">
        <v>5.99846600985529</v>
      </c>
      <c r="F1371" s="18" t="n">
        <v>5.98103911045714</v>
      </c>
      <c r="G1371" s="18" t="n">
        <v>5.42115447145363</v>
      </c>
      <c r="H1371" s="18" t="n">
        <v>5.22625103907538</v>
      </c>
      <c r="I1371" s="18" t="n">
        <v>5.24898423304432</v>
      </c>
      <c r="J1371" s="18" t="n">
        <v>5.25244087945628</v>
      </c>
    </row>
    <row r="1372" customFormat="false" ht="15" hidden="false" customHeight="false" outlineLevel="0" collapsed="false">
      <c r="A1372" s="28" t="n">
        <v>136716.084245205</v>
      </c>
      <c r="B1372" s="29" t="n">
        <v>6</v>
      </c>
      <c r="C1372" s="18" t="n">
        <v>5.03762168203375</v>
      </c>
      <c r="D1372" s="18" t="n">
        <v>8.12884875539785</v>
      </c>
      <c r="E1372" s="18" t="n">
        <v>5.99856845070352</v>
      </c>
      <c r="F1372" s="18" t="n">
        <v>6.26570462398219</v>
      </c>
      <c r="G1372" s="18" t="n">
        <v>5.41873730311273</v>
      </c>
      <c r="H1372" s="18" t="n">
        <v>5.12844815961022</v>
      </c>
      <c r="I1372" s="18" t="n">
        <v>5.24898430666319</v>
      </c>
      <c r="J1372" s="18" t="n">
        <v>5.2434696548631</v>
      </c>
    </row>
    <row r="1373" customFormat="false" ht="15" hidden="false" customHeight="false" outlineLevel="0" collapsed="false">
      <c r="A1373" s="28" t="n">
        <v>136816.096011295</v>
      </c>
      <c r="B1373" s="29" t="n">
        <v>6</v>
      </c>
      <c r="C1373" s="18" t="n">
        <v>8.91672953051219</v>
      </c>
      <c r="D1373" s="18" t="n">
        <v>5.04749359890218</v>
      </c>
      <c r="E1373" s="18" t="n">
        <v>5.99866401309724</v>
      </c>
      <c r="F1373" s="18" t="n">
        <v>6.12432893536989</v>
      </c>
      <c r="G1373" s="18" t="n">
        <v>4.96978085927844</v>
      </c>
      <c r="H1373" s="18" t="n">
        <v>5.27894074729276</v>
      </c>
      <c r="I1373" s="18" t="n">
        <v>5.24898437546858</v>
      </c>
      <c r="J1373" s="18" t="n">
        <v>5.24224989845652</v>
      </c>
    </row>
    <row r="1374" customFormat="false" ht="15" hidden="false" customHeight="false" outlineLevel="0" collapsed="false">
      <c r="A1374" s="28" t="n">
        <v>136916.107777386</v>
      </c>
      <c r="B1374" s="29" t="n">
        <v>6</v>
      </c>
      <c r="C1374" s="18" t="n">
        <v>8.69959699844234</v>
      </c>
      <c r="D1374" s="18" t="n">
        <v>5.00358589313049</v>
      </c>
      <c r="E1374" s="18" t="n">
        <v>5.99875316371893</v>
      </c>
      <c r="F1374" s="18" t="n">
        <v>5.82239336084917</v>
      </c>
      <c r="G1374" s="18" t="n">
        <v>4.83730337833496</v>
      </c>
      <c r="H1374" s="18" t="n">
        <v>5.29548345024614</v>
      </c>
      <c r="I1374" s="18" t="n">
        <v>5.24898443977041</v>
      </c>
      <c r="J1374" s="18" t="n">
        <v>5.25176998527582</v>
      </c>
    </row>
    <row r="1375" customFormat="false" ht="15" hidden="false" customHeight="false" outlineLevel="0" collapsed="false">
      <c r="A1375" s="28" t="n">
        <v>137016.119543476</v>
      </c>
      <c r="B1375" s="29" t="n">
        <v>6</v>
      </c>
      <c r="C1375" s="18" t="n">
        <v>4.50119435156475</v>
      </c>
      <c r="D1375" s="18" t="n">
        <v>5.31233719899298</v>
      </c>
      <c r="E1375" s="18" t="n">
        <v>5.99883633697198</v>
      </c>
      <c r="F1375" s="18" t="n">
        <v>5.81380033537872</v>
      </c>
      <c r="G1375" s="18" t="n">
        <v>5.34223571283884</v>
      </c>
      <c r="H1375" s="18" t="n">
        <v>5.28844459019177</v>
      </c>
      <c r="I1375" s="18" t="n">
        <v>5.24898449985927</v>
      </c>
      <c r="J1375" s="18" t="n">
        <v>5.25508635802977</v>
      </c>
    </row>
    <row r="1376" customFormat="false" ht="15" hidden="false" customHeight="false" outlineLevel="0" collapsed="false">
      <c r="A1376" s="28" t="n">
        <v>137116.131309566</v>
      </c>
      <c r="B1376" s="29" t="n">
        <v>6</v>
      </c>
      <c r="C1376" s="18" t="n">
        <v>4.47767864361142</v>
      </c>
      <c r="D1376" s="18" t="n">
        <v>6.39475264501481</v>
      </c>
      <c r="E1376" s="18" t="n">
        <v>5.9989139372905</v>
      </c>
      <c r="F1376" s="18" t="n">
        <v>6.01321102567452</v>
      </c>
      <c r="G1376" s="18" t="n">
        <v>5.41075190844095</v>
      </c>
      <c r="H1376" s="18" t="n">
        <v>5.25677319043958</v>
      </c>
      <c r="I1376" s="18" t="n">
        <v>5.24898455600756</v>
      </c>
      <c r="J1376" s="18" t="n">
        <v>5.2513260437529</v>
      </c>
    </row>
    <row r="1377" customFormat="false" ht="15" hidden="false" customHeight="false" outlineLevel="0" collapsed="false">
      <c r="A1377" s="28" t="n">
        <v>137216.143075656</v>
      </c>
      <c r="B1377" s="29" t="n">
        <v>6</v>
      </c>
      <c r="C1377" s="18" t="n">
        <v>4.78360786639204</v>
      </c>
      <c r="D1377" s="18" t="n">
        <v>8.27085815185716</v>
      </c>
      <c r="E1377" s="18" t="n">
        <v>5.99898634127457</v>
      </c>
      <c r="F1377" s="18" t="n">
        <v>6.24367182508266</v>
      </c>
      <c r="G1377" s="18" t="n">
        <v>5.42629863942219</v>
      </c>
      <c r="H1377" s="18" t="n">
        <v>5.13274123170778</v>
      </c>
      <c r="I1377" s="18" t="n">
        <v>5.24898460847052</v>
      </c>
      <c r="J1377" s="18" t="n">
        <v>5.24334099151612</v>
      </c>
    </row>
    <row r="1378" customFormat="false" ht="15" hidden="false" customHeight="false" outlineLevel="0" collapsed="false">
      <c r="A1378" s="28" t="n">
        <v>137316.154841746</v>
      </c>
      <c r="B1378" s="29" t="n">
        <v>6</v>
      </c>
      <c r="C1378" s="18" t="n">
        <v>8.20670953856777</v>
      </c>
      <c r="D1378" s="18" t="n">
        <v>5.19743392291102</v>
      </c>
      <c r="E1378" s="18" t="n">
        <v>5.99905389966509</v>
      </c>
      <c r="F1378" s="18" t="n">
        <v>6.07421520116183</v>
      </c>
      <c r="G1378" s="18" t="n">
        <v>5.33807828269962</v>
      </c>
      <c r="H1378" s="18" t="n">
        <v>5.2671660703645</v>
      </c>
      <c r="I1378" s="18" t="n">
        <v>5.24898465748729</v>
      </c>
      <c r="J1378" s="18" t="n">
        <v>5.24394305650556</v>
      </c>
    </row>
    <row r="1379" customFormat="false" ht="15" hidden="false" customHeight="false" outlineLevel="0" collapsed="false">
      <c r="A1379" s="28" t="n">
        <v>137416.166607836</v>
      </c>
      <c r="B1379" s="29" t="n">
        <v>6</v>
      </c>
      <c r="C1379" s="18" t="n">
        <v>9.18129601640565</v>
      </c>
      <c r="D1379" s="18" t="n">
        <v>4.95963636950142</v>
      </c>
      <c r="E1379" s="18" t="n">
        <v>5.99911693917132</v>
      </c>
      <c r="F1379" s="18" t="n">
        <v>5.83145649100514</v>
      </c>
      <c r="G1379" s="18" t="n">
        <v>4.86393419768284</v>
      </c>
      <c r="H1379" s="18" t="n">
        <v>5.29538681078187</v>
      </c>
      <c r="I1379" s="18" t="n">
        <v>5.24898470328186</v>
      </c>
      <c r="J1379" s="18" t="n">
        <v>5.25205147876957</v>
      </c>
    </row>
    <row r="1380" customFormat="false" ht="15" hidden="false" customHeight="false" outlineLevel="0" collapsed="false">
      <c r="A1380" s="28" t="n">
        <v>137516.178373926</v>
      </c>
      <c r="B1380" s="29" t="n">
        <v>6</v>
      </c>
      <c r="C1380" s="18" t="n">
        <v>4.79582409848102</v>
      </c>
      <c r="D1380" s="18" t="n">
        <v>5.20750173718095</v>
      </c>
      <c r="E1380" s="18" t="n">
        <v>5.99917576416277</v>
      </c>
      <c r="F1380" s="18" t="n">
        <v>5.84766387625711</v>
      </c>
      <c r="G1380" s="18" t="n">
        <v>5.2757198105939</v>
      </c>
      <c r="H1380" s="18" t="n">
        <v>5.29157186346385</v>
      </c>
      <c r="I1380" s="18" t="n">
        <v>5.24898474606396</v>
      </c>
      <c r="J1380" s="18" t="n">
        <v>5.25430872050347</v>
      </c>
    </row>
    <row r="1381" customFormat="false" ht="15" hidden="false" customHeight="false" outlineLevel="0" collapsed="false">
      <c r="A1381" s="28" t="n">
        <v>137616.190140017</v>
      </c>
      <c r="B1381" s="29" t="n">
        <v>6</v>
      </c>
      <c r="C1381" s="18" t="n">
        <v>4.4214283560336</v>
      </c>
      <c r="D1381" s="18" t="n">
        <v>5.8500019417082</v>
      </c>
      <c r="E1381" s="18" t="n">
        <v>5.99923065823637</v>
      </c>
      <c r="F1381" s="18" t="n">
        <v>6.0421327921109</v>
      </c>
      <c r="G1381" s="18" t="n">
        <v>5.39571499577123</v>
      </c>
      <c r="H1381" s="18" t="n">
        <v>5.27076194360822</v>
      </c>
      <c r="I1381" s="18" t="n">
        <v>5.24898478602993</v>
      </c>
      <c r="J1381" s="18" t="n">
        <v>5.25025061762004</v>
      </c>
    </row>
    <row r="1382" customFormat="false" ht="15" hidden="false" customHeight="false" outlineLevel="0" collapsed="false">
      <c r="A1382" s="28" t="n">
        <v>137716.201906107</v>
      </c>
      <c r="B1382" s="29" t="n">
        <v>6</v>
      </c>
      <c r="C1382" s="18" t="n">
        <v>4.62736667328411</v>
      </c>
      <c r="D1382" s="18" t="n">
        <v>8.22851961079232</v>
      </c>
      <c r="E1382" s="18" t="n">
        <v>5.99928188566879</v>
      </c>
      <c r="F1382" s="18" t="n">
        <v>6.215025407235</v>
      </c>
      <c r="G1382" s="18" t="n">
        <v>5.42437257948829</v>
      </c>
      <c r="H1382" s="18" t="n">
        <v>5.14274869470836</v>
      </c>
      <c r="I1382" s="18" t="n">
        <v>5.24898482336358</v>
      </c>
      <c r="J1382" s="18" t="n">
        <v>5.24346655844115</v>
      </c>
    </row>
    <row r="1383" customFormat="false" ht="15" hidden="false" customHeight="false" outlineLevel="0" collapsed="false">
      <c r="A1383" s="28" t="n">
        <v>137816.213672197</v>
      </c>
      <c r="B1383" s="29" t="n">
        <v>6</v>
      </c>
      <c r="C1383" s="18" t="n">
        <v>5.25727879913654</v>
      </c>
      <c r="D1383" s="18" t="n">
        <v>5.45475326411428</v>
      </c>
      <c r="E1383" s="18" t="n">
        <v>5.99932969276294</v>
      </c>
      <c r="F1383" s="18" t="n">
        <v>6.03239718538569</v>
      </c>
      <c r="G1383" s="18" t="n">
        <v>5.40823339095297</v>
      </c>
      <c r="H1383" s="18" t="n">
        <v>5.24339818490175</v>
      </c>
      <c r="I1383" s="18" t="n">
        <v>5.24898485823691</v>
      </c>
      <c r="J1383" s="18" t="n">
        <v>5.24544378470282</v>
      </c>
    </row>
    <row r="1384" customFormat="false" ht="15" hidden="false" customHeight="false" outlineLevel="0" collapsed="false">
      <c r="A1384" s="28" t="n">
        <v>137916.225438287</v>
      </c>
      <c r="B1384" s="29" t="n">
        <v>6</v>
      </c>
      <c r="C1384" s="18" t="n">
        <v>9.04988348255309</v>
      </c>
      <c r="D1384" s="18" t="n">
        <v>4.92710755354922</v>
      </c>
      <c r="E1384" s="18" t="n">
        <v>5.99937430909683</v>
      </c>
      <c r="F1384" s="18" t="n">
        <v>5.84281585359593</v>
      </c>
      <c r="G1384" s="18" t="n">
        <v>4.92724955562134</v>
      </c>
      <c r="H1384" s="18" t="n">
        <v>5.2941698787945</v>
      </c>
      <c r="I1384" s="18" t="n">
        <v>5.24898489081087</v>
      </c>
      <c r="J1384" s="18" t="n">
        <v>5.2522134622379</v>
      </c>
    </row>
    <row r="1385" customFormat="false" ht="15" hidden="false" customHeight="false" outlineLevel="0" collapsed="false">
      <c r="A1385" s="28" t="n">
        <v>138016.237204377</v>
      </c>
      <c r="B1385" s="29" t="n">
        <v>6</v>
      </c>
      <c r="C1385" s="18" t="n">
        <v>5.82623742319212</v>
      </c>
      <c r="D1385" s="18" t="n">
        <v>5.11350043035981</v>
      </c>
      <c r="E1385" s="18" t="n">
        <v>5.99941594868217</v>
      </c>
      <c r="F1385" s="18" t="n">
        <v>5.88082465669897</v>
      </c>
      <c r="G1385" s="18" t="n">
        <v>4.85818652428233</v>
      </c>
      <c r="H1385" s="18" t="n">
        <v>5.29402507088242</v>
      </c>
      <c r="I1385" s="18" t="n">
        <v>5.24898492123602</v>
      </c>
      <c r="J1385" s="18" t="n">
        <v>5.25350818734674</v>
      </c>
    </row>
    <row r="1386" customFormat="false" ht="15" hidden="false" customHeight="false" outlineLevel="0" collapsed="false">
      <c r="A1386" s="28" t="n">
        <v>138116.248970467</v>
      </c>
      <c r="B1386" s="29" t="n">
        <v>6</v>
      </c>
      <c r="C1386" s="18" t="n">
        <v>4.41250737117093</v>
      </c>
      <c r="D1386" s="18" t="n">
        <v>5.57543396174943</v>
      </c>
      <c r="E1386" s="18" t="n">
        <v>5.99945481103999</v>
      </c>
      <c r="F1386" s="18" t="n">
        <v>6.06568124837006</v>
      </c>
      <c r="G1386" s="18" t="n">
        <v>5.36530309204314</v>
      </c>
      <c r="H1386" s="18" t="n">
        <v>5.27980859326622</v>
      </c>
      <c r="I1386" s="18" t="n">
        <v>5.24898494965322</v>
      </c>
      <c r="J1386" s="18" t="n">
        <v>5.24927330962647</v>
      </c>
    </row>
    <row r="1387" customFormat="false" ht="15" hidden="false" customHeight="false" outlineLevel="0" collapsed="false">
      <c r="A1387" s="28" t="n">
        <v>138216.260736557</v>
      </c>
      <c r="B1387" s="29" t="n">
        <v>6</v>
      </c>
      <c r="C1387" s="18" t="n">
        <v>4.51820037802819</v>
      </c>
      <c r="D1387" s="18" t="n">
        <v>8.04480140633683</v>
      </c>
      <c r="E1387" s="18" t="n">
        <v>5.99949108219945</v>
      </c>
      <c r="F1387" s="18" t="n">
        <v>6.18183663744016</v>
      </c>
      <c r="G1387" s="18" t="n">
        <v>5.4165509848219</v>
      </c>
      <c r="H1387" s="18" t="n">
        <v>5.16549924617995</v>
      </c>
      <c r="I1387" s="18" t="n">
        <v>5.2489849761942</v>
      </c>
      <c r="J1387" s="18" t="n">
        <v>5.24383700778285</v>
      </c>
    </row>
    <row r="1388" customFormat="false" ht="15" hidden="false" customHeight="false" outlineLevel="0" collapsed="false">
      <c r="A1388" s="28" t="n">
        <v>138316.272502647</v>
      </c>
      <c r="B1388" s="29" t="n">
        <v>6</v>
      </c>
      <c r="C1388" s="18" t="n">
        <v>4.89202949363497</v>
      </c>
      <c r="D1388" s="18" t="n">
        <v>6.27173024108996</v>
      </c>
      <c r="E1388" s="18" t="n">
        <v>5.99952493562535</v>
      </c>
      <c r="F1388" s="18" t="n">
        <v>5.99935018501589</v>
      </c>
      <c r="G1388" s="18" t="n">
        <v>5.42413332429986</v>
      </c>
      <c r="H1388" s="18" t="n">
        <v>5.13488122245861</v>
      </c>
      <c r="I1388" s="18" t="n">
        <v>5.24898500098215</v>
      </c>
      <c r="J1388" s="18" t="n">
        <v>5.24672274859896</v>
      </c>
    </row>
    <row r="1389" customFormat="false" ht="15" hidden="false" customHeight="false" outlineLevel="0" collapsed="false">
      <c r="A1389" s="28" t="n">
        <v>138416.284268738</v>
      </c>
      <c r="B1389" s="29" t="n">
        <v>6</v>
      </c>
      <c r="C1389" s="18" t="n">
        <v>8.70064127220789</v>
      </c>
      <c r="D1389" s="18" t="n">
        <v>4.94566432338546</v>
      </c>
      <c r="E1389" s="18" t="n">
        <v>5.9995565330801</v>
      </c>
      <c r="F1389" s="18" t="n">
        <v>5.85650121262678</v>
      </c>
      <c r="G1389" s="18" t="n">
        <v>5.04240516071397</v>
      </c>
      <c r="H1389" s="18" t="n">
        <v>5.28714967323282</v>
      </c>
      <c r="I1389" s="18" t="n">
        <v>5.24898502413227</v>
      </c>
      <c r="J1389" s="18" t="n">
        <v>5.25224850623838</v>
      </c>
    </row>
    <row r="1390" customFormat="false" ht="15" hidden="false" customHeight="false" outlineLevel="0" collapsed="false">
      <c r="A1390" s="28" t="n">
        <v>138516.296034828</v>
      </c>
      <c r="B1390" s="29" t="n">
        <v>6</v>
      </c>
      <c r="C1390" s="18" t="n">
        <v>9.0321461039346</v>
      </c>
      <c r="D1390" s="18" t="n">
        <v>5.05085554893142</v>
      </c>
      <c r="E1390" s="18" t="n">
        <v>5.99958602542477</v>
      </c>
      <c r="F1390" s="18" t="n">
        <v>5.91239573914281</v>
      </c>
      <c r="G1390" s="18" t="n">
        <v>4.83923038995928</v>
      </c>
      <c r="H1390" s="18" t="n">
        <v>5.29506761625409</v>
      </c>
      <c r="I1390" s="18" t="n">
        <v>5.24898504575227</v>
      </c>
      <c r="J1390" s="18" t="n">
        <v>5.25270048819129</v>
      </c>
    </row>
    <row r="1391" customFormat="false" ht="15" hidden="false" customHeight="false" outlineLevel="0" collapsed="false">
      <c r="A1391" s="28" t="n">
        <v>138616.307800918</v>
      </c>
      <c r="B1391" s="29" t="n">
        <v>6</v>
      </c>
      <c r="C1391" s="18" t="n">
        <v>4.62294799534394</v>
      </c>
      <c r="D1391" s="18" t="n">
        <v>5.42308666952013</v>
      </c>
      <c r="E1391" s="18" t="n">
        <v>5.99961355336396</v>
      </c>
      <c r="F1391" s="18" t="n">
        <v>6.08241738657303</v>
      </c>
      <c r="G1391" s="18" t="n">
        <v>5.31413969870893</v>
      </c>
      <c r="H1391" s="18" t="n">
        <v>5.28489006684901</v>
      </c>
      <c r="I1391" s="18" t="n">
        <v>5.24898506594282</v>
      </c>
      <c r="J1391" s="18" t="n">
        <v>5.24844503373383</v>
      </c>
    </row>
    <row r="1392" customFormat="false" ht="15" hidden="false" customHeight="false" outlineLevel="0" collapsed="false">
      <c r="A1392" s="28" t="n">
        <v>138716.319567008</v>
      </c>
      <c r="B1392" s="29" t="n">
        <v>6</v>
      </c>
      <c r="C1392" s="18" t="n">
        <v>4.44550417522679</v>
      </c>
      <c r="D1392" s="18" t="n">
        <v>7.62646386575369</v>
      </c>
      <c r="E1392" s="18" t="n">
        <v>5.99963924813822</v>
      </c>
      <c r="F1392" s="18" t="n">
        <v>6.14689146325994</v>
      </c>
      <c r="G1392" s="18" t="n">
        <v>5.40383712518694</v>
      </c>
      <c r="H1392" s="18" t="n">
        <v>5.229054911274</v>
      </c>
      <c r="I1392" s="18" t="n">
        <v>5.24898508479806</v>
      </c>
      <c r="J1392" s="18" t="n">
        <v>5.24439884719758</v>
      </c>
    </row>
    <row r="1393" customFormat="false" ht="15" hidden="false" customHeight="false" outlineLevel="0" collapsed="false">
      <c r="A1393" s="28" t="n">
        <v>138816.331333098</v>
      </c>
      <c r="B1393" s="29" t="n">
        <v>6</v>
      </c>
      <c r="C1393" s="18" t="n">
        <v>4.69780105873318</v>
      </c>
      <c r="D1393" s="18" t="n">
        <v>8.14818377643181</v>
      </c>
      <c r="E1393" s="18" t="n">
        <v>5.99966323216845</v>
      </c>
      <c r="F1393" s="18" t="n">
        <v>5.97474205279986</v>
      </c>
      <c r="G1393" s="18" t="n">
        <v>5.42619281257968</v>
      </c>
      <c r="H1393" s="18" t="n">
        <v>5.12853011312621</v>
      </c>
      <c r="I1393" s="18" t="n">
        <v>5.24898510240594</v>
      </c>
      <c r="J1393" s="18" t="n">
        <v>5.24777087321787</v>
      </c>
    </row>
    <row r="1394" customFormat="false" ht="15" hidden="false" customHeight="false" outlineLevel="0" collapsed="false">
      <c r="A1394" s="28" t="n">
        <v>138916.343099188</v>
      </c>
      <c r="B1394" s="29" t="n">
        <v>6</v>
      </c>
      <c r="C1394" s="18" t="n">
        <v>5.71411687545175</v>
      </c>
      <c r="D1394" s="18" t="n">
        <v>5.05346355095095</v>
      </c>
      <c r="E1394" s="18" t="n">
        <v>5.99968561965515</v>
      </c>
      <c r="F1394" s="18" t="n">
        <v>5.87213336713315</v>
      </c>
      <c r="G1394" s="18" t="n">
        <v>5.38798844155224</v>
      </c>
      <c r="H1394" s="18" t="n">
        <v>5.2784475918187</v>
      </c>
      <c r="I1394" s="18" t="n">
        <v>5.2489851188487</v>
      </c>
      <c r="J1394" s="18" t="n">
        <v>5.25216471325787</v>
      </c>
    </row>
    <row r="1395" customFormat="false" ht="15" hidden="false" customHeight="false" outlineLevel="0" collapsed="false">
      <c r="A1395" s="28" t="n">
        <v>139016.354865278</v>
      </c>
      <c r="B1395" s="29" t="n">
        <v>6</v>
      </c>
      <c r="C1395" s="18" t="n">
        <v>9.13729003926187</v>
      </c>
      <c r="D1395" s="18" t="n">
        <v>5.00035553960647</v>
      </c>
      <c r="E1395" s="18" t="n">
        <v>5.99970651713642</v>
      </c>
      <c r="F1395" s="18" t="n">
        <v>5.94147954110957</v>
      </c>
      <c r="G1395" s="18" t="n">
        <v>4.89327512051656</v>
      </c>
      <c r="H1395" s="18" t="n">
        <v>5.29551026938297</v>
      </c>
      <c r="I1395" s="18" t="n">
        <v>5.24898513420318</v>
      </c>
      <c r="J1395" s="18" t="n">
        <v>5.251907292563</v>
      </c>
    </row>
    <row r="1396" customFormat="false" ht="15" hidden="false" customHeight="false" outlineLevel="0" collapsed="false">
      <c r="A1396" s="28" t="n">
        <v>139116.366631368</v>
      </c>
      <c r="B1396" s="29" t="n">
        <v>6</v>
      </c>
      <c r="C1396" s="18" t="n">
        <v>5.06943061346842</v>
      </c>
      <c r="D1396" s="18" t="n">
        <v>5.30522967670555</v>
      </c>
      <c r="E1396" s="18" t="n">
        <v>5.99972602400701</v>
      </c>
      <c r="F1396" s="18" t="n">
        <v>6.0917871018232</v>
      </c>
      <c r="G1396" s="18" t="n">
        <v>5.18433124769093</v>
      </c>
      <c r="H1396" s="18" t="n">
        <v>5.28866687430518</v>
      </c>
      <c r="I1396" s="18" t="n">
        <v>5.24898514854119</v>
      </c>
      <c r="J1396" s="18" t="n">
        <v>5.24780146590126</v>
      </c>
    </row>
    <row r="1397" customFormat="false" ht="15" hidden="false" customHeight="false" outlineLevel="0" collapsed="false">
      <c r="A1397" s="28" t="n">
        <v>139216.378397459</v>
      </c>
      <c r="B1397" s="29" t="n">
        <v>6</v>
      </c>
      <c r="C1397" s="18" t="n">
        <v>4.40670507484936</v>
      </c>
      <c r="D1397" s="18" t="n">
        <v>6.33800178823354</v>
      </c>
      <c r="E1397" s="18" t="n">
        <v>5.99974423300168</v>
      </c>
      <c r="F1397" s="18" t="n">
        <v>6.1128185280634</v>
      </c>
      <c r="G1397" s="18" t="n">
        <v>5.38517948767338</v>
      </c>
      <c r="H1397" s="18" t="n">
        <v>5.2579227058782</v>
      </c>
      <c r="I1397" s="18" t="n">
        <v>5.24898516192981</v>
      </c>
      <c r="J1397" s="18" t="n">
        <v>5.24507817670009</v>
      </c>
    </row>
    <row r="1398" customFormat="false" ht="15" hidden="false" customHeight="false" outlineLevel="0" collapsed="false">
      <c r="A1398" s="28" t="n">
        <v>139316.390163549</v>
      </c>
      <c r="B1398" s="29" t="n">
        <v>6</v>
      </c>
      <c r="C1398" s="18" t="n">
        <v>4.56822608847864</v>
      </c>
      <c r="D1398" s="18" t="n">
        <v>8.27182935943249</v>
      </c>
      <c r="E1398" s="18" t="n">
        <v>5.99976123064529</v>
      </c>
      <c r="F1398" s="18" t="n">
        <v>5.95773114182999</v>
      </c>
      <c r="G1398" s="18" t="n">
        <v>5.42115447145362</v>
      </c>
      <c r="H1398" s="18" t="n">
        <v>5.13317501870549</v>
      </c>
      <c r="I1398" s="18" t="n">
        <v>5.24898517443175</v>
      </c>
      <c r="J1398" s="18" t="n">
        <v>5.24859569300458</v>
      </c>
    </row>
    <row r="1399" customFormat="false" ht="15" hidden="false" customHeight="false" outlineLevel="0" collapsed="false">
      <c r="A1399" s="28" t="n">
        <v>139416.401929639</v>
      </c>
      <c r="B1399" s="29" t="n">
        <v>6</v>
      </c>
      <c r="C1399" s="18" t="n">
        <v>5.03762168203377</v>
      </c>
      <c r="D1399" s="18" t="n">
        <v>5.20860517310998</v>
      </c>
      <c r="E1399" s="18" t="n">
        <v>5.9997770976721</v>
      </c>
      <c r="F1399" s="18" t="n">
        <v>5.88910866786292</v>
      </c>
      <c r="G1399" s="18" t="n">
        <v>5.41873730311273</v>
      </c>
      <c r="H1399" s="18" t="n">
        <v>5.26613377733528</v>
      </c>
      <c r="I1399" s="18" t="n">
        <v>5.24898518610558</v>
      </c>
      <c r="J1399" s="18" t="n">
        <v>5.25197929809369</v>
      </c>
    </row>
    <row r="1400" customFormat="false" ht="15" hidden="false" customHeight="false" outlineLevel="0" collapsed="false">
      <c r="A1400" s="28" t="n">
        <v>139516.413695729</v>
      </c>
      <c r="B1400" s="29" t="n">
        <v>6</v>
      </c>
      <c r="C1400" s="18" t="n">
        <v>8.91672953051219</v>
      </c>
      <c r="D1400" s="18" t="n">
        <v>4.95319901715994</v>
      </c>
      <c r="E1400" s="18" t="n">
        <v>5.99979190941609</v>
      </c>
      <c r="F1400" s="18" t="n">
        <v>5.96725841295445</v>
      </c>
      <c r="G1400" s="18" t="n">
        <v>4.96978085927844</v>
      </c>
      <c r="H1400" s="18" t="n">
        <v>5.29542426289172</v>
      </c>
      <c r="I1400" s="18" t="n">
        <v>5.24898519700603</v>
      </c>
      <c r="J1400" s="18" t="n">
        <v>5.25115300513901</v>
      </c>
    </row>
    <row r="1401" customFormat="false" ht="15" hidden="false" customHeight="false" outlineLevel="0" collapsed="false">
      <c r="A1401" s="28" t="n">
        <v>139616.425461819</v>
      </c>
      <c r="B1401" s="29" t="n">
        <v>6</v>
      </c>
      <c r="C1401" s="18" t="n">
        <v>8.69959699844234</v>
      </c>
      <c r="D1401" s="18" t="n">
        <v>5.19481907706815</v>
      </c>
      <c r="E1401" s="18" t="n">
        <v>5.99980573617482</v>
      </c>
      <c r="F1401" s="18" t="n">
        <v>6.0941413449816</v>
      </c>
      <c r="G1401" s="18" t="n">
        <v>4.83730337833495</v>
      </c>
      <c r="H1401" s="18" t="n">
        <v>5.29194239382106</v>
      </c>
      <c r="I1401" s="18" t="n">
        <v>5.24898520718423</v>
      </c>
      <c r="J1401" s="18" t="n">
        <v>5.24735793612694</v>
      </c>
    </row>
    <row r="1402" customFormat="false" ht="15" hidden="false" customHeight="false" outlineLevel="0" collapsed="false">
      <c r="A1402" s="28" t="n">
        <v>139716.437227909</v>
      </c>
      <c r="B1402" s="29" t="n">
        <v>6</v>
      </c>
      <c r="C1402" s="18" t="n">
        <v>4.50119435156474</v>
      </c>
      <c r="D1402" s="18" t="n">
        <v>5.80798480765397</v>
      </c>
      <c r="E1402" s="18" t="n">
        <v>5.99981864354819</v>
      </c>
      <c r="F1402" s="18" t="n">
        <v>6.08159786445543</v>
      </c>
      <c r="G1402" s="18" t="n">
        <v>5.34223571283884</v>
      </c>
      <c r="H1402" s="18" t="n">
        <v>5.27210130042029</v>
      </c>
      <c r="I1402" s="18" t="n">
        <v>5.24898521668793</v>
      </c>
      <c r="J1402" s="18" t="n">
        <v>5.24580201817399</v>
      </c>
    </row>
    <row r="1403" customFormat="false" ht="15" hidden="false" customHeight="false" outlineLevel="0" collapsed="false">
      <c r="A1403" s="28" t="n">
        <v>139816.448993999</v>
      </c>
      <c r="B1403" s="29" t="n">
        <v>6</v>
      </c>
      <c r="C1403" s="18" t="n">
        <v>4.47767864361142</v>
      </c>
      <c r="D1403" s="18" t="n">
        <v>8.2151582886127</v>
      </c>
      <c r="E1403" s="18" t="n">
        <v>5.99983069275441</v>
      </c>
      <c r="F1403" s="18" t="n">
        <v>5.94722257993198</v>
      </c>
      <c r="G1403" s="18" t="n">
        <v>5.41075190844095</v>
      </c>
      <c r="H1403" s="18" t="n">
        <v>5.14458997247417</v>
      </c>
      <c r="I1403" s="18" t="n">
        <v>5.24898522556174</v>
      </c>
      <c r="J1403" s="18" t="n">
        <v>5.24921590717612</v>
      </c>
    </row>
    <row r="1404" customFormat="false" ht="15" hidden="false" customHeight="false" outlineLevel="0" collapsed="false">
      <c r="A1404" s="28" t="n">
        <v>139916.460760089</v>
      </c>
      <c r="B1404" s="29" t="n">
        <v>6</v>
      </c>
      <c r="C1404" s="18" t="n">
        <v>4.78360786639203</v>
      </c>
      <c r="D1404" s="18" t="n">
        <v>5.50723392653653</v>
      </c>
      <c r="E1404" s="18" t="n">
        <v>5.99984194092431</v>
      </c>
      <c r="F1404" s="18" t="n">
        <v>5.90673107147456</v>
      </c>
      <c r="G1404" s="18" t="n">
        <v>5.42629863942219</v>
      </c>
      <c r="H1404" s="18" t="n">
        <v>5.23707597466012</v>
      </c>
      <c r="I1404" s="18" t="n">
        <v>5.24898523384735</v>
      </c>
      <c r="J1404" s="18" t="n">
        <v>5.251714067911</v>
      </c>
    </row>
    <row r="1405" customFormat="false" ht="15" hidden="false" customHeight="false" outlineLevel="0" collapsed="false">
      <c r="A1405" s="28" t="n">
        <v>140016.47252618</v>
      </c>
      <c r="B1405" s="29" t="n">
        <v>6</v>
      </c>
      <c r="C1405" s="18" t="n">
        <v>8.20670953856767</v>
      </c>
      <c r="D1405" s="18" t="n">
        <v>4.92942873193938</v>
      </c>
      <c r="E1405" s="18" t="n">
        <v>5.99985244137564</v>
      </c>
      <c r="F1405" s="18" t="n">
        <v>5.9890878030356</v>
      </c>
      <c r="G1405" s="18" t="n">
        <v>5.33807828269963</v>
      </c>
      <c r="H1405" s="18" t="n">
        <v>5.29372955904775</v>
      </c>
      <c r="I1405" s="18" t="n">
        <v>5.24898524158368</v>
      </c>
      <c r="J1405" s="18" t="n">
        <v>5.25046146782671</v>
      </c>
    </row>
    <row r="1406" customFormat="false" ht="15" hidden="false" customHeight="false" outlineLevel="0" collapsed="false">
      <c r="A1406" s="28" t="n">
        <v>140116.48429227</v>
      </c>
      <c r="B1406" s="29" t="n">
        <v>6</v>
      </c>
      <c r="C1406" s="18" t="n">
        <v>9.18129601640565</v>
      </c>
      <c r="D1406" s="18" t="n">
        <v>5.10954798710939</v>
      </c>
      <c r="E1406" s="18" t="n">
        <v>5.99986224386887</v>
      </c>
      <c r="F1406" s="18" t="n">
        <v>6.09055738056429</v>
      </c>
      <c r="G1406" s="18" t="n">
        <v>4.86393419768284</v>
      </c>
      <c r="H1406" s="18" t="n">
        <v>5.2940867194299</v>
      </c>
      <c r="I1406" s="18" t="n">
        <v>5.24898524880708</v>
      </c>
      <c r="J1406" s="18" t="n">
        <v>5.2471086360697</v>
      </c>
    </row>
    <row r="1407" customFormat="false" ht="15" hidden="false" customHeight="false" outlineLevel="0" collapsed="false">
      <c r="A1407" s="28" t="n">
        <v>140216.49605836</v>
      </c>
      <c r="B1407" s="29" t="n">
        <v>6</v>
      </c>
      <c r="C1407" s="18" t="n">
        <v>4.79582409848105</v>
      </c>
      <c r="D1407" s="18" t="n">
        <v>5.56426692837864</v>
      </c>
      <c r="E1407" s="18" t="n">
        <v>5.99987139484556</v>
      </c>
      <c r="F1407" s="18" t="n">
        <v>6.05443592623584</v>
      </c>
      <c r="G1407" s="18" t="n">
        <v>5.2757198105939</v>
      </c>
      <c r="H1407" s="18" t="n">
        <v>5.28017657365485</v>
      </c>
      <c r="I1407" s="18" t="n">
        <v>5.24898525555153</v>
      </c>
      <c r="J1407" s="18" t="n">
        <v>5.2465110812406</v>
      </c>
    </row>
    <row r="1408" customFormat="false" ht="15" hidden="false" customHeight="false" outlineLevel="0" collapsed="false">
      <c r="A1408" s="28" t="n">
        <v>140316.50782445</v>
      </c>
      <c r="B1408" s="29" t="n">
        <v>6</v>
      </c>
      <c r="C1408" s="18" t="n">
        <v>4.42142835603361</v>
      </c>
      <c r="D1408" s="18" t="n">
        <v>8.02849568748949</v>
      </c>
      <c r="E1408" s="18" t="n">
        <v>5.9998799376508</v>
      </c>
      <c r="F1408" s="18" t="n">
        <v>5.94205033899845</v>
      </c>
      <c r="G1408" s="18" t="n">
        <v>5.39571499577123</v>
      </c>
      <c r="H1408" s="18" t="n">
        <v>5.16765098702258</v>
      </c>
      <c r="I1408" s="18" t="n">
        <v>5.24898526184873</v>
      </c>
      <c r="J1408" s="18" t="n">
        <v>5.24965628927096</v>
      </c>
    </row>
    <row r="1409" customFormat="false" ht="15" hidden="false" customHeight="false" outlineLevel="0" collapsed="false">
      <c r="A1409" s="28" t="n">
        <v>140416.51959054</v>
      </c>
      <c r="B1409" s="29" t="n">
        <v>6</v>
      </c>
      <c r="C1409" s="18" t="n">
        <v>4.62736667328412</v>
      </c>
      <c r="D1409" s="18" t="n">
        <v>6.39782389148883</v>
      </c>
      <c r="E1409" s="18" t="n">
        <v>5.99988791274035</v>
      </c>
      <c r="F1409" s="18" t="n">
        <v>5.92430096305348</v>
      </c>
      <c r="G1409" s="18" t="n">
        <v>5.42437257948829</v>
      </c>
      <c r="H1409" s="18" t="n">
        <v>5.13333347866536</v>
      </c>
      <c r="I1409" s="18" t="n">
        <v>5.2489852677283</v>
      </c>
      <c r="J1409" s="18" t="n">
        <v>5.25139242169672</v>
      </c>
    </row>
    <row r="1410" customFormat="false" ht="15" hidden="false" customHeight="false" outlineLevel="0" collapsed="false">
      <c r="A1410" s="28" t="n">
        <v>140516.53135663</v>
      </c>
      <c r="B1410" s="29" t="n">
        <v>6</v>
      </c>
      <c r="C1410" s="18" t="n">
        <v>5.25727879913655</v>
      </c>
      <c r="D1410" s="18" t="n">
        <v>4.95088602052799</v>
      </c>
      <c r="E1410" s="18" t="n">
        <v>5.99989535787407</v>
      </c>
      <c r="F1410" s="18" t="n">
        <v>6.00657319043507</v>
      </c>
      <c r="G1410" s="18" t="n">
        <v>5.40823339095297</v>
      </c>
      <c r="H1410" s="18" t="n">
        <v>5.28668373775302</v>
      </c>
      <c r="I1410" s="18" t="n">
        <v>5.24898527321792</v>
      </c>
      <c r="J1410" s="18" t="n">
        <v>5.24985296227631</v>
      </c>
    </row>
    <row r="1411" customFormat="false" ht="15" hidden="false" customHeight="false" outlineLevel="0" collapsed="false">
      <c r="A1411" s="28" t="n">
        <v>140616.54312272</v>
      </c>
      <c r="B1411" s="29" t="n">
        <v>6</v>
      </c>
      <c r="C1411" s="18" t="n">
        <v>9.04988348255268</v>
      </c>
      <c r="D1411" s="18" t="n">
        <v>5.04829456615328</v>
      </c>
      <c r="E1411" s="18" t="n">
        <v>5.99990230829618</v>
      </c>
      <c r="F1411" s="18" t="n">
        <v>6.08253416141927</v>
      </c>
      <c r="G1411" s="18" t="n">
        <v>4.92724955562134</v>
      </c>
      <c r="H1411" s="18" t="n">
        <v>5.29508912889806</v>
      </c>
      <c r="I1411" s="18" t="n">
        <v>5.24898527834341</v>
      </c>
      <c r="J1411" s="18" t="n">
        <v>5.24703028228071</v>
      </c>
    </row>
    <row r="1412" customFormat="false" ht="15" hidden="false" customHeight="false" outlineLevel="0" collapsed="false">
      <c r="A1412" s="28" t="n">
        <v>140716.55488881</v>
      </c>
      <c r="B1412" s="29" t="n">
        <v>6</v>
      </c>
      <c r="C1412" s="18" t="n">
        <v>5.82623742319201</v>
      </c>
      <c r="D1412" s="18" t="n">
        <v>5.41669177052544</v>
      </c>
      <c r="E1412" s="18" t="n">
        <v>5.99990879690331</v>
      </c>
      <c r="F1412" s="18" t="n">
        <v>6.03186095913723</v>
      </c>
      <c r="G1412" s="18" t="n">
        <v>4.85818652428234</v>
      </c>
      <c r="H1412" s="18" t="n">
        <v>5.28509596948349</v>
      </c>
      <c r="I1412" s="18" t="n">
        <v>5.24898528312891</v>
      </c>
      <c r="J1412" s="18" t="n">
        <v>5.24716406271935</v>
      </c>
    </row>
    <row r="1413" customFormat="false" ht="15" hidden="false" customHeight="false" outlineLevel="0" collapsed="false">
      <c r="A1413" s="28" t="n">
        <v>140816.566654901</v>
      </c>
      <c r="B1413" s="29" t="n">
        <v>6</v>
      </c>
      <c r="C1413" s="18" t="n">
        <v>4.41250737117095</v>
      </c>
      <c r="D1413" s="18" t="n">
        <v>7.58758767146689</v>
      </c>
      <c r="E1413" s="18" t="n">
        <v>5.99991485440144</v>
      </c>
      <c r="F1413" s="18" t="n">
        <v>5.94108736102446</v>
      </c>
      <c r="G1413" s="18" t="n">
        <v>5.36530309204314</v>
      </c>
      <c r="H1413" s="18" t="n">
        <v>5.23157882944383</v>
      </c>
      <c r="I1413" s="18" t="n">
        <v>5.24898528759695</v>
      </c>
      <c r="J1413" s="18" t="n">
        <v>5.24994389864045</v>
      </c>
    </row>
    <row r="1414" customFormat="false" ht="15" hidden="false" customHeight="false" outlineLevel="0" collapsed="false">
      <c r="A1414" s="28" t="n">
        <v>140916.578420991</v>
      </c>
      <c r="B1414" s="29" t="n">
        <v>6</v>
      </c>
      <c r="C1414" s="18" t="n">
        <v>4.51820037802823</v>
      </c>
      <c r="D1414" s="18" t="n">
        <v>8.16476144885748</v>
      </c>
      <c r="E1414" s="18" t="n">
        <v>5.99992050945223</v>
      </c>
      <c r="F1414" s="18" t="n">
        <v>5.9411739445419</v>
      </c>
      <c r="G1414" s="18" t="n">
        <v>5.4165509848219</v>
      </c>
      <c r="H1414" s="18" t="n">
        <v>5.12862052968373</v>
      </c>
      <c r="I1414" s="18" t="n">
        <v>5.24898529176857</v>
      </c>
      <c r="J1414" s="18" t="n">
        <v>5.25103738095686</v>
      </c>
    </row>
    <row r="1415" customFormat="false" ht="15" hidden="false" customHeight="false" outlineLevel="0" collapsed="false">
      <c r="A1415" s="28" t="n">
        <v>141016.590187081</v>
      </c>
      <c r="B1415" s="29" t="n">
        <v>6</v>
      </c>
      <c r="C1415" s="18" t="n">
        <v>4.89202949363504</v>
      </c>
      <c r="D1415" s="18" t="n">
        <v>5.05935597012877</v>
      </c>
      <c r="E1415" s="18" t="n">
        <v>5.99992578880935</v>
      </c>
      <c r="F1415" s="18" t="n">
        <v>6.01961283117951</v>
      </c>
      <c r="G1415" s="18" t="n">
        <v>5.42413332429986</v>
      </c>
      <c r="H1415" s="18" t="n">
        <v>5.27792089577323</v>
      </c>
      <c r="I1415" s="18" t="n">
        <v>5.24898529566343</v>
      </c>
      <c r="J1415" s="18" t="n">
        <v>5.24934188797022</v>
      </c>
    </row>
    <row r="1416" customFormat="false" ht="15" hidden="false" customHeight="false" outlineLevel="0" collapsed="false">
      <c r="A1416" s="28" t="n">
        <v>141116.601953171</v>
      </c>
      <c r="B1416" s="29" t="n">
        <v>6</v>
      </c>
      <c r="C1416" s="18" t="n">
        <v>8.70064127220798</v>
      </c>
      <c r="D1416" s="18" t="n">
        <v>4.99585419706006</v>
      </c>
      <c r="E1416" s="18" t="n">
        <v>5.99993071744588</v>
      </c>
      <c r="F1416" s="18" t="n">
        <v>6.07167366202303</v>
      </c>
      <c r="G1416" s="18" t="n">
        <v>5.04240516071391</v>
      </c>
      <c r="H1416" s="18" t="n">
        <v>5.29556199656208</v>
      </c>
      <c r="I1416" s="18" t="n">
        <v>5.24898529929986</v>
      </c>
      <c r="J1416" s="18" t="n">
        <v>5.24708861895876</v>
      </c>
    </row>
    <row r="1417" customFormat="false" ht="15" hidden="false" customHeight="false" outlineLevel="0" collapsed="false">
      <c r="A1417" s="28" t="n">
        <v>141216.613719261</v>
      </c>
      <c r="B1417" s="29" t="n">
        <v>6</v>
      </c>
      <c r="C1417" s="18" t="n">
        <v>9.0321461039346</v>
      </c>
      <c r="D1417" s="18" t="n">
        <v>5.29589388103348</v>
      </c>
      <c r="E1417" s="18" t="n">
        <v>5.9999353186731</v>
      </c>
      <c r="F1417" s="18" t="n">
        <v>6.01390035503995</v>
      </c>
      <c r="G1417" s="18" t="n">
        <v>4.83923038995927</v>
      </c>
      <c r="H1417" s="18" t="n">
        <v>5.28896115229308</v>
      </c>
      <c r="I1417" s="18" t="n">
        <v>5.248985302695</v>
      </c>
      <c r="J1417" s="18" t="n">
        <v>5.24773654483226</v>
      </c>
    </row>
    <row r="1418" customFormat="false" ht="15" hidden="false" customHeight="false" outlineLevel="0" collapsed="false">
      <c r="A1418" s="28" t="n">
        <v>141316.625485351</v>
      </c>
      <c r="B1418" s="29" t="n">
        <v>6</v>
      </c>
      <c r="C1418" s="18" t="n">
        <v>4.62294799534391</v>
      </c>
      <c r="D1418" s="18" t="n">
        <v>6.2714963567415</v>
      </c>
      <c r="E1418" s="18" t="n">
        <v>5.99993961425133</v>
      </c>
      <c r="F1418" s="18" t="n">
        <v>5.94330280752632</v>
      </c>
      <c r="G1418" s="18" t="n">
        <v>5.31413969870893</v>
      </c>
      <c r="H1418" s="18" t="n">
        <v>5.2593641557653</v>
      </c>
      <c r="I1418" s="18" t="n">
        <v>5.24898530586486</v>
      </c>
      <c r="J1418" s="18" t="n">
        <v>5.25010565934806</v>
      </c>
    </row>
    <row r="1419" customFormat="false" ht="15" hidden="false" customHeight="false" outlineLevel="0" collapsed="false">
      <c r="A1419" s="28" t="n">
        <v>141416.637251441</v>
      </c>
      <c r="B1419" s="29" t="n">
        <v>6</v>
      </c>
      <c r="C1419" s="18" t="n">
        <v>4.4455041752268</v>
      </c>
      <c r="D1419" s="18" t="n">
        <v>8.2723804236377</v>
      </c>
      <c r="E1419" s="18" t="n">
        <v>5.99994362449327</v>
      </c>
      <c r="F1419" s="18" t="n">
        <v>5.95680056213224</v>
      </c>
      <c r="G1419" s="18" t="n">
        <v>5.40383712518694</v>
      </c>
      <c r="H1419" s="18" t="n">
        <v>5.13378114331473</v>
      </c>
      <c r="I1419" s="18" t="n">
        <v>5.24898530882437</v>
      </c>
      <c r="J1419" s="18" t="n">
        <v>5.2506702571235</v>
      </c>
    </row>
    <row r="1420" customFormat="false" ht="15" hidden="false" customHeight="false" outlineLevel="0" collapsed="false">
      <c r="A1420" s="28" t="n">
        <v>141516.649017532</v>
      </c>
      <c r="B1420" s="29" t="n">
        <v>6</v>
      </c>
      <c r="C1420" s="18" t="n">
        <v>4.69780105873319</v>
      </c>
      <c r="D1420" s="18" t="n">
        <v>5.22424822530388</v>
      </c>
      <c r="E1420" s="18" t="n">
        <v>5.99994736836045</v>
      </c>
      <c r="F1420" s="18" t="n">
        <v>6.02839620978518</v>
      </c>
      <c r="G1420" s="18" t="n">
        <v>5.42619281257968</v>
      </c>
      <c r="H1420" s="18" t="n">
        <v>5.26479403075646</v>
      </c>
      <c r="I1420" s="18" t="n">
        <v>5.24898531158748</v>
      </c>
      <c r="J1420" s="18" t="n">
        <v>5.24893542598686</v>
      </c>
    </row>
    <row r="1421" customFormat="false" ht="15" hidden="false" customHeight="false" outlineLevel="0" collapsed="false">
      <c r="A1421" s="28" t="n">
        <v>141616.660783622</v>
      </c>
      <c r="B1421" s="29" t="n">
        <v>6</v>
      </c>
      <c r="C1421" s="18" t="n">
        <v>5.71411687545181</v>
      </c>
      <c r="D1421" s="18" t="n">
        <v>4.94801493676258</v>
      </c>
      <c r="E1421" s="18" t="n">
        <v>5.99995086355333</v>
      </c>
      <c r="F1421" s="18" t="n">
        <v>6.05943617255166</v>
      </c>
      <c r="G1421" s="18" t="n">
        <v>5.38798844155224</v>
      </c>
      <c r="H1421" s="18" t="n">
        <v>5.29541251499478</v>
      </c>
      <c r="I1421" s="18" t="n">
        <v>5.24898531416723</v>
      </c>
      <c r="J1421" s="18" t="n">
        <v>5.24724541890742</v>
      </c>
    </row>
    <row r="1422" customFormat="false" ht="15" hidden="false" customHeight="false" outlineLevel="0" collapsed="false">
      <c r="A1422" s="28" t="n">
        <v>141716.672549712</v>
      </c>
      <c r="B1422" s="29" t="n">
        <v>6</v>
      </c>
      <c r="C1422" s="18" t="n">
        <v>9.13729003926187</v>
      </c>
      <c r="D1422" s="18" t="n">
        <v>5.18363148557474</v>
      </c>
      <c r="E1422" s="18" t="n">
        <v>5.99995412659532</v>
      </c>
      <c r="F1422" s="18" t="n">
        <v>6.00025749426571</v>
      </c>
      <c r="G1422" s="18" t="n">
        <v>4.89327512051655</v>
      </c>
      <c r="H1422" s="18" t="n">
        <v>5.292260362689</v>
      </c>
      <c r="I1422" s="18" t="n">
        <v>5.24898531657577</v>
      </c>
      <c r="J1422" s="18" t="n">
        <v>5.24821754244777</v>
      </c>
    </row>
    <row r="1423" customFormat="false" ht="15" hidden="false" customHeight="false" outlineLevel="0" collapsed="false">
      <c r="A1423" s="28" t="n">
        <v>141816.684315802</v>
      </c>
      <c r="B1423" s="29" t="n">
        <v>6</v>
      </c>
      <c r="C1423" s="18" t="n">
        <v>5.06943061346839</v>
      </c>
      <c r="D1423" s="18" t="n">
        <v>5.77251261856501</v>
      </c>
      <c r="E1423" s="18" t="n">
        <v>5.99995717291109</v>
      </c>
      <c r="F1423" s="18" t="n">
        <v>5.94778640681319</v>
      </c>
      <c r="G1423" s="18" t="n">
        <v>5.18433124769095</v>
      </c>
      <c r="H1423" s="18" t="n">
        <v>5.27324994354443</v>
      </c>
      <c r="I1423" s="18" t="n">
        <v>5.24898531882446</v>
      </c>
      <c r="J1423" s="18" t="n">
        <v>5.25016698753629</v>
      </c>
    </row>
    <row r="1424" customFormat="false" ht="15" hidden="false" customHeight="false" outlineLevel="0" collapsed="false">
      <c r="A1424" s="28" t="n">
        <v>141916.696081892</v>
      </c>
      <c r="B1424" s="29" t="n">
        <v>6</v>
      </c>
      <c r="C1424" s="18" t="n">
        <v>4.40670507484938</v>
      </c>
      <c r="D1424" s="18" t="n">
        <v>8.20121391758801</v>
      </c>
      <c r="E1424" s="18" t="n">
        <v>5.9999600168998</v>
      </c>
      <c r="F1424" s="18" t="n">
        <v>5.97075280689566</v>
      </c>
      <c r="G1424" s="18" t="n">
        <v>5.38517948767338</v>
      </c>
      <c r="H1424" s="18" t="n">
        <v>5.14642250845045</v>
      </c>
      <c r="I1424" s="18" t="n">
        <v>5.2489853209239</v>
      </c>
      <c r="J1424" s="18" t="n">
        <v>5.25030971222395</v>
      </c>
    </row>
    <row r="1425" customFormat="false" ht="15" hidden="false" customHeight="false" outlineLevel="0" collapsed="false">
      <c r="A1425" s="28" t="n">
        <v>142016.707847982</v>
      </c>
      <c r="B1425" s="29" t="n">
        <v>6</v>
      </c>
      <c r="C1425" s="18" t="n">
        <v>4.56822608847867</v>
      </c>
      <c r="D1425" s="18" t="n">
        <v>5.56251158852336</v>
      </c>
      <c r="E1425" s="18" t="n">
        <v>5.99996267200338</v>
      </c>
      <c r="F1425" s="18" t="n">
        <v>6.03335951830067</v>
      </c>
      <c r="G1425" s="18" t="n">
        <v>5.42115447145363</v>
      </c>
      <c r="H1425" s="18" t="n">
        <v>5.22891268176519</v>
      </c>
      <c r="I1425" s="18" t="n">
        <v>5.248985322884</v>
      </c>
      <c r="J1425" s="18" t="n">
        <v>5.24863334179526</v>
      </c>
    </row>
    <row r="1426" customFormat="false" ht="15" hidden="false" customHeight="false" outlineLevel="0" collapsed="false">
      <c r="A1426" s="28" t="n">
        <v>142116.719614072</v>
      </c>
      <c r="B1426" s="29" t="n">
        <v>6</v>
      </c>
      <c r="C1426" s="18" t="n">
        <v>5.03762168203385</v>
      </c>
      <c r="D1426" s="18" t="n">
        <v>4.93269941244713</v>
      </c>
      <c r="E1426" s="18" t="n">
        <v>5.9999651507701</v>
      </c>
      <c r="F1426" s="18" t="n">
        <v>6.04700239938934</v>
      </c>
      <c r="G1426" s="18" t="n">
        <v>5.41873730311272</v>
      </c>
      <c r="H1426" s="18" t="n">
        <v>5.29319237198508</v>
      </c>
      <c r="I1426" s="18" t="n">
        <v>5.24898532471401</v>
      </c>
      <c r="J1426" s="18" t="n">
        <v>5.24746414600396</v>
      </c>
    </row>
    <row r="1427" customFormat="false" ht="15" hidden="false" customHeight="false" outlineLevel="0" collapsed="false">
      <c r="A1427" s="28" t="n">
        <v>142216.731380162</v>
      </c>
      <c r="B1427" s="29" t="n">
        <v>6</v>
      </c>
      <c r="C1427" s="18" t="n">
        <v>8.91672953051219</v>
      </c>
      <c r="D1427" s="18" t="n">
        <v>5.10677258937672</v>
      </c>
      <c r="E1427" s="18" t="n">
        <v>5.9999674649143</v>
      </c>
      <c r="F1427" s="18" t="n">
        <v>5.99045362085409</v>
      </c>
      <c r="G1427" s="18" t="n">
        <v>4.96978085927842</v>
      </c>
      <c r="H1427" s="18" t="n">
        <v>5.29411106599997</v>
      </c>
      <c r="I1427" s="18" t="n">
        <v>5.24898532642254</v>
      </c>
      <c r="J1427" s="18" t="n">
        <v>5.24860565224148</v>
      </c>
    </row>
    <row r="1428" customFormat="false" ht="15" hidden="false" customHeight="false" outlineLevel="0" collapsed="false">
      <c r="A1428" s="28" t="n">
        <v>142316.743146253</v>
      </c>
      <c r="B1428" s="29" t="n">
        <v>6</v>
      </c>
      <c r="C1428" s="18" t="n">
        <v>8.69959699844225</v>
      </c>
      <c r="D1428" s="18" t="n">
        <v>5.55587394847629</v>
      </c>
      <c r="E1428" s="18" t="n">
        <v>5.99996962537169</v>
      </c>
      <c r="F1428" s="18" t="n">
        <v>5.95375493858393</v>
      </c>
      <c r="G1428" s="18" t="n">
        <v>4.83730337833495</v>
      </c>
      <c r="H1428" s="18" t="n">
        <v>5.28044780987531</v>
      </c>
      <c r="I1428" s="18" t="n">
        <v>5.24898532801768</v>
      </c>
      <c r="J1428" s="18" t="n">
        <v>5.25015109359469</v>
      </c>
    </row>
    <row r="1429" customFormat="false" ht="15" hidden="false" customHeight="false" outlineLevel="0" collapsed="false">
      <c r="A1429" s="28" t="n">
        <v>142416.754912343</v>
      </c>
      <c r="B1429" s="29" t="n">
        <v>6</v>
      </c>
      <c r="C1429" s="18" t="n">
        <v>4.5011943515647</v>
      </c>
      <c r="D1429" s="18" t="n">
        <v>8.01503826479638</v>
      </c>
      <c r="E1429" s="18" t="n">
        <v>5.99997164235115</v>
      </c>
      <c r="F1429" s="18" t="n">
        <v>5.9827393622809</v>
      </c>
      <c r="G1429" s="18" t="n">
        <v>5.34223571283884</v>
      </c>
      <c r="H1429" s="18" t="n">
        <v>5.16946346053097</v>
      </c>
      <c r="I1429" s="18" t="n">
        <v>5.24898532950692</v>
      </c>
      <c r="J1429" s="18" t="n">
        <v>5.24997109977295</v>
      </c>
    </row>
    <row r="1430" customFormat="false" ht="15" hidden="false" customHeight="false" outlineLevel="0" collapsed="false">
      <c r="A1430" s="28" t="n">
        <v>142516.766678433</v>
      </c>
      <c r="B1430" s="29" t="n">
        <v>6</v>
      </c>
      <c r="C1430" s="18" t="n">
        <v>4.4776786436114</v>
      </c>
      <c r="D1430" s="18" t="n">
        <v>6.51481915319559</v>
      </c>
      <c r="E1430" s="18" t="n">
        <v>5.99997352538313</v>
      </c>
      <c r="F1430" s="18" t="n">
        <v>6.03511088696617</v>
      </c>
      <c r="G1430" s="18" t="n">
        <v>5.41075190844095</v>
      </c>
      <c r="H1430" s="18" t="n">
        <v>5.13237936256382</v>
      </c>
      <c r="I1430" s="18" t="n">
        <v>5.24898533089732</v>
      </c>
      <c r="J1430" s="18" t="n">
        <v>5.24842884558301</v>
      </c>
    </row>
    <row r="1431" customFormat="false" ht="15" hidden="false" customHeight="false" outlineLevel="0" collapsed="false">
      <c r="A1431" s="28" t="n">
        <v>142616.778444523</v>
      </c>
      <c r="B1431" s="29" t="n">
        <v>6</v>
      </c>
      <c r="C1431" s="18" t="n">
        <v>4.783607866392</v>
      </c>
      <c r="D1431" s="18" t="n">
        <v>4.95497503154557</v>
      </c>
      <c r="E1431" s="18" t="n">
        <v>5.99997528336477</v>
      </c>
      <c r="F1431" s="18" t="n">
        <v>6.03523012064607</v>
      </c>
      <c r="G1431" s="18" t="n">
        <v>5.42629863942219</v>
      </c>
      <c r="H1431" s="18" t="n">
        <v>5.2863042832478</v>
      </c>
      <c r="I1431" s="18" t="n">
        <v>5.24898533219542</v>
      </c>
      <c r="J1431" s="18" t="n">
        <v>5.24771349867047</v>
      </c>
    </row>
    <row r="1432" customFormat="false" ht="15" hidden="false" customHeight="false" outlineLevel="0" collapsed="false">
      <c r="A1432" s="28" t="n">
        <v>142716.790210613</v>
      </c>
      <c r="B1432" s="29" t="n">
        <v>6</v>
      </c>
      <c r="C1432" s="18" t="n">
        <v>8.20670953856732</v>
      </c>
      <c r="D1432" s="18" t="n">
        <v>5.04538930580635</v>
      </c>
      <c r="E1432" s="18" t="n">
        <v>5.99997692460205</v>
      </c>
      <c r="F1432" s="18" t="n">
        <v>5.98392849824335</v>
      </c>
      <c r="G1432" s="18" t="n">
        <v>5.33807828269966</v>
      </c>
      <c r="H1432" s="18" t="n">
        <v>5.29512564557756</v>
      </c>
      <c r="I1432" s="18" t="n">
        <v>5.24898533340735</v>
      </c>
      <c r="J1432" s="18" t="n">
        <v>5.24890571985108</v>
      </c>
    </row>
    <row r="1433" customFormat="false" ht="15" hidden="false" customHeight="false" outlineLevel="0" collapsed="false">
      <c r="A1433" s="28" t="n">
        <v>142816.801976703</v>
      </c>
      <c r="B1433" s="29" t="n">
        <v>6</v>
      </c>
      <c r="C1433" s="18" t="n">
        <v>9.18129601640509</v>
      </c>
      <c r="D1433" s="18" t="n">
        <v>5.40992824688052</v>
      </c>
      <c r="E1433" s="18" t="n">
        <v>5.99997845684901</v>
      </c>
      <c r="F1433" s="18" t="n">
        <v>5.96055031381123</v>
      </c>
      <c r="G1433" s="18" t="n">
        <v>4.86393419768284</v>
      </c>
      <c r="H1433" s="18" t="n">
        <v>5.28531601415345</v>
      </c>
      <c r="I1433" s="18" t="n">
        <v>5.24898533453883</v>
      </c>
      <c r="J1433" s="18" t="n">
        <v>5.25007866593013</v>
      </c>
    </row>
    <row r="1434" customFormat="false" ht="15" hidden="false" customHeight="false" outlineLevel="0" collapsed="false">
      <c r="A1434" s="28" t="n">
        <v>142916.813742793</v>
      </c>
      <c r="B1434" s="29" t="n">
        <v>6</v>
      </c>
      <c r="C1434" s="18" t="n">
        <v>4.79582409848107</v>
      </c>
      <c r="D1434" s="18" t="n">
        <v>7.54252444631578</v>
      </c>
      <c r="E1434" s="18" t="n">
        <v>5.99997988734451</v>
      </c>
      <c r="F1434" s="18" t="n">
        <v>5.99260965549088</v>
      </c>
      <c r="G1434" s="18" t="n">
        <v>5.2757198105939</v>
      </c>
      <c r="H1434" s="18" t="n">
        <v>5.23401802153162</v>
      </c>
      <c r="I1434" s="18" t="n">
        <v>5.24898533559519</v>
      </c>
      <c r="J1434" s="18" t="n">
        <v>5.2496660589969</v>
      </c>
    </row>
    <row r="1435" customFormat="false" ht="15" hidden="false" customHeight="false" outlineLevel="0" collapsed="false">
      <c r="A1435" s="28" t="n">
        <v>143016.825508883</v>
      </c>
      <c r="B1435" s="29" t="n">
        <v>6</v>
      </c>
      <c r="C1435" s="18" t="n">
        <v>4.42142835603363</v>
      </c>
      <c r="D1435" s="18" t="n">
        <v>8.18001748607138</v>
      </c>
      <c r="E1435" s="18" t="n">
        <v>5.99998122284658</v>
      </c>
      <c r="F1435" s="18" t="n">
        <v>6.0343442100239</v>
      </c>
      <c r="G1435" s="18" t="n">
        <v>5.39571499577123</v>
      </c>
      <c r="H1435" s="18" t="n">
        <v>5.12872942825177</v>
      </c>
      <c r="I1435" s="18" t="n">
        <v>5.24898533658143</v>
      </c>
      <c r="J1435" s="18" t="n">
        <v>5.24831020703908</v>
      </c>
    </row>
    <row r="1436" customFormat="false" ht="15" hidden="false" customHeight="false" outlineLevel="0" collapsed="false">
      <c r="A1436" s="28" t="n">
        <v>143116.837274974</v>
      </c>
      <c r="B1436" s="29" t="n">
        <v>6</v>
      </c>
      <c r="C1436" s="18" t="n">
        <v>4.62736667328415</v>
      </c>
      <c r="D1436" s="18" t="n">
        <v>5.0656523003967</v>
      </c>
      <c r="E1436" s="18" t="n">
        <v>5.99998246966413</v>
      </c>
      <c r="F1436" s="18" t="n">
        <v>6.02467365133309</v>
      </c>
      <c r="G1436" s="18" t="n">
        <v>5.42437257948829</v>
      </c>
      <c r="H1436" s="18" t="n">
        <v>5.27732203453246</v>
      </c>
      <c r="I1436" s="18" t="n">
        <v>5.2489853375022</v>
      </c>
      <c r="J1436" s="18" t="n">
        <v>5.24796894671179</v>
      </c>
    </row>
    <row r="1437" customFormat="false" ht="15" hidden="false" customHeight="false" outlineLevel="0" collapsed="false">
      <c r="A1437" s="28" t="n">
        <v>143216.849041064</v>
      </c>
      <c r="B1437" s="29" t="n">
        <v>6</v>
      </c>
      <c r="C1437" s="18" t="n">
        <v>5.25727879913668</v>
      </c>
      <c r="D1437" s="18" t="n">
        <v>4.98989688212523</v>
      </c>
      <c r="E1437" s="18" t="n">
        <v>5.99998363368705</v>
      </c>
      <c r="F1437" s="18" t="n">
        <v>5.98010595654743</v>
      </c>
      <c r="G1437" s="18" t="n">
        <v>5.40823339095296</v>
      </c>
      <c r="H1437" s="18" t="n">
        <v>5.29563872139492</v>
      </c>
      <c r="I1437" s="18" t="n">
        <v>5.24898533836185</v>
      </c>
      <c r="J1437" s="18" t="n">
        <v>5.24912629147476</v>
      </c>
    </row>
    <row r="1438" customFormat="false" ht="15" hidden="false" customHeight="false" outlineLevel="0" collapsed="false">
      <c r="A1438" s="28" t="n">
        <v>143316.860807154</v>
      </c>
      <c r="B1438" s="29" t="n">
        <v>6</v>
      </c>
      <c r="C1438" s="18" t="n">
        <v>9.04988348255309</v>
      </c>
      <c r="D1438" s="18" t="n">
        <v>5.28397830289696</v>
      </c>
      <c r="E1438" s="18" t="n">
        <v>5.99998472041395</v>
      </c>
      <c r="F1438" s="18" t="n">
        <v>5.96763424287725</v>
      </c>
      <c r="G1438" s="18" t="n">
        <v>4.92724955562133</v>
      </c>
      <c r="H1438" s="18" t="n">
        <v>5.28933713755484</v>
      </c>
      <c r="I1438" s="18" t="n">
        <v>5.24898533916442</v>
      </c>
      <c r="J1438" s="18" t="n">
        <v>5.2499677499388</v>
      </c>
    </row>
    <row r="1439" customFormat="false" ht="15" hidden="false" customHeight="false" outlineLevel="0" collapsed="false">
      <c r="A1439" s="28" t="n">
        <v>143416.872573244</v>
      </c>
      <c r="B1439" s="29" t="n">
        <v>6</v>
      </c>
      <c r="C1439" s="18" t="n">
        <v>5.82623742319167</v>
      </c>
      <c r="D1439" s="18" t="n">
        <v>6.19663143292094</v>
      </c>
      <c r="E1439" s="18" t="n">
        <v>5.9999857349782</v>
      </c>
      <c r="F1439" s="18" t="n">
        <v>6.00034661898581</v>
      </c>
      <c r="G1439" s="18" t="n">
        <v>4.85818652428234</v>
      </c>
      <c r="H1439" s="18" t="n">
        <v>5.26111089501429</v>
      </c>
      <c r="I1439" s="18" t="n">
        <v>5.24898533991372</v>
      </c>
      <c r="J1439" s="18" t="n">
        <v>5.24940237459819</v>
      </c>
    </row>
    <row r="1440" customFormat="false" ht="15" hidden="false" customHeight="false" outlineLevel="0" collapsed="false">
      <c r="A1440" s="28" t="n">
        <v>143516.884339334</v>
      </c>
      <c r="B1440" s="29" t="n">
        <v>6</v>
      </c>
      <c r="C1440" s="18" t="n">
        <v>4.41250737117091</v>
      </c>
      <c r="D1440" s="18" t="n">
        <v>8.27185225889883</v>
      </c>
      <c r="E1440" s="18" t="n">
        <v>5.99998668217212</v>
      </c>
      <c r="F1440" s="18" t="n">
        <v>6.03175947098004</v>
      </c>
      <c r="G1440" s="18" t="n">
        <v>5.36530309204314</v>
      </c>
      <c r="H1440" s="18" t="n">
        <v>5.13463875830735</v>
      </c>
      <c r="I1440" s="18" t="n">
        <v>5.24898534061327</v>
      </c>
      <c r="J1440" s="18" t="n">
        <v>5.2482627058601</v>
      </c>
    </row>
    <row r="1441" customFormat="false" ht="15" hidden="false" customHeight="false" outlineLevel="0" collapsed="false">
      <c r="A1441" s="28" t="n">
        <v>143616.896105424</v>
      </c>
      <c r="B1441" s="29" t="n">
        <v>6</v>
      </c>
      <c r="C1441" s="18" t="n">
        <v>4.5182003780282</v>
      </c>
      <c r="D1441" s="18" t="n">
        <v>5.24692860886828</v>
      </c>
      <c r="E1441" s="18" t="n">
        <v>5.99998756646978</v>
      </c>
      <c r="F1441" s="18" t="n">
        <v>6.01563468542904</v>
      </c>
      <c r="G1441" s="18" t="n">
        <v>5.4165509848219</v>
      </c>
      <c r="H1441" s="18" t="n">
        <v>5.262989481908</v>
      </c>
      <c r="I1441" s="18" t="n">
        <v>5.24898534126638</v>
      </c>
      <c r="J1441" s="18" t="n">
        <v>5.248212815956</v>
      </c>
    </row>
    <row r="1442" customFormat="false" ht="15" hidden="false" customHeight="false" outlineLevel="0" collapsed="false">
      <c r="A1442" s="28" t="n">
        <v>143716.907871514</v>
      </c>
      <c r="B1442" s="29" t="n">
        <v>6</v>
      </c>
      <c r="C1442" s="18" t="n">
        <v>4.89202949363498</v>
      </c>
      <c r="D1442" s="18" t="n">
        <v>4.94591104057374</v>
      </c>
      <c r="E1442" s="18" t="n">
        <v>5.99998839204802</v>
      </c>
      <c r="F1442" s="18" t="n">
        <v>5.97843360334876</v>
      </c>
      <c r="G1442" s="18" t="n">
        <v>5.42413332429986</v>
      </c>
      <c r="H1442" s="18" t="n">
        <v>5.29530657637832</v>
      </c>
      <c r="I1442" s="18" t="n">
        <v>5.24898534187612</v>
      </c>
      <c r="J1442" s="18" t="n">
        <v>5.24927780571364</v>
      </c>
    </row>
    <row r="1443" customFormat="false" ht="15" hidden="false" customHeight="false" outlineLevel="0" collapsed="false">
      <c r="A1443" s="28" t="n">
        <v>143816.919637604</v>
      </c>
      <c r="B1443" s="29" t="n">
        <v>6</v>
      </c>
      <c r="C1443" s="18" t="n">
        <v>8.70064127220789</v>
      </c>
      <c r="D1443" s="18" t="n">
        <v>5.17642396187942</v>
      </c>
      <c r="E1443" s="18" t="n">
        <v>5.99998916280624</v>
      </c>
      <c r="F1443" s="18" t="n">
        <v>5.9745815617218</v>
      </c>
      <c r="G1443" s="18" t="n">
        <v>5.04240516071396</v>
      </c>
      <c r="H1443" s="18" t="n">
        <v>5.29245122233107</v>
      </c>
      <c r="I1443" s="18" t="n">
        <v>5.24898534244539</v>
      </c>
      <c r="J1443" s="18" t="n">
        <v>5.24983372276656</v>
      </c>
    </row>
    <row r="1444" customFormat="false" ht="15" hidden="false" customHeight="false" outlineLevel="0" collapsed="false">
      <c r="A1444" s="28" t="n">
        <v>143916.931403695</v>
      </c>
      <c r="B1444" s="29" t="n">
        <v>6</v>
      </c>
      <c r="C1444" s="18" t="n">
        <v>9.0321461039342</v>
      </c>
      <c r="D1444" s="18" t="n">
        <v>5.74974354552709</v>
      </c>
      <c r="E1444" s="18" t="n">
        <v>5.99998988238487</v>
      </c>
      <c r="F1444" s="18" t="n">
        <v>6.00604923554527</v>
      </c>
      <c r="G1444" s="18" t="n">
        <v>4.83923038995928</v>
      </c>
      <c r="H1444" s="18" t="n">
        <v>5.27398956856248</v>
      </c>
      <c r="I1444" s="18" t="n">
        <v>5.24898534297686</v>
      </c>
      <c r="J1444" s="18" t="n">
        <v>5.24918410934148</v>
      </c>
    </row>
    <row r="1445" customFormat="false" ht="15" hidden="false" customHeight="false" outlineLevel="0" collapsed="false">
      <c r="A1445" s="28" t="n">
        <v>144016.943169785</v>
      </c>
      <c r="B1445" s="29" t="n">
        <v>6</v>
      </c>
      <c r="C1445" s="18" t="n">
        <v>4.62294799534395</v>
      </c>
      <c r="D1445" s="18" t="n">
        <v>8.19050847137521</v>
      </c>
      <c r="E1445" s="18" t="n">
        <v>5.99999055418259</v>
      </c>
      <c r="F1445" s="18" t="n">
        <v>6.0280014241496</v>
      </c>
      <c r="G1445" s="18" t="n">
        <v>5.31413969870893</v>
      </c>
      <c r="H1445" s="18" t="n">
        <v>5.14774430747142</v>
      </c>
      <c r="I1445" s="18" t="n">
        <v>5.24898534347305</v>
      </c>
      <c r="J1445" s="18" t="n">
        <v>5.2482705204836</v>
      </c>
    </row>
    <row r="1446" customFormat="false" ht="15" hidden="false" customHeight="false" outlineLevel="0" collapsed="false">
      <c r="A1446" s="28" t="n">
        <v>144116.954935875</v>
      </c>
      <c r="B1446" s="29" t="n">
        <v>6</v>
      </c>
      <c r="C1446" s="18" t="n">
        <v>4.44550417522682</v>
      </c>
      <c r="D1446" s="18" t="n">
        <v>5.60111002679171</v>
      </c>
      <c r="E1446" s="18" t="n">
        <v>5.99999118137228</v>
      </c>
      <c r="F1446" s="18" t="n">
        <v>6.00822212670714</v>
      </c>
      <c r="G1446" s="18" t="n">
        <v>5.40383712518694</v>
      </c>
      <c r="H1446" s="18" t="n">
        <v>5.22170824212703</v>
      </c>
      <c r="I1446" s="18" t="n">
        <v>5.2489853439363</v>
      </c>
      <c r="J1446" s="18" t="n">
        <v>5.24843353480209</v>
      </c>
    </row>
    <row r="1447" customFormat="false" ht="15" hidden="false" customHeight="false" outlineLevel="0" collapsed="false">
      <c r="A1447" s="28" t="n">
        <v>144216.966701965</v>
      </c>
      <c r="B1447" s="29" t="n">
        <v>6</v>
      </c>
      <c r="C1447" s="18" t="n">
        <v>4.69780105873322</v>
      </c>
      <c r="D1447" s="18" t="n">
        <v>4.93417444506688</v>
      </c>
      <c r="E1447" s="18" t="n">
        <v>5.99999176691617</v>
      </c>
      <c r="F1447" s="18" t="n">
        <v>5.9784051877443</v>
      </c>
      <c r="G1447" s="18" t="n">
        <v>5.42619281257968</v>
      </c>
      <c r="H1447" s="18" t="n">
        <v>5.29276955889899</v>
      </c>
      <c r="I1447" s="18" t="n">
        <v>5.24898534436879</v>
      </c>
      <c r="J1447" s="18" t="n">
        <v>5.24937137176142</v>
      </c>
    </row>
    <row r="1448" customFormat="false" ht="15" hidden="false" customHeight="false" outlineLevel="0" collapsed="false">
      <c r="A1448" s="28" t="n">
        <v>144316.978468055</v>
      </c>
      <c r="B1448" s="29" t="n">
        <v>6</v>
      </c>
      <c r="C1448" s="18" t="n">
        <v>5.71411687545219</v>
      </c>
      <c r="D1448" s="18" t="n">
        <v>5.10369715928338</v>
      </c>
      <c r="E1448" s="18" t="n">
        <v>5.99999231357972</v>
      </c>
      <c r="F1448" s="18" t="n">
        <v>5.98107267204536</v>
      </c>
      <c r="G1448" s="18" t="n">
        <v>5.38798844155222</v>
      </c>
      <c r="H1448" s="18" t="n">
        <v>5.29415530122777</v>
      </c>
      <c r="I1448" s="18" t="n">
        <v>5.24898534477257</v>
      </c>
      <c r="J1448" s="18" t="n">
        <v>5.24968932178927</v>
      </c>
    </row>
    <row r="1449" customFormat="false" ht="15" hidden="false" customHeight="false" outlineLevel="0" collapsed="false">
      <c r="A1449" s="28" t="n">
        <v>144416.990234145</v>
      </c>
      <c r="B1449" s="29" t="n">
        <v>6</v>
      </c>
      <c r="C1449" s="18" t="n">
        <v>9.13729003926136</v>
      </c>
      <c r="D1449" s="18" t="n">
        <v>5.5475248490667</v>
      </c>
      <c r="E1449" s="18" t="n">
        <v>5.99999282394478</v>
      </c>
      <c r="F1449" s="18" t="n">
        <v>6.00990743616538</v>
      </c>
      <c r="G1449" s="18" t="n">
        <v>4.89327512051655</v>
      </c>
      <c r="H1449" s="18" t="n">
        <v>5.28072281203023</v>
      </c>
      <c r="I1449" s="18" t="n">
        <v>5.24898534514954</v>
      </c>
      <c r="J1449" s="18" t="n">
        <v>5.24901198829854</v>
      </c>
    </row>
    <row r="1450" customFormat="false" ht="15" hidden="false" customHeight="false" outlineLevel="0" collapsed="false">
      <c r="A1450" s="28" t="n">
        <v>144517.002000235</v>
      </c>
      <c r="B1450" s="29" t="n">
        <v>6</v>
      </c>
      <c r="C1450" s="18" t="n">
        <v>5.06943061346833</v>
      </c>
      <c r="D1450" s="18" t="n">
        <v>8.00125875552986</v>
      </c>
      <c r="E1450" s="18" t="n">
        <v>5.99999330042169</v>
      </c>
      <c r="F1450" s="18" t="n">
        <v>6.02362099929932</v>
      </c>
      <c r="G1450" s="18" t="n">
        <v>5.18433124769099</v>
      </c>
      <c r="H1450" s="18" t="n">
        <v>5.1713941473681</v>
      </c>
      <c r="I1450" s="18" t="n">
        <v>5.24898534550148</v>
      </c>
      <c r="J1450" s="18" t="n">
        <v>5.24831827738024</v>
      </c>
    </row>
    <row r="1451" customFormat="false" ht="15" hidden="false" customHeight="false" outlineLevel="0" collapsed="false">
      <c r="A1451" s="28" t="n">
        <v>144617.013766326</v>
      </c>
      <c r="B1451" s="29" t="n">
        <v>6</v>
      </c>
      <c r="C1451" s="18" t="n">
        <v>4.40670507484937</v>
      </c>
      <c r="D1451" s="18" t="n">
        <v>6.65672280322188</v>
      </c>
      <c r="E1451" s="18" t="n">
        <v>5.99999374526072</v>
      </c>
      <c r="F1451" s="18" t="n">
        <v>6.00240823881156</v>
      </c>
      <c r="G1451" s="18" t="n">
        <v>5.38517948767338</v>
      </c>
      <c r="H1451" s="18" t="n">
        <v>5.13157992464062</v>
      </c>
      <c r="I1451" s="18" t="n">
        <v>5.24898534583006</v>
      </c>
      <c r="J1451" s="18" t="n">
        <v>5.24862452375548</v>
      </c>
    </row>
    <row r="1452" customFormat="false" ht="15" hidden="false" customHeight="false" outlineLevel="0" collapsed="false">
      <c r="A1452" s="28" t="n">
        <v>144717.025532416</v>
      </c>
      <c r="B1452" s="29" t="n">
        <v>6</v>
      </c>
      <c r="C1452" s="18" t="n">
        <v>4.56822608847866</v>
      </c>
      <c r="D1452" s="18" t="n">
        <v>4.95907698956032</v>
      </c>
      <c r="E1452" s="18" t="n">
        <v>5.99999416056269</v>
      </c>
      <c r="F1452" s="18" t="n">
        <v>5.97957199717063</v>
      </c>
      <c r="G1452" s="18" t="n">
        <v>5.42115447145363</v>
      </c>
      <c r="H1452" s="18" t="n">
        <v>5.28589852481438</v>
      </c>
      <c r="I1452" s="18" t="n">
        <v>5.24898534613682</v>
      </c>
      <c r="J1452" s="18" t="n">
        <v>5.24941797119564</v>
      </c>
    </row>
    <row r="1453" customFormat="false" ht="15" hidden="false" customHeight="false" outlineLevel="0" collapsed="false">
      <c r="A1453" s="28" t="n">
        <v>144817.037298506</v>
      </c>
      <c r="B1453" s="29" t="n">
        <v>6</v>
      </c>
      <c r="C1453" s="18" t="n">
        <v>5.03762168203383</v>
      </c>
      <c r="D1453" s="18" t="n">
        <v>5.04126573585405</v>
      </c>
      <c r="E1453" s="18" t="n">
        <v>5.99999454828894</v>
      </c>
      <c r="F1453" s="18" t="n">
        <v>5.98688483579216</v>
      </c>
      <c r="G1453" s="18" t="n">
        <v>5.41873730311272</v>
      </c>
      <c r="H1453" s="18" t="n">
        <v>5.2951905779857</v>
      </c>
      <c r="I1453" s="18" t="n">
        <v>5.24898534642321</v>
      </c>
      <c r="J1453" s="18" t="n">
        <v>5.24954471767848</v>
      </c>
    </row>
    <row r="1454" customFormat="false" ht="15" hidden="false" customHeight="false" outlineLevel="0" collapsed="false">
      <c r="A1454" s="28" t="n">
        <v>144917.049064596</v>
      </c>
      <c r="B1454" s="29" t="n">
        <v>6</v>
      </c>
      <c r="C1454" s="18" t="n">
        <v>8.91672953051219</v>
      </c>
      <c r="D1454" s="18" t="n">
        <v>5.40083200237071</v>
      </c>
      <c r="E1454" s="18" t="n">
        <v>5.99999491027049</v>
      </c>
      <c r="F1454" s="18" t="n">
        <v>6.01217299663189</v>
      </c>
      <c r="G1454" s="18" t="n">
        <v>4.96978085927842</v>
      </c>
      <c r="H1454" s="18" t="n">
        <v>5.28561631287315</v>
      </c>
      <c r="I1454" s="18" t="n">
        <v>5.24898534669059</v>
      </c>
      <c r="J1454" s="18" t="n">
        <v>5.24888397889582</v>
      </c>
    </row>
    <row r="1455" customFormat="false" ht="15" hidden="false" customHeight="false" outlineLevel="0" collapsed="false">
      <c r="A1455" s="28" t="n">
        <v>145017.060830686</v>
      </c>
      <c r="B1455" s="29" t="n">
        <v>6</v>
      </c>
      <c r="C1455" s="18" t="n">
        <v>8.69959699844225</v>
      </c>
      <c r="D1455" s="18" t="n">
        <v>7.47415328463523</v>
      </c>
      <c r="E1455" s="18" t="n">
        <v>5.99999524821685</v>
      </c>
      <c r="F1455" s="18" t="n">
        <v>6.01905785023417</v>
      </c>
      <c r="G1455" s="18" t="n">
        <v>4.83730337833495</v>
      </c>
      <c r="H1455" s="18" t="n">
        <v>5.23699053361969</v>
      </c>
      <c r="I1455" s="18" t="n">
        <v>5.24898534694022</v>
      </c>
      <c r="J1455" s="18" t="n">
        <v>5.2483921345597</v>
      </c>
    </row>
    <row r="1456" customFormat="false" ht="15" hidden="false" customHeight="false" outlineLevel="0" collapsed="false">
      <c r="A1456" s="28" t="n">
        <v>145117.072596776</v>
      </c>
      <c r="B1456" s="29" t="n">
        <v>6</v>
      </c>
      <c r="C1456" s="18" t="n">
        <v>4.50119435156472</v>
      </c>
      <c r="D1456" s="18" t="n">
        <v>8.19760896220188</v>
      </c>
      <c r="E1456" s="18" t="n">
        <v>5.99999556372397</v>
      </c>
      <c r="F1456" s="18" t="n">
        <v>5.9980756281255</v>
      </c>
      <c r="G1456" s="18" t="n">
        <v>5.34223571283884</v>
      </c>
      <c r="H1456" s="18" t="n">
        <v>5.128900367832</v>
      </c>
      <c r="I1456" s="18" t="n">
        <v>5.24898534717327</v>
      </c>
      <c r="J1456" s="18" t="n">
        <v>5.24878303342204</v>
      </c>
    </row>
    <row r="1457" customFormat="false" ht="15" hidden="false" customHeight="false" outlineLevel="0" collapsed="false">
      <c r="A1457" s="28" t="n">
        <v>145217.084362866</v>
      </c>
      <c r="B1457" s="29" t="n">
        <v>6</v>
      </c>
      <c r="C1457" s="18" t="n">
        <v>4.47767864361142</v>
      </c>
      <c r="D1457" s="18" t="n">
        <v>5.07438877944757</v>
      </c>
      <c r="E1457" s="18" t="n">
        <v>5.99999585828184</v>
      </c>
      <c r="F1457" s="18" t="n">
        <v>5.98154756596342</v>
      </c>
      <c r="G1457" s="18" t="n">
        <v>5.41075190844095</v>
      </c>
      <c r="H1457" s="18" t="n">
        <v>5.27650929548084</v>
      </c>
      <c r="I1457" s="18" t="n">
        <v>5.24898534739085</v>
      </c>
      <c r="J1457" s="18" t="n">
        <v>5.24942795036213</v>
      </c>
    </row>
    <row r="1458" customFormat="false" ht="15" hidden="false" customHeight="false" outlineLevel="0" collapsed="false">
      <c r="A1458" s="28" t="n">
        <v>145317.096128956</v>
      </c>
      <c r="B1458" s="29" t="n">
        <v>6</v>
      </c>
      <c r="C1458" s="18" t="n">
        <v>4.78360786639203</v>
      </c>
      <c r="D1458" s="18" t="n">
        <v>4.98237264994691</v>
      </c>
      <c r="E1458" s="18" t="n">
        <v>5.99999613328153</v>
      </c>
      <c r="F1458" s="18" t="n">
        <v>5.99188196536009</v>
      </c>
      <c r="G1458" s="18" t="n">
        <v>5.42629863942219</v>
      </c>
      <c r="H1458" s="18" t="n">
        <v>5.29573033095698</v>
      </c>
      <c r="I1458" s="18" t="n">
        <v>5.24898534759398</v>
      </c>
      <c r="J1458" s="18" t="n">
        <v>5.24940763709727</v>
      </c>
    </row>
    <row r="1459" customFormat="false" ht="15" hidden="false" customHeight="false" outlineLevel="0" collapsed="false">
      <c r="A1459" s="28" t="n">
        <v>145417.107895047</v>
      </c>
      <c r="B1459" s="29" t="n">
        <v>6</v>
      </c>
      <c r="C1459" s="18" t="n">
        <v>8.20670953856769</v>
      </c>
      <c r="D1459" s="18" t="n">
        <v>5.26902322860071</v>
      </c>
      <c r="E1459" s="18" t="n">
        <v>5.9999963900217</v>
      </c>
      <c r="F1459" s="18" t="n">
        <v>6.01313031457908</v>
      </c>
      <c r="G1459" s="18" t="n">
        <v>5.33807828269963</v>
      </c>
      <c r="H1459" s="18" t="n">
        <v>5.28980594979028</v>
      </c>
      <c r="I1459" s="18" t="n">
        <v>5.24898534778363</v>
      </c>
      <c r="J1459" s="18" t="n">
        <v>5.2487959857333</v>
      </c>
    </row>
    <row r="1460" customFormat="false" ht="15" hidden="false" customHeight="false" outlineLevel="0" collapsed="false">
      <c r="A1460" s="28" t="n">
        <v>145517.119661137</v>
      </c>
      <c r="B1460" s="29" t="n">
        <v>6</v>
      </c>
      <c r="C1460" s="18" t="n">
        <v>9.18129601640565</v>
      </c>
      <c r="D1460" s="18" t="n">
        <v>6.11436207942202</v>
      </c>
      <c r="E1460" s="18" t="n">
        <v>5.99999662971476</v>
      </c>
      <c r="F1460" s="18" t="n">
        <v>6.01463923058297</v>
      </c>
      <c r="G1460" s="18" t="n">
        <v>4.86393419768284</v>
      </c>
      <c r="H1460" s="18" t="n">
        <v>5.2631820344524</v>
      </c>
      <c r="I1460" s="18" t="n">
        <v>5.24898534796069</v>
      </c>
      <c r="J1460" s="18" t="n">
        <v>5.24848039992799</v>
      </c>
    </row>
    <row r="1461" customFormat="false" ht="15" hidden="false" customHeight="false" outlineLevel="0" collapsed="false">
      <c r="A1461" s="28" t="n">
        <v>145617.131427227</v>
      </c>
      <c r="B1461" s="29" t="n">
        <v>6</v>
      </c>
      <c r="C1461" s="18" t="n">
        <v>4.79582409848102</v>
      </c>
      <c r="D1461" s="18" t="n">
        <v>8.26918392125355</v>
      </c>
      <c r="E1461" s="18" t="n">
        <v>5.99999685349266</v>
      </c>
      <c r="F1461" s="18" t="n">
        <v>5.9950538578004</v>
      </c>
      <c r="G1461" s="18" t="n">
        <v>5.2757198105939</v>
      </c>
      <c r="H1461" s="18" t="n">
        <v>5.13587583099453</v>
      </c>
      <c r="I1461" s="18" t="n">
        <v>5.24898534812598</v>
      </c>
      <c r="J1461" s="18" t="n">
        <v>5.24890909101295</v>
      </c>
    </row>
    <row r="1462" customFormat="false" ht="15" hidden="false" customHeight="false" outlineLevel="0" collapsed="false">
      <c r="A1462" s="28" t="n">
        <v>145717.143193317</v>
      </c>
      <c r="B1462" s="29" t="n">
        <v>6</v>
      </c>
      <c r="C1462" s="18" t="n">
        <v>4.4214283560336</v>
      </c>
      <c r="D1462" s="18" t="n">
        <v>5.28123944636221</v>
      </c>
      <c r="E1462" s="18" t="n">
        <v>5.99999706241213</v>
      </c>
      <c r="F1462" s="18" t="n">
        <v>5.98400833336442</v>
      </c>
      <c r="G1462" s="18" t="n">
        <v>5.39571499577123</v>
      </c>
      <c r="H1462" s="18" t="n">
        <v>5.26029215796192</v>
      </c>
      <c r="I1462" s="18" t="n">
        <v>5.24898534828031</v>
      </c>
      <c r="J1462" s="18" t="n">
        <v>5.24941070777108</v>
      </c>
    </row>
    <row r="1463" customFormat="false" ht="15" hidden="false" customHeight="false" outlineLevel="0" collapsed="false">
      <c r="A1463" s="28" t="n">
        <v>145817.154959407</v>
      </c>
      <c r="B1463" s="29" t="n">
        <v>6</v>
      </c>
      <c r="C1463" s="18" t="n">
        <v>4.6273666732841</v>
      </c>
      <c r="D1463" s="18" t="n">
        <v>4.94674880438393</v>
      </c>
      <c r="E1463" s="18" t="n">
        <v>5.99999725745975</v>
      </c>
      <c r="F1463" s="18" t="n">
        <v>5.9960028030416</v>
      </c>
      <c r="G1463" s="18" t="n">
        <v>5.42437257948829</v>
      </c>
      <c r="H1463" s="18" t="n">
        <v>5.2950769689831</v>
      </c>
      <c r="I1463" s="18" t="n">
        <v>5.24898534842439</v>
      </c>
      <c r="J1463" s="18" t="n">
        <v>5.24928354151707</v>
      </c>
    </row>
    <row r="1464" customFormat="false" ht="15" hidden="false" customHeight="false" outlineLevel="0" collapsed="false">
      <c r="A1464" s="28" t="n">
        <v>145917.166725497</v>
      </c>
      <c r="B1464" s="29" t="n">
        <v>6</v>
      </c>
      <c r="C1464" s="18" t="n">
        <v>5.25727879913647</v>
      </c>
      <c r="D1464" s="18" t="n">
        <v>5.17207010895417</v>
      </c>
      <c r="E1464" s="18" t="n">
        <v>5.99999743955662</v>
      </c>
      <c r="F1464" s="18" t="n">
        <v>6.013070344607</v>
      </c>
      <c r="G1464" s="18" t="n">
        <v>5.40823339095297</v>
      </c>
      <c r="H1464" s="18" t="n">
        <v>5.29254541836865</v>
      </c>
      <c r="I1464" s="18" t="n">
        <v>5.2489853485589</v>
      </c>
      <c r="J1464" s="18" t="n">
        <v>5.2487425718994</v>
      </c>
    </row>
    <row r="1465" customFormat="false" ht="15" hidden="false" customHeight="false" outlineLevel="0" collapsed="false">
      <c r="A1465" s="28" t="n">
        <v>146017.178491587</v>
      </c>
      <c r="B1465" s="29" t="n">
        <v>6</v>
      </c>
      <c r="C1465" s="18" t="n">
        <v>9.04988348255268</v>
      </c>
      <c r="D1465" s="18" t="n">
        <v>5.73500954700044</v>
      </c>
      <c r="E1465" s="18" t="n">
        <v>5.99999760956269</v>
      </c>
      <c r="F1465" s="18" t="n">
        <v>6.0105895525578</v>
      </c>
      <c r="G1465" s="18" t="n">
        <v>4.92724955562134</v>
      </c>
      <c r="H1465" s="18" t="n">
        <v>5.27446084300665</v>
      </c>
      <c r="I1465" s="18" t="n">
        <v>5.24898534868448</v>
      </c>
      <c r="J1465" s="18" t="n">
        <v>5.24857376263342</v>
      </c>
    </row>
    <row r="1466" customFormat="false" ht="15" hidden="false" customHeight="false" outlineLevel="0" collapsed="false">
      <c r="A1466" s="28" t="n">
        <v>146117.190257677</v>
      </c>
      <c r="B1466" s="29" t="n">
        <v>6</v>
      </c>
      <c r="C1466" s="18" t="n">
        <v>5.82623742319225</v>
      </c>
      <c r="D1466" s="18" t="n">
        <v>8.18239083903144</v>
      </c>
      <c r="E1466" s="18" t="n">
        <v>5.99999776828077</v>
      </c>
      <c r="F1466" s="18" t="n">
        <v>5.99314659328295</v>
      </c>
      <c r="G1466" s="18" t="n">
        <v>4.85818652428233</v>
      </c>
      <c r="H1466" s="18" t="n">
        <v>5.14868962408321</v>
      </c>
      <c r="I1466" s="18" t="n">
        <v>5.24898534880173</v>
      </c>
      <c r="J1466" s="18" t="n">
        <v>5.24900461864333</v>
      </c>
    </row>
    <row r="1467" customFormat="false" ht="15" hidden="false" customHeight="false" outlineLevel="0" collapsed="false">
      <c r="A1467" s="28" t="n">
        <v>146217.202023768</v>
      </c>
      <c r="B1467" s="29" t="n">
        <v>6</v>
      </c>
      <c r="C1467" s="18" t="n">
        <v>4.41250737117093</v>
      </c>
      <c r="D1467" s="18" t="n">
        <v>5.62723254673422</v>
      </c>
      <c r="E1467" s="18" t="n">
        <v>5.99999791646035</v>
      </c>
      <c r="F1467" s="18" t="n">
        <v>5.98669176746562</v>
      </c>
      <c r="G1467" s="18" t="n">
        <v>5.36530309204314</v>
      </c>
      <c r="H1467" s="18" t="n">
        <v>5.21573358083235</v>
      </c>
      <c r="I1467" s="18" t="n">
        <v>5.24898534891118</v>
      </c>
      <c r="J1467" s="18" t="n">
        <v>5.24937451329534</v>
      </c>
    </row>
    <row r="1468" customFormat="false" ht="15" hidden="false" customHeight="false" outlineLevel="0" collapsed="false">
      <c r="A1468" s="28" t="n">
        <v>146317.213789858</v>
      </c>
      <c r="B1468" s="29" t="n">
        <v>6</v>
      </c>
      <c r="C1468" s="18" t="n">
        <v>4.51820037802819</v>
      </c>
      <c r="D1468" s="18" t="n">
        <v>4.9344010526215</v>
      </c>
      <c r="E1468" s="18" t="n">
        <v>5.99999805480117</v>
      </c>
      <c r="F1468" s="18" t="n">
        <v>5.99924776417498</v>
      </c>
      <c r="G1468" s="18" t="n">
        <v>5.4165509848219</v>
      </c>
      <c r="H1468" s="18" t="n">
        <v>5.29245030538154</v>
      </c>
      <c r="I1468" s="18" t="n">
        <v>5.24898534901338</v>
      </c>
      <c r="J1468" s="18" t="n">
        <v>5.24917586273264</v>
      </c>
    </row>
    <row r="1469" customFormat="false" ht="15" hidden="false" customHeight="false" outlineLevel="0" collapsed="false">
      <c r="A1469" s="28" t="n">
        <v>146417.225555948</v>
      </c>
      <c r="B1469" s="29" t="n">
        <v>6</v>
      </c>
      <c r="C1469" s="18" t="n">
        <v>4.89202949363495</v>
      </c>
      <c r="D1469" s="18" t="n">
        <v>5.10049730118158</v>
      </c>
      <c r="E1469" s="18" t="n">
        <v>5.99999818395651</v>
      </c>
      <c r="F1469" s="18" t="n">
        <v>6.01226983440484</v>
      </c>
      <c r="G1469" s="18" t="n">
        <v>5.42413332429986</v>
      </c>
      <c r="H1469" s="18" t="n">
        <v>5.29421103535937</v>
      </c>
      <c r="I1469" s="18" t="n">
        <v>5.24898534910878</v>
      </c>
      <c r="J1469" s="18" t="n">
        <v>5.24871762925618</v>
      </c>
    </row>
    <row r="1470" customFormat="false" ht="15" hidden="false" customHeight="false" outlineLevel="0" collapsed="false">
      <c r="A1470" s="28" t="n">
        <v>146517.237322038</v>
      </c>
      <c r="B1470" s="29" t="n">
        <v>6</v>
      </c>
      <c r="C1470" s="18" t="n">
        <v>8.7006412722078</v>
      </c>
      <c r="D1470" s="18" t="n">
        <v>5.53941151539683</v>
      </c>
      <c r="E1470" s="18" t="n">
        <v>5.99999830453629</v>
      </c>
      <c r="F1470" s="18" t="n">
        <v>6.00704565053628</v>
      </c>
      <c r="G1470" s="18" t="n">
        <v>5.04240516071399</v>
      </c>
      <c r="H1470" s="18" t="n">
        <v>5.28099216815903</v>
      </c>
      <c r="I1470" s="18" t="n">
        <v>5.24898534919785</v>
      </c>
      <c r="J1470" s="18" t="n">
        <v>5.2486652452267</v>
      </c>
    </row>
    <row r="1471" customFormat="false" ht="15" hidden="false" customHeight="false" outlineLevel="0" collapsed="false">
      <c r="A1471" s="28" t="n">
        <v>146617.249088128</v>
      </c>
      <c r="B1471" s="29" t="n">
        <v>6</v>
      </c>
      <c r="C1471" s="18" t="n">
        <v>9.0321461039346</v>
      </c>
      <c r="D1471" s="18" t="n">
        <v>7.98727719257119</v>
      </c>
      <c r="E1471" s="18" t="n">
        <v>5.99999841710988</v>
      </c>
      <c r="F1471" s="18" t="n">
        <v>5.99215094129549</v>
      </c>
      <c r="G1471" s="18" t="n">
        <v>4.83923038995928</v>
      </c>
      <c r="H1471" s="18" t="n">
        <v>5.1734313938126</v>
      </c>
      <c r="I1471" s="18" t="n">
        <v>5.24898534928101</v>
      </c>
      <c r="J1471" s="18" t="n">
        <v>5.24907273201075</v>
      </c>
    </row>
    <row r="1472" customFormat="false" ht="15" hidden="false" customHeight="false" outlineLevel="0" collapsed="false">
      <c r="A1472" s="28" t="n">
        <v>146717.260854218</v>
      </c>
      <c r="B1472" s="29" t="n">
        <v>6</v>
      </c>
      <c r="C1472" s="18" t="n">
        <v>4.62294799534396</v>
      </c>
      <c r="D1472" s="18" t="n">
        <v>6.82617887807905</v>
      </c>
      <c r="E1472" s="18" t="n">
        <v>5.99999852220892</v>
      </c>
      <c r="F1472" s="18" t="n">
        <v>5.98939278664785</v>
      </c>
      <c r="G1472" s="18" t="n">
        <v>5.31413969870892</v>
      </c>
      <c r="H1472" s="18" t="n">
        <v>5.13092079409881</v>
      </c>
      <c r="I1472" s="18" t="n">
        <v>5.24898534935865</v>
      </c>
      <c r="J1472" s="18" t="n">
        <v>5.24932641967515</v>
      </c>
    </row>
    <row r="1473" customFormat="false" ht="15" hidden="false" customHeight="false" outlineLevel="0" collapsed="false">
      <c r="A1473" s="28" t="n">
        <v>146817.272620308</v>
      </c>
      <c r="B1473" s="29" t="n">
        <v>6</v>
      </c>
      <c r="C1473" s="18" t="n">
        <v>4.4455041752268</v>
      </c>
      <c r="D1473" s="18" t="n">
        <v>4.96315324465226</v>
      </c>
      <c r="E1473" s="18" t="n">
        <v>5.99999862032967</v>
      </c>
      <c r="F1473" s="18" t="n">
        <v>6.00166505884186</v>
      </c>
      <c r="G1473" s="18" t="n">
        <v>5.40383712518694</v>
      </c>
      <c r="H1473" s="18" t="n">
        <v>5.28546314798774</v>
      </c>
      <c r="I1473" s="18" t="n">
        <v>5.24898534943113</v>
      </c>
      <c r="J1473" s="18" t="n">
        <v>5.24908628699916</v>
      </c>
    </row>
    <row r="1474" customFormat="false" ht="15" hidden="false" customHeight="false" outlineLevel="0" collapsed="false">
      <c r="A1474" s="28" t="n">
        <v>146917.284386398</v>
      </c>
      <c r="B1474" s="29" t="n">
        <v>6</v>
      </c>
      <c r="C1474" s="18" t="n">
        <v>4.69780105873319</v>
      </c>
      <c r="D1474" s="18" t="n">
        <v>5.03579695706122</v>
      </c>
      <c r="E1474" s="18" t="n">
        <v>5.99999871193546</v>
      </c>
      <c r="F1474" s="18" t="n">
        <v>6.01097674639558</v>
      </c>
      <c r="G1474" s="18" t="n">
        <v>5.42619281257968</v>
      </c>
      <c r="H1474" s="18" t="n">
        <v>5.29528521023349</v>
      </c>
      <c r="I1474" s="18" t="n">
        <v>5.2489853494988</v>
      </c>
      <c r="J1474" s="18" t="n">
        <v>5.24871494292957</v>
      </c>
    </row>
    <row r="1475" customFormat="false" ht="15" hidden="false" customHeight="false" outlineLevel="0" collapsed="false">
      <c r="A1475" s="28" t="n">
        <v>147017.296152489</v>
      </c>
      <c r="B1475" s="29" t="n">
        <v>6</v>
      </c>
      <c r="C1475" s="18" t="n">
        <v>5.71411687545181</v>
      </c>
      <c r="D1475" s="18" t="n">
        <v>5.38922190533016</v>
      </c>
      <c r="E1475" s="18" t="n">
        <v>5.99999879745893</v>
      </c>
      <c r="F1475" s="18" t="n">
        <v>6.00407404792702</v>
      </c>
      <c r="G1475" s="18" t="n">
        <v>5.38798844155224</v>
      </c>
      <c r="H1475" s="18" t="n">
        <v>5.28600141323696</v>
      </c>
      <c r="I1475" s="18" t="n">
        <v>5.24898534956198</v>
      </c>
      <c r="J1475" s="18" t="n">
        <v>5.24874998122702</v>
      </c>
    </row>
    <row r="1476" customFormat="false" ht="15" hidden="false" customHeight="false" outlineLevel="0" collapsed="false">
      <c r="A1476" s="28" t="n">
        <v>147117.307918579</v>
      </c>
      <c r="B1476" s="29" t="n">
        <v>6</v>
      </c>
      <c r="C1476" s="18" t="n">
        <v>9.13729003926187</v>
      </c>
      <c r="D1476" s="18" t="n">
        <v>7.36957996858935</v>
      </c>
      <c r="E1476" s="18" t="n">
        <v>5.99999887730387</v>
      </c>
      <c r="F1476" s="18" t="n">
        <v>5.99187070628456</v>
      </c>
      <c r="G1476" s="18" t="n">
        <v>4.8932751205165</v>
      </c>
      <c r="H1476" s="18" t="n">
        <v>5.24038731333808</v>
      </c>
      <c r="I1476" s="18" t="n">
        <v>5.24898534962096</v>
      </c>
      <c r="J1476" s="18" t="n">
        <v>5.24911720220612</v>
      </c>
    </row>
    <row r="1477" customFormat="false" ht="15" hidden="false" customHeight="false" outlineLevel="0" collapsed="false">
      <c r="A1477" s="28" t="n">
        <v>147217.319684669</v>
      </c>
      <c r="B1477" s="29" t="n">
        <v>6</v>
      </c>
      <c r="C1477" s="18" t="n">
        <v>5.06943061346834</v>
      </c>
      <c r="D1477" s="18" t="n">
        <v>8.21614477525608</v>
      </c>
      <c r="E1477" s="18" t="n">
        <v>5.99999895184736</v>
      </c>
      <c r="F1477" s="18" t="n">
        <v>5.99195894407078</v>
      </c>
      <c r="G1477" s="18" t="n">
        <v>5.18433124769095</v>
      </c>
      <c r="H1477" s="18" t="n">
        <v>5.12917261810194</v>
      </c>
      <c r="I1477" s="18" t="n">
        <v>5.24898534967602</v>
      </c>
      <c r="J1477" s="18" t="n">
        <v>5.24927224223796</v>
      </c>
    </row>
    <row r="1478" customFormat="false" ht="15" hidden="false" customHeight="false" outlineLevel="0" collapsed="false">
      <c r="A1478" s="28" t="n">
        <v>147317.331450759</v>
      </c>
      <c r="B1478" s="29" t="n">
        <v>6</v>
      </c>
      <c r="C1478" s="18" t="n">
        <v>4.40670507484935</v>
      </c>
      <c r="D1478" s="18" t="n">
        <v>5.08639699050262</v>
      </c>
      <c r="E1478" s="18" t="n">
        <v>5.99999902144139</v>
      </c>
      <c r="F1478" s="18" t="n">
        <v>6.00333690252011</v>
      </c>
      <c r="G1478" s="18" t="n">
        <v>5.38517948767338</v>
      </c>
      <c r="H1478" s="18" t="n">
        <v>5.27552532708878</v>
      </c>
      <c r="I1478" s="18" t="n">
        <v>5.24898534972743</v>
      </c>
      <c r="J1478" s="18" t="n">
        <v>5.24901507191286</v>
      </c>
    </row>
    <row r="1479" customFormat="false" ht="15" hidden="false" customHeight="false" outlineLevel="0" collapsed="false">
      <c r="A1479" s="28" t="n">
        <v>147417.343216849</v>
      </c>
      <c r="B1479" s="29" t="n">
        <v>6</v>
      </c>
      <c r="C1479" s="18" t="n">
        <v>4.56822608847863</v>
      </c>
      <c r="D1479" s="18" t="n">
        <v>4.97667330001256</v>
      </c>
      <c r="E1479" s="18" t="n">
        <v>5.99999908641455</v>
      </c>
      <c r="F1479" s="18" t="n">
        <v>6.00940169044209</v>
      </c>
      <c r="G1479" s="18" t="n">
        <v>5.42115447145363</v>
      </c>
      <c r="H1479" s="18" t="n">
        <v>5.29576749710092</v>
      </c>
      <c r="I1479" s="18" t="n">
        <v>5.24898534977543</v>
      </c>
      <c r="J1479" s="18" t="n">
        <v>5.24872862192315</v>
      </c>
    </row>
    <row r="1480" customFormat="false" ht="15" hidden="false" customHeight="false" outlineLevel="0" collapsed="false">
      <c r="A1480" s="28" t="n">
        <v>147517.354982939</v>
      </c>
      <c r="B1480" s="29" t="n">
        <v>6</v>
      </c>
      <c r="C1480" s="18" t="n">
        <v>5.03762168203373</v>
      </c>
      <c r="D1480" s="18" t="n">
        <v>5.25690802499384</v>
      </c>
      <c r="E1480" s="18" t="n">
        <v>5.99999914707368</v>
      </c>
      <c r="F1480" s="18" t="n">
        <v>6.00168783234329</v>
      </c>
      <c r="G1480" s="18" t="n">
        <v>5.41873730311273</v>
      </c>
      <c r="H1480" s="18" t="n">
        <v>5.29017725576001</v>
      </c>
      <c r="I1480" s="18" t="n">
        <v>5.24898534982024</v>
      </c>
      <c r="J1480" s="18" t="n">
        <v>5.24882490292547</v>
      </c>
    </row>
    <row r="1481" customFormat="false" ht="15" hidden="false" customHeight="false" outlineLevel="0" collapsed="false">
      <c r="A1481" s="28" t="n">
        <v>147617.366749029</v>
      </c>
      <c r="B1481" s="29" t="n">
        <v>6</v>
      </c>
      <c r="C1481" s="18" t="n">
        <v>8.91672953051219</v>
      </c>
      <c r="D1481" s="18" t="n">
        <v>6.05447066861509</v>
      </c>
      <c r="E1481" s="18" t="n">
        <v>5.99999920370526</v>
      </c>
      <c r="F1481" s="18" t="n">
        <v>5.99212505268852</v>
      </c>
      <c r="G1481" s="18" t="n">
        <v>4.96978085927845</v>
      </c>
      <c r="H1481" s="18" t="n">
        <v>5.26478368357655</v>
      </c>
      <c r="I1481" s="18" t="n">
        <v>5.24898534986207</v>
      </c>
      <c r="J1481" s="18" t="n">
        <v>5.24914205458536</v>
      </c>
    </row>
    <row r="1482" customFormat="false" ht="15" hidden="false" customHeight="false" outlineLevel="0" collapsed="false">
      <c r="A1482" s="28" t="n">
        <v>147717.378515119</v>
      </c>
      <c r="B1482" s="29" t="n">
        <v>6</v>
      </c>
      <c r="C1482" s="18" t="n">
        <v>8.69959699844243</v>
      </c>
      <c r="D1482" s="18" t="n">
        <v>8.26518943986874</v>
      </c>
      <c r="E1482" s="18" t="n">
        <v>5.99999925657668</v>
      </c>
      <c r="F1482" s="18" t="n">
        <v>5.9942846839856</v>
      </c>
      <c r="G1482" s="18" t="n">
        <v>4.83730337833495</v>
      </c>
      <c r="H1482" s="18" t="n">
        <v>5.13699578758758</v>
      </c>
      <c r="I1482" s="18" t="n">
        <v>5.24898534990113</v>
      </c>
      <c r="J1482" s="18" t="n">
        <v>5.24921659157232</v>
      </c>
    </row>
    <row r="1483" customFormat="false" ht="15" hidden="false" customHeight="false" outlineLevel="0" collapsed="false">
      <c r="A1483" s="28" t="n">
        <v>147817.39028121</v>
      </c>
      <c r="B1483" s="29" t="n">
        <v>6</v>
      </c>
      <c r="C1483" s="18" t="n">
        <v>4.50119435156475</v>
      </c>
      <c r="D1483" s="18" t="n">
        <v>5.31231172404145</v>
      </c>
      <c r="E1483" s="18" t="n">
        <v>5.9999993059376</v>
      </c>
      <c r="F1483" s="18" t="n">
        <v>6.00436664239022</v>
      </c>
      <c r="G1483" s="18" t="n">
        <v>5.34223571283884</v>
      </c>
      <c r="H1483" s="18" t="n">
        <v>5.25774919173876</v>
      </c>
      <c r="I1483" s="18" t="n">
        <v>5.24898534993759</v>
      </c>
      <c r="J1483" s="18" t="n">
        <v>5.24896137546273</v>
      </c>
    </row>
    <row r="1484" customFormat="false" ht="15" hidden="false" customHeight="false" outlineLevel="0" collapsed="false">
      <c r="A1484" s="28" t="n">
        <v>147917.4020473</v>
      </c>
      <c r="B1484" s="29" t="n">
        <v>6</v>
      </c>
      <c r="C1484" s="18" t="n">
        <v>4.47767864361142</v>
      </c>
      <c r="D1484" s="18" t="n">
        <v>4.94785683465757</v>
      </c>
      <c r="E1484" s="18" t="n">
        <v>5.99999935202111</v>
      </c>
      <c r="F1484" s="18" t="n">
        <v>6.00771449391343</v>
      </c>
      <c r="G1484" s="18" t="n">
        <v>5.41075190844095</v>
      </c>
      <c r="H1484" s="18" t="n">
        <v>5.29485652021824</v>
      </c>
      <c r="I1484" s="18" t="n">
        <v>5.24898534997164</v>
      </c>
      <c r="J1484" s="18" t="n">
        <v>5.24875339159895</v>
      </c>
    </row>
    <row r="1485" customFormat="false" ht="15" hidden="false" customHeight="false" outlineLevel="0" collapsed="false">
      <c r="A1485" s="28" t="n">
        <v>148017.41381339</v>
      </c>
      <c r="B1485" s="29" t="n">
        <v>6</v>
      </c>
      <c r="C1485" s="18" t="n">
        <v>4.78360786639203</v>
      </c>
      <c r="D1485" s="18" t="n">
        <v>5.16864246514996</v>
      </c>
      <c r="E1485" s="18" t="n">
        <v>5.99999939504481</v>
      </c>
      <c r="F1485" s="18" t="n">
        <v>5.99986180532466</v>
      </c>
      <c r="G1485" s="18" t="n">
        <v>5.42629863942219</v>
      </c>
      <c r="H1485" s="18" t="n">
        <v>5.29261420258914</v>
      </c>
      <c r="I1485" s="18" t="n">
        <v>5.24898535000342</v>
      </c>
      <c r="J1485" s="18" t="n">
        <v>5.24888840006647</v>
      </c>
    </row>
    <row r="1486" customFormat="false" ht="15" hidden="false" customHeight="false" outlineLevel="0" collapsed="false">
      <c r="A1486" s="28" t="n">
        <v>148117.42557948</v>
      </c>
      <c r="B1486" s="29" t="n">
        <v>6</v>
      </c>
      <c r="C1486" s="18" t="n">
        <v>8.20670953856765</v>
      </c>
      <c r="D1486" s="18" t="n">
        <v>5.72333119762233</v>
      </c>
      <c r="E1486" s="18" t="n">
        <v>5.99999943521188</v>
      </c>
      <c r="F1486" s="18" t="n">
        <v>5.9927537473394</v>
      </c>
      <c r="G1486" s="18" t="n">
        <v>5.33807828269963</v>
      </c>
      <c r="H1486" s="18" t="n">
        <v>5.27483370338429</v>
      </c>
      <c r="I1486" s="18" t="n">
        <v>5.24898535003309</v>
      </c>
      <c r="J1486" s="18" t="n">
        <v>5.24915127847701</v>
      </c>
    </row>
    <row r="1487" customFormat="false" ht="15" hidden="false" customHeight="false" outlineLevel="0" collapsed="false">
      <c r="A1487" s="28" t="n">
        <v>148217.43734557</v>
      </c>
      <c r="B1487" s="29" t="n">
        <v>6</v>
      </c>
      <c r="C1487" s="18" t="n">
        <v>9.18129601640565</v>
      </c>
      <c r="D1487" s="18" t="n">
        <v>8.17539675533672</v>
      </c>
      <c r="E1487" s="18" t="n">
        <v>5.99999947271195</v>
      </c>
      <c r="F1487" s="18" t="n">
        <v>5.99630494109497</v>
      </c>
      <c r="G1487" s="18" t="n">
        <v>4.86393419768284</v>
      </c>
      <c r="H1487" s="18" t="n">
        <v>5.14948721627324</v>
      </c>
      <c r="I1487" s="18" t="n">
        <v>5.24898535006079</v>
      </c>
      <c r="J1487" s="18" t="n">
        <v>5.24916294814641</v>
      </c>
    </row>
    <row r="1488" customFormat="false" ht="15" hidden="false" customHeight="false" outlineLevel="0" collapsed="false">
      <c r="A1488" s="28" t="n">
        <v>148317.44911166</v>
      </c>
      <c r="B1488" s="29" t="n">
        <v>6</v>
      </c>
      <c r="C1488" s="18" t="n">
        <v>4.79582409848105</v>
      </c>
      <c r="D1488" s="18" t="n">
        <v>5.64868095394546</v>
      </c>
      <c r="E1488" s="18" t="n">
        <v>5.99999950772216</v>
      </c>
      <c r="F1488" s="18" t="n">
        <v>6.00486748706296</v>
      </c>
      <c r="G1488" s="18" t="n">
        <v>5.2757198105939</v>
      </c>
      <c r="H1488" s="18" t="n">
        <v>5.20986402548792</v>
      </c>
      <c r="I1488" s="18" t="n">
        <v>5.24898535008665</v>
      </c>
      <c r="J1488" s="18" t="n">
        <v>5.24892357591311</v>
      </c>
    </row>
    <row r="1489" customFormat="false" ht="15" hidden="false" customHeight="false" outlineLevel="0" collapsed="false">
      <c r="A1489" s="28" t="n">
        <v>148417.46087775</v>
      </c>
      <c r="B1489" s="29" t="n">
        <v>6</v>
      </c>
      <c r="C1489" s="18" t="n">
        <v>4.42142835603361</v>
      </c>
      <c r="D1489" s="18" t="n">
        <v>4.93384518408773</v>
      </c>
      <c r="E1489" s="18" t="n">
        <v>5.99999954040782</v>
      </c>
      <c r="F1489" s="18" t="n">
        <v>6.00604470644725</v>
      </c>
      <c r="G1489" s="18" t="n">
        <v>5.39571499577123</v>
      </c>
      <c r="H1489" s="18" t="n">
        <v>5.29216254142244</v>
      </c>
      <c r="I1489" s="18" t="n">
        <v>5.2489853501108</v>
      </c>
      <c r="J1489" s="18" t="n">
        <v>5.24878476093383</v>
      </c>
    </row>
    <row r="1490" customFormat="false" ht="15" hidden="false" customHeight="false" outlineLevel="0" collapsed="false">
      <c r="A1490" s="28" t="n">
        <v>148517.47264384</v>
      </c>
      <c r="B1490" s="29" t="n">
        <v>6</v>
      </c>
      <c r="C1490" s="18" t="n">
        <v>4.62736667328412</v>
      </c>
      <c r="D1490" s="18" t="n">
        <v>5.0968108001373</v>
      </c>
      <c r="E1490" s="18" t="n">
        <v>5.99999957092323</v>
      </c>
      <c r="F1490" s="18" t="n">
        <v>5.99854531947926</v>
      </c>
      <c r="G1490" s="18" t="n">
        <v>5.42437257948829</v>
      </c>
      <c r="H1490" s="18" t="n">
        <v>5.29428288269233</v>
      </c>
      <c r="I1490" s="18" t="n">
        <v>5.24898535013334</v>
      </c>
      <c r="J1490" s="18" t="n">
        <v>5.24893998818548</v>
      </c>
    </row>
    <row r="1491" customFormat="false" ht="15" hidden="false" customHeight="false" outlineLevel="0" collapsed="false">
      <c r="A1491" s="28" t="n">
        <v>148617.484409931</v>
      </c>
      <c r="B1491" s="29" t="n">
        <v>6</v>
      </c>
      <c r="C1491" s="18" t="n">
        <v>5.25727879913657</v>
      </c>
      <c r="D1491" s="18" t="n">
        <v>5.53047947034747</v>
      </c>
      <c r="E1491" s="18" t="n">
        <v>5.99999959941251</v>
      </c>
      <c r="F1491" s="18" t="n">
        <v>5.99361986692761</v>
      </c>
      <c r="G1491" s="18" t="n">
        <v>5.40823339095297</v>
      </c>
      <c r="H1491" s="18" t="n">
        <v>5.28129169881823</v>
      </c>
      <c r="I1491" s="18" t="n">
        <v>5.24898535015439</v>
      </c>
      <c r="J1491" s="18" t="n">
        <v>5.24914862492355</v>
      </c>
    </row>
    <row r="1492" customFormat="false" ht="15" hidden="false" customHeight="false" outlineLevel="0" collapsed="false">
      <c r="A1492" s="28" t="n">
        <v>148717.496176021</v>
      </c>
      <c r="B1492" s="29" t="n">
        <v>6</v>
      </c>
      <c r="C1492" s="18" t="n">
        <v>9.04988348255268</v>
      </c>
      <c r="D1492" s="18" t="n">
        <v>7.97111575433327</v>
      </c>
      <c r="E1492" s="18" t="n">
        <v>5.99999962601021</v>
      </c>
      <c r="F1492" s="18" t="n">
        <v>5.99798836799908</v>
      </c>
      <c r="G1492" s="18" t="n">
        <v>4.92724955562134</v>
      </c>
      <c r="H1492" s="18" t="n">
        <v>5.17589864765179</v>
      </c>
      <c r="I1492" s="18" t="n">
        <v>5.24898535017404</v>
      </c>
      <c r="J1492" s="18" t="n">
        <v>5.24911376934827</v>
      </c>
    </row>
    <row r="1493" customFormat="false" ht="15" hidden="false" customHeight="false" outlineLevel="0" collapsed="false">
      <c r="A1493" s="28" t="n">
        <v>148817.507942111</v>
      </c>
      <c r="B1493" s="29" t="n">
        <v>6</v>
      </c>
      <c r="C1493" s="18" t="n">
        <v>5.82623742319195</v>
      </c>
      <c r="D1493" s="18" t="n">
        <v>7.04160089655822</v>
      </c>
      <c r="E1493" s="18" t="n">
        <v>5.99999965084191</v>
      </c>
      <c r="F1493" s="18" t="n">
        <v>6.00495329241965</v>
      </c>
      <c r="G1493" s="18" t="n">
        <v>4.85818652428234</v>
      </c>
      <c r="H1493" s="18" t="n">
        <v>5.13030684884412</v>
      </c>
      <c r="I1493" s="18" t="n">
        <v>5.24898535019238</v>
      </c>
      <c r="J1493" s="18" t="n">
        <v>5.24889956392494</v>
      </c>
    </row>
    <row r="1494" customFormat="false" ht="15" hidden="false" customHeight="false" outlineLevel="0" collapsed="false">
      <c r="A1494" s="28" t="n">
        <v>148917.519708201</v>
      </c>
      <c r="B1494" s="29" t="n">
        <v>6</v>
      </c>
      <c r="C1494" s="18" t="n">
        <v>4.41250737117093</v>
      </c>
      <c r="D1494" s="18" t="n">
        <v>4.96780332996178</v>
      </c>
      <c r="E1494" s="18" t="n">
        <v>5.99999967402489</v>
      </c>
      <c r="F1494" s="18" t="n">
        <v>6.00448479815204</v>
      </c>
      <c r="G1494" s="18" t="n">
        <v>5.36530309204314</v>
      </c>
      <c r="H1494" s="18" t="n">
        <v>5.28494287059846</v>
      </c>
      <c r="I1494" s="18" t="n">
        <v>5.2489853502095</v>
      </c>
      <c r="J1494" s="18" t="n">
        <v>5.24881908711251</v>
      </c>
    </row>
    <row r="1495" customFormat="false" ht="15" hidden="false" customHeight="false" outlineLevel="0" collapsed="false">
      <c r="A1495" s="28" t="n">
        <v>149017.531474291</v>
      </c>
      <c r="B1495" s="29" t="n">
        <v>6</v>
      </c>
      <c r="C1495" s="18" t="n">
        <v>4.51820037802821</v>
      </c>
      <c r="D1495" s="18" t="n">
        <v>5.02853900043982</v>
      </c>
      <c r="E1495" s="18" t="n">
        <v>5.99999969566857</v>
      </c>
      <c r="F1495" s="18" t="n">
        <v>5.9976726832951</v>
      </c>
      <c r="G1495" s="18" t="n">
        <v>5.4165509848219</v>
      </c>
      <c r="H1495" s="18" t="n">
        <v>5.29541521337016</v>
      </c>
      <c r="I1495" s="18" t="n">
        <v>5.24898535022549</v>
      </c>
      <c r="J1495" s="18" t="n">
        <v>5.2489800084897</v>
      </c>
    </row>
    <row r="1496" customFormat="false" ht="15" hidden="false" customHeight="false" outlineLevel="0" collapsed="false">
      <c r="A1496" s="28" t="n">
        <v>149117.543240381</v>
      </c>
      <c r="B1496" s="29" t="n">
        <v>6</v>
      </c>
      <c r="C1496" s="18" t="n">
        <v>4.892029493635</v>
      </c>
      <c r="D1496" s="18" t="n">
        <v>5.37422268749197</v>
      </c>
      <c r="E1496" s="18" t="n">
        <v>5.9999997158752</v>
      </c>
      <c r="F1496" s="18" t="n">
        <v>5.99461062763681</v>
      </c>
      <c r="G1496" s="18" t="n">
        <v>5.42413332429986</v>
      </c>
      <c r="H1496" s="18" t="n">
        <v>5.28649943572907</v>
      </c>
      <c r="I1496" s="18" t="n">
        <v>5.24898535024042</v>
      </c>
      <c r="J1496" s="18" t="n">
        <v>5.24913747390469</v>
      </c>
    </row>
    <row r="1497" customFormat="false" ht="15" hidden="false" customHeight="false" outlineLevel="0" collapsed="false">
      <c r="A1497" s="28" t="n">
        <v>149217.555006471</v>
      </c>
      <c r="B1497" s="29" t="n">
        <v>6</v>
      </c>
      <c r="C1497" s="18" t="n">
        <v>8.70064127220789</v>
      </c>
      <c r="D1497" s="18" t="n">
        <v>7.19673607803872</v>
      </c>
      <c r="E1497" s="18" t="n">
        <v>5.99999973474017</v>
      </c>
      <c r="F1497" s="18" t="n">
        <v>5.99933049480993</v>
      </c>
      <c r="G1497" s="18" t="n">
        <v>5.04240516071394</v>
      </c>
      <c r="H1497" s="18" t="n">
        <v>5.24426639206495</v>
      </c>
      <c r="I1497" s="18" t="n">
        <v>5.24898535025436</v>
      </c>
      <c r="J1497" s="18" t="n">
        <v>5.24907061960094</v>
      </c>
    </row>
    <row r="1498" customFormat="false" ht="15" hidden="false" customHeight="false" outlineLevel="0" collapsed="false">
      <c r="A1498" s="28" t="n">
        <v>149317.566772562</v>
      </c>
      <c r="B1498" s="29" t="n">
        <v>6</v>
      </c>
      <c r="C1498" s="18" t="n">
        <v>9.0321461039346</v>
      </c>
      <c r="D1498" s="18" t="n">
        <v>8.23502052940128</v>
      </c>
      <c r="E1498" s="18" t="n">
        <v>5.99999975235256</v>
      </c>
      <c r="F1498" s="18" t="n">
        <v>6.00473159252565</v>
      </c>
      <c r="G1498" s="18" t="n">
        <v>4.83923038995934</v>
      </c>
      <c r="H1498" s="18" t="n">
        <v>5.12963265344335</v>
      </c>
      <c r="I1498" s="18" t="n">
        <v>5.24898535026737</v>
      </c>
      <c r="J1498" s="18" t="n">
        <v>5.24888699340604</v>
      </c>
    </row>
    <row r="1499" customFormat="false" ht="15" hidden="false" customHeight="false" outlineLevel="0" collapsed="false">
      <c r="A1499" s="28" t="n">
        <v>149417.578538652</v>
      </c>
      <c r="B1499" s="29" t="n">
        <v>6</v>
      </c>
      <c r="C1499" s="18" t="n">
        <v>4.62294799534394</v>
      </c>
      <c r="D1499" s="18" t="n">
        <v>5.10419882082828</v>
      </c>
      <c r="E1499" s="18" t="n">
        <v>5.99999976879554</v>
      </c>
      <c r="F1499" s="18" t="n">
        <v>6.00309495258711</v>
      </c>
      <c r="G1499" s="18" t="n">
        <v>5.31413969870893</v>
      </c>
      <c r="H1499" s="18" t="n">
        <v>5.2742311370339</v>
      </c>
      <c r="I1499" s="18" t="n">
        <v>5.24898535027951</v>
      </c>
      <c r="J1499" s="18" t="n">
        <v>5.24885356328166</v>
      </c>
    </row>
    <row r="1500" customFormat="false" ht="15" hidden="false" customHeight="false" outlineLevel="0" collapsed="false">
      <c r="A1500" s="28" t="n">
        <v>149517.590304742</v>
      </c>
      <c r="B1500" s="29" t="n">
        <v>6</v>
      </c>
      <c r="C1500" s="18" t="n">
        <v>4.44550417522681</v>
      </c>
      <c r="D1500" s="18" t="n">
        <v>4.97398371155886</v>
      </c>
      <c r="E1500" s="18" t="n">
        <v>5.99999978414675</v>
      </c>
      <c r="F1500" s="18" t="n">
        <v>5.99717127302845</v>
      </c>
      <c r="G1500" s="18" t="n">
        <v>5.40383712518694</v>
      </c>
      <c r="H1500" s="18" t="n">
        <v>5.2957151668117</v>
      </c>
      <c r="I1500" s="18" t="n">
        <v>5.24898535029085</v>
      </c>
      <c r="J1500" s="18" t="n">
        <v>5.24900936946084</v>
      </c>
    </row>
    <row r="1501" customFormat="false" ht="15" hidden="false" customHeight="false" outlineLevel="0" collapsed="false">
      <c r="A1501" s="28" t="n">
        <v>149617.602070832</v>
      </c>
      <c r="B1501" s="29" t="n">
        <v>6</v>
      </c>
      <c r="C1501" s="18" t="n">
        <v>4.69780105873321</v>
      </c>
      <c r="D1501" s="18" t="n">
        <v>5.24910729988836</v>
      </c>
      <c r="E1501" s="18" t="n">
        <v>5.99999979847865</v>
      </c>
      <c r="F1501" s="18" t="n">
        <v>5.99563683102298</v>
      </c>
      <c r="G1501" s="18" t="n">
        <v>5.42619281257968</v>
      </c>
      <c r="H1501" s="18" t="n">
        <v>5.29040373999585</v>
      </c>
      <c r="I1501" s="18" t="n">
        <v>5.24898535030144</v>
      </c>
      <c r="J1501" s="18" t="n">
        <v>5.24912075630014</v>
      </c>
    </row>
    <row r="1502" customFormat="false" ht="15" hidden="false" customHeight="false" outlineLevel="0" collapsed="false">
      <c r="A1502" s="28" t="n">
        <v>149717.613836922</v>
      </c>
      <c r="B1502" s="29" t="n">
        <v>6</v>
      </c>
      <c r="C1502" s="18" t="n">
        <v>5.71411687545209</v>
      </c>
      <c r="D1502" s="18" t="n">
        <v>6.0175925099446</v>
      </c>
      <c r="E1502" s="18" t="n">
        <v>5.99999981185899</v>
      </c>
      <c r="F1502" s="18" t="n">
        <v>6.00034712329377</v>
      </c>
      <c r="G1502" s="18" t="n">
        <v>5.38798844155223</v>
      </c>
      <c r="H1502" s="18" t="n">
        <v>5.26580129940491</v>
      </c>
      <c r="I1502" s="18" t="n">
        <v>5.24898535031132</v>
      </c>
      <c r="J1502" s="18" t="n">
        <v>5.24903431411278</v>
      </c>
    </row>
    <row r="1503" customFormat="false" ht="15" hidden="false" customHeight="false" outlineLevel="0" collapsed="false">
      <c r="A1503" s="28" t="n">
        <v>149817.625603012</v>
      </c>
      <c r="B1503" s="29" t="n">
        <v>6</v>
      </c>
      <c r="C1503" s="18" t="n">
        <v>9.13729003926187</v>
      </c>
      <c r="D1503" s="18" t="n">
        <v>8.26140721980852</v>
      </c>
      <c r="E1503" s="18" t="n">
        <v>5.99999982435089</v>
      </c>
      <c r="F1503" s="18" t="n">
        <v>6.00429882756499</v>
      </c>
      <c r="G1503" s="18" t="n">
        <v>4.89327512051655</v>
      </c>
      <c r="H1503" s="18" t="n">
        <v>5.1377844466696</v>
      </c>
      <c r="I1503" s="18" t="n">
        <v>5.24898535032055</v>
      </c>
      <c r="J1503" s="18" t="n">
        <v>5.24888348357993</v>
      </c>
    </row>
    <row r="1504" customFormat="false" ht="15" hidden="false" customHeight="false" outlineLevel="0" collapsed="false">
      <c r="A1504" s="28" t="n">
        <v>149917.637369102</v>
      </c>
      <c r="B1504" s="29" t="n">
        <v>6</v>
      </c>
      <c r="C1504" s="18" t="n">
        <v>5.06943061346835</v>
      </c>
      <c r="D1504" s="18" t="n">
        <v>5.33294981576045</v>
      </c>
      <c r="E1504" s="18" t="n">
        <v>5.99999983601336</v>
      </c>
      <c r="F1504" s="18" t="n">
        <v>6.0019085817537</v>
      </c>
      <c r="G1504" s="18" t="n">
        <v>5.18433124769098</v>
      </c>
      <c r="H1504" s="18" t="n">
        <v>5.25597048831837</v>
      </c>
      <c r="I1504" s="18" t="n">
        <v>5.24898535032917</v>
      </c>
      <c r="J1504" s="18" t="n">
        <v>5.24888615412732</v>
      </c>
    </row>
    <row r="1505" customFormat="false" ht="15" hidden="false" customHeight="false" outlineLevel="0" collapsed="false">
      <c r="A1505" s="28" t="n">
        <v>150017.649135192</v>
      </c>
      <c r="B1505" s="29" t="n">
        <v>6</v>
      </c>
      <c r="C1505" s="18" t="n">
        <v>4.40670507484937</v>
      </c>
      <c r="D1505" s="18" t="n">
        <v>4.9477160881615</v>
      </c>
      <c r="E1505" s="18" t="n">
        <v>5.99999984690147</v>
      </c>
      <c r="F1505" s="18" t="n">
        <v>5.99696761254157</v>
      </c>
      <c r="G1505" s="18" t="n">
        <v>5.38517948767338</v>
      </c>
      <c r="H1505" s="18" t="n">
        <v>5.29471943955042</v>
      </c>
      <c r="I1505" s="18" t="n">
        <v>5.24898535033721</v>
      </c>
      <c r="J1505" s="18" t="n">
        <v>5.24902933295002</v>
      </c>
    </row>
    <row r="1506" customFormat="false" ht="15" hidden="false" customHeight="false" outlineLevel="0" collapsed="false">
      <c r="A1506" s="28" t="n">
        <v>150117.660901283</v>
      </c>
      <c r="B1506" s="29" t="n">
        <v>6</v>
      </c>
      <c r="C1506" s="18" t="n">
        <v>4.56822608847866</v>
      </c>
      <c r="D1506" s="18" t="n">
        <v>5.16492979775484</v>
      </c>
      <c r="E1506" s="18" t="n">
        <v>5.99999985706665</v>
      </c>
      <c r="F1506" s="18" t="n">
        <v>5.99663131039485</v>
      </c>
      <c r="G1506" s="18" t="n">
        <v>5.42115447145363</v>
      </c>
      <c r="H1506" s="18" t="n">
        <v>5.29270011723706</v>
      </c>
      <c r="I1506" s="18" t="n">
        <v>5.24898535034472</v>
      </c>
      <c r="J1506" s="18" t="n">
        <v>5.24910091879709</v>
      </c>
    </row>
    <row r="1507" customFormat="false" ht="15" hidden="false" customHeight="false" outlineLevel="0" collapsed="false">
      <c r="A1507" s="28" t="n">
        <v>150217.672667373</v>
      </c>
      <c r="B1507" s="29" t="n">
        <v>6</v>
      </c>
      <c r="C1507" s="18" t="n">
        <v>5.03762168203383</v>
      </c>
      <c r="D1507" s="18" t="n">
        <v>5.71167915129745</v>
      </c>
      <c r="E1507" s="18" t="n">
        <v>5.99999986655693</v>
      </c>
      <c r="F1507" s="18" t="n">
        <v>6.00106822634552</v>
      </c>
      <c r="G1507" s="18" t="n">
        <v>5.41873730311272</v>
      </c>
      <c r="H1507" s="18" t="n">
        <v>5.27521221017836</v>
      </c>
      <c r="I1507" s="18" t="n">
        <v>5.24898535035173</v>
      </c>
      <c r="J1507" s="18" t="n">
        <v>5.24900506708319</v>
      </c>
    </row>
    <row r="1508" customFormat="false" ht="15" hidden="false" customHeight="false" outlineLevel="0" collapsed="false">
      <c r="A1508" s="28" t="n">
        <v>150317.684433463</v>
      </c>
      <c r="B1508" s="29" t="n">
        <v>6</v>
      </c>
      <c r="C1508" s="18" t="n">
        <v>8.91672953051219</v>
      </c>
      <c r="D1508" s="18" t="n">
        <v>8.1682373784319</v>
      </c>
      <c r="E1508" s="18" t="n">
        <v>5.99999987541708</v>
      </c>
      <c r="F1508" s="18" t="n">
        <v>6.00373754360817</v>
      </c>
      <c r="G1508" s="18" t="n">
        <v>4.96978085927842</v>
      </c>
      <c r="H1508" s="18" t="n">
        <v>5.15031011992482</v>
      </c>
      <c r="I1508" s="18" t="n">
        <v>5.24898535035828</v>
      </c>
      <c r="J1508" s="18" t="n">
        <v>5.24888677044948</v>
      </c>
    </row>
    <row r="1509" customFormat="false" ht="15" hidden="false" customHeight="false" outlineLevel="0" collapsed="false">
      <c r="A1509" s="28" t="n">
        <v>150417.696199553</v>
      </c>
      <c r="B1509" s="29" t="n">
        <v>6</v>
      </c>
      <c r="C1509" s="18" t="n">
        <v>8.69959699844225</v>
      </c>
      <c r="D1509" s="18" t="n">
        <v>5.67083792234257</v>
      </c>
      <c r="E1509" s="18" t="n">
        <v>5.99999988368898</v>
      </c>
      <c r="F1509" s="18" t="n">
        <v>6.00093793017574</v>
      </c>
      <c r="G1509" s="18" t="n">
        <v>4.83730337833495</v>
      </c>
      <c r="H1509" s="18" t="n">
        <v>5.20257913252829</v>
      </c>
      <c r="I1509" s="18" t="n">
        <v>5.24898535036439</v>
      </c>
      <c r="J1509" s="18" t="n">
        <v>5.24891550031618</v>
      </c>
    </row>
    <row r="1510" customFormat="false" ht="15" hidden="false" customHeight="false" outlineLevel="0" collapsed="false">
      <c r="A1510" s="28" t="n">
        <v>150517.707965643</v>
      </c>
      <c r="B1510" s="29" t="n">
        <v>6</v>
      </c>
      <c r="C1510" s="18" t="n">
        <v>4.50119435156472</v>
      </c>
      <c r="D1510" s="18" t="n">
        <v>4.93228775125749</v>
      </c>
      <c r="E1510" s="18" t="n">
        <v>5.99999989141166</v>
      </c>
      <c r="F1510" s="18" t="n">
        <v>5.99699172145311</v>
      </c>
      <c r="G1510" s="18" t="n">
        <v>5.34223571283884</v>
      </c>
      <c r="H1510" s="18" t="n">
        <v>5.29183622741343</v>
      </c>
      <c r="I1510" s="18" t="n">
        <v>5.24898535037009</v>
      </c>
      <c r="J1510" s="18" t="n">
        <v>5.2490413432503</v>
      </c>
    </row>
    <row r="1511" customFormat="false" ht="15" hidden="false" customHeight="false" outlineLevel="0" collapsed="false">
      <c r="A1511" s="28" t="n">
        <v>150617.719731733</v>
      </c>
      <c r="B1511" s="29" t="n">
        <v>6</v>
      </c>
      <c r="C1511" s="18" t="n">
        <v>4.47767864361142</v>
      </c>
      <c r="D1511" s="18" t="n">
        <v>5.09162587197827</v>
      </c>
      <c r="E1511" s="18" t="n">
        <v>5.99999989862162</v>
      </c>
      <c r="F1511" s="18" t="n">
        <v>5.99754668939435</v>
      </c>
      <c r="G1511" s="18" t="n">
        <v>5.41075190844095</v>
      </c>
      <c r="H1511" s="18" t="n">
        <v>5.29439257954351</v>
      </c>
      <c r="I1511" s="18" t="n">
        <v>5.24898535037542</v>
      </c>
      <c r="J1511" s="18" t="n">
        <v>5.249079922053</v>
      </c>
    </row>
    <row r="1512" customFormat="false" ht="15" hidden="false" customHeight="false" outlineLevel="0" collapsed="false">
      <c r="A1512" s="28" t="n">
        <v>150717.731497823</v>
      </c>
      <c r="B1512" s="29" t="n">
        <v>6</v>
      </c>
      <c r="C1512" s="18" t="n">
        <v>4.78360786639203</v>
      </c>
      <c r="D1512" s="18" t="n">
        <v>5.5183894851656</v>
      </c>
      <c r="E1512" s="18" t="n">
        <v>5.99999990535286</v>
      </c>
      <c r="F1512" s="18" t="n">
        <v>6.0015325655006</v>
      </c>
      <c r="G1512" s="18" t="n">
        <v>5.42629863942219</v>
      </c>
      <c r="H1512" s="18" t="n">
        <v>5.28170170324562</v>
      </c>
      <c r="I1512" s="18" t="n">
        <v>5.24898535038039</v>
      </c>
      <c r="J1512" s="18" t="n">
        <v>5.24898263605311</v>
      </c>
    </row>
    <row r="1513" customFormat="false" ht="15" hidden="false" customHeight="false" outlineLevel="0" collapsed="false">
      <c r="A1513" s="28" t="n">
        <v>150817.743263913</v>
      </c>
      <c r="B1513" s="29" t="n">
        <v>6</v>
      </c>
      <c r="C1513" s="18" t="n">
        <v>8.20670953856767</v>
      </c>
      <c r="D1513" s="18" t="n">
        <v>7.94773469244845</v>
      </c>
      <c r="E1513" s="18" t="n">
        <v>5.99999991163717</v>
      </c>
      <c r="F1513" s="18" t="n">
        <v>6.00311523250397</v>
      </c>
      <c r="G1513" s="18" t="n">
        <v>5.33807828269963</v>
      </c>
      <c r="H1513" s="18" t="n">
        <v>5.17970790642603</v>
      </c>
      <c r="I1513" s="18" t="n">
        <v>5.24898535038503</v>
      </c>
      <c r="J1513" s="18" t="n">
        <v>5.24889481039946</v>
      </c>
    </row>
    <row r="1514" customFormat="false" ht="15" hidden="false" customHeight="false" outlineLevel="0" collapsed="false">
      <c r="A1514" s="28" t="n">
        <v>150917.755030004</v>
      </c>
      <c r="B1514" s="29" t="n">
        <v>6</v>
      </c>
      <c r="C1514" s="18" t="n">
        <v>9.18129601640509</v>
      </c>
      <c r="D1514" s="18" t="n">
        <v>7.31487825688583</v>
      </c>
      <c r="E1514" s="18" t="n">
        <v>5.99999991750422</v>
      </c>
      <c r="F1514" s="18" t="n">
        <v>6.00017934925428</v>
      </c>
      <c r="G1514" s="18" t="n">
        <v>4.86393419768284</v>
      </c>
      <c r="H1514" s="18" t="n">
        <v>5.1296327822892</v>
      </c>
      <c r="I1514" s="18" t="n">
        <v>5.24898535038937</v>
      </c>
      <c r="J1514" s="18" t="n">
        <v>5.24894080829335</v>
      </c>
    </row>
    <row r="1515" customFormat="false" ht="15" hidden="false" customHeight="false" outlineLevel="0" collapsed="false">
      <c r="A1515" s="28" t="n">
        <v>151017.766796094</v>
      </c>
      <c r="B1515" s="29" t="n">
        <v>6</v>
      </c>
      <c r="C1515" s="18" t="n">
        <v>4.79582409848105</v>
      </c>
      <c r="D1515" s="18" t="n">
        <v>4.97449422083636</v>
      </c>
      <c r="E1515" s="18" t="n">
        <v>5.99999992298172</v>
      </c>
      <c r="F1515" s="18" t="n">
        <v>5.99718002799623</v>
      </c>
      <c r="G1515" s="18" t="n">
        <v>5.2757198105939</v>
      </c>
      <c r="H1515" s="18" t="n">
        <v>5.28424685433095</v>
      </c>
      <c r="I1515" s="18" t="n">
        <v>5.24898535039341</v>
      </c>
      <c r="J1515" s="18" t="n">
        <v>5.24904689541189</v>
      </c>
    </row>
    <row r="1516" customFormat="false" ht="15" hidden="false" customHeight="false" outlineLevel="0" collapsed="false">
      <c r="A1516" s="28" t="n">
        <v>151117.778562184</v>
      </c>
      <c r="B1516" s="29" t="n">
        <v>6</v>
      </c>
      <c r="C1516" s="18" t="n">
        <v>4.42142835603363</v>
      </c>
      <c r="D1516" s="18" t="n">
        <v>5.01986450102689</v>
      </c>
      <c r="E1516" s="18" t="n">
        <v>5.99999992809551</v>
      </c>
      <c r="F1516" s="18" t="n">
        <v>5.99835271421878</v>
      </c>
      <c r="G1516" s="18" t="n">
        <v>5.39571499577123</v>
      </c>
      <c r="H1516" s="18" t="n">
        <v>5.29556317425824</v>
      </c>
      <c r="I1516" s="18" t="n">
        <v>5.24898535039719</v>
      </c>
      <c r="J1516" s="18" t="n">
        <v>5.24905926388939</v>
      </c>
    </row>
    <row r="1517" customFormat="false" ht="15" hidden="false" customHeight="false" outlineLevel="0" collapsed="false">
      <c r="A1517" s="28" t="n">
        <v>151217.790328274</v>
      </c>
      <c r="B1517" s="29" t="n">
        <v>6</v>
      </c>
      <c r="C1517" s="18" t="n">
        <v>4.62736667328415</v>
      </c>
      <c r="D1517" s="18" t="n">
        <v>5.35642661728703</v>
      </c>
      <c r="E1517" s="18" t="n">
        <v>5.99999993286974</v>
      </c>
      <c r="F1517" s="18" t="n">
        <v>6.00178316488909</v>
      </c>
      <c r="G1517" s="18" t="n">
        <v>5.42437257948829</v>
      </c>
      <c r="H1517" s="18" t="n">
        <v>5.28708704605265</v>
      </c>
      <c r="I1517" s="18" t="n">
        <v>5.24898535040072</v>
      </c>
      <c r="J1517" s="18" t="n">
        <v>5.2489664555428</v>
      </c>
    </row>
    <row r="1518" customFormat="false" ht="15" hidden="false" customHeight="false" outlineLevel="0" collapsed="false">
      <c r="A1518" s="28" t="n">
        <v>151317.802094364</v>
      </c>
      <c r="B1518" s="29" t="n">
        <v>6</v>
      </c>
      <c r="C1518" s="18" t="n">
        <v>5.25727879913667</v>
      </c>
      <c r="D1518" s="18" t="n">
        <v>6.9384787405514</v>
      </c>
      <c r="E1518" s="18" t="n">
        <v>5.99999993732695</v>
      </c>
      <c r="F1518" s="18" t="n">
        <v>6.00248443831842</v>
      </c>
      <c r="G1518" s="18" t="n">
        <v>5.40823339095296</v>
      </c>
      <c r="H1518" s="18" t="n">
        <v>5.24831100114684</v>
      </c>
      <c r="I1518" s="18" t="n">
        <v>5.24898535040401</v>
      </c>
      <c r="J1518" s="18" t="n">
        <v>5.24890584178287</v>
      </c>
    </row>
    <row r="1519" customFormat="false" ht="15" hidden="false" customHeight="false" outlineLevel="0" collapsed="false">
      <c r="A1519" s="28" t="n">
        <v>151417.813860454</v>
      </c>
      <c r="B1519" s="29" t="n">
        <v>6</v>
      </c>
      <c r="C1519" s="18" t="n">
        <v>9.04988348255309</v>
      </c>
      <c r="D1519" s="18" t="n">
        <v>8.2516266538673</v>
      </c>
      <c r="E1519" s="18" t="n">
        <v>5.99999994148823</v>
      </c>
      <c r="F1519" s="18" t="n">
        <v>5.99961799471968</v>
      </c>
      <c r="G1519" s="18" t="n">
        <v>4.92724955562133</v>
      </c>
      <c r="H1519" s="18" t="n">
        <v>5.13034767731283</v>
      </c>
      <c r="I1519" s="18" t="n">
        <v>5.24898535040708</v>
      </c>
      <c r="J1519" s="18" t="n">
        <v>5.24896173744873</v>
      </c>
    </row>
    <row r="1520" customFormat="false" ht="15" hidden="false" customHeight="false" outlineLevel="0" collapsed="false">
      <c r="A1520" s="28" t="n">
        <v>151517.825626544</v>
      </c>
      <c r="B1520" s="29" t="n">
        <v>6</v>
      </c>
      <c r="C1520" s="18" t="n">
        <v>5.82623742319165</v>
      </c>
      <c r="D1520" s="18" t="n">
        <v>5.12936336003406</v>
      </c>
      <c r="E1520" s="18" t="n">
        <v>5.99999994537321</v>
      </c>
      <c r="F1520" s="18" t="n">
        <v>5.99747711940206</v>
      </c>
      <c r="G1520" s="18" t="n">
        <v>4.85818652428234</v>
      </c>
      <c r="H1520" s="18" t="n">
        <v>5.27248595943312</v>
      </c>
      <c r="I1520" s="18" t="n">
        <v>5.24898535040995</v>
      </c>
      <c r="J1520" s="18" t="n">
        <v>5.24904743809733</v>
      </c>
    </row>
    <row r="1521" customFormat="false" ht="15" hidden="false" customHeight="false" outlineLevel="0" collapsed="false">
      <c r="A1521" s="28" t="n">
        <v>151617.837392634</v>
      </c>
      <c r="B1521" s="29" t="n">
        <v>6</v>
      </c>
      <c r="C1521" s="18" t="n">
        <v>4.41250737117089</v>
      </c>
      <c r="D1521" s="18" t="n">
        <v>4.97377334230008</v>
      </c>
      <c r="E1521" s="18" t="n">
        <v>5.99999994900023</v>
      </c>
      <c r="F1521" s="18" t="n">
        <v>5.99903338142172</v>
      </c>
      <c r="G1521" s="18" t="n">
        <v>5.36530309204314</v>
      </c>
      <c r="H1521" s="18" t="n">
        <v>5.29557216004589</v>
      </c>
      <c r="I1521" s="18" t="n">
        <v>5.24898535041263</v>
      </c>
      <c r="J1521" s="18" t="n">
        <v>5.24904002036352</v>
      </c>
    </row>
    <row r="1522" customFormat="false" ht="15" hidden="false" customHeight="false" outlineLevel="0" collapsed="false">
      <c r="A1522" s="28" t="n">
        <v>151717.849158725</v>
      </c>
      <c r="B1522" s="29" t="n">
        <v>6</v>
      </c>
      <c r="C1522" s="18" t="n">
        <v>4.51820037802817</v>
      </c>
      <c r="D1522" s="18" t="n">
        <v>5.24422637260829</v>
      </c>
      <c r="E1522" s="18" t="n">
        <v>5.9999999523864</v>
      </c>
      <c r="F1522" s="18" t="n">
        <v>6.00186370195988</v>
      </c>
      <c r="G1522" s="18" t="n">
        <v>5.4165509848219</v>
      </c>
      <c r="H1522" s="18" t="n">
        <v>5.29052865335421</v>
      </c>
      <c r="I1522" s="18" t="n">
        <v>5.24898535041513</v>
      </c>
      <c r="J1522" s="18" t="n">
        <v>5.24895575496241</v>
      </c>
    </row>
    <row r="1523" customFormat="false" ht="15" hidden="false" customHeight="false" outlineLevel="0" collapsed="false">
      <c r="A1523" s="28" t="n">
        <v>151817.860924815</v>
      </c>
      <c r="B1523" s="29" t="n">
        <v>6</v>
      </c>
      <c r="C1523" s="18" t="n">
        <v>4.89202949363491</v>
      </c>
      <c r="D1523" s="18" t="n">
        <v>5.99390095298692</v>
      </c>
      <c r="E1523" s="18" t="n">
        <v>5.99999995554776</v>
      </c>
      <c r="F1523" s="18" t="n">
        <v>6.00188376450944</v>
      </c>
      <c r="G1523" s="18" t="n">
        <v>5.42413332429987</v>
      </c>
      <c r="H1523" s="18" t="n">
        <v>5.26645859521985</v>
      </c>
      <c r="I1523" s="18" t="n">
        <v>5.24898535041747</v>
      </c>
      <c r="J1523" s="18" t="n">
        <v>5.24891841199295</v>
      </c>
    </row>
    <row r="1524" customFormat="false" ht="15" hidden="false" customHeight="false" outlineLevel="0" collapsed="false">
      <c r="A1524" s="28" t="n">
        <v>151917.872690905</v>
      </c>
      <c r="B1524" s="29" t="n">
        <v>6</v>
      </c>
      <c r="C1524" s="18" t="n">
        <v>8.7006412722077</v>
      </c>
      <c r="D1524" s="18" t="n">
        <v>8.25807324153947</v>
      </c>
      <c r="E1524" s="18" t="n">
        <v>5.99999995849922</v>
      </c>
      <c r="F1524" s="18" t="n">
        <v>5.99923182709228</v>
      </c>
      <c r="G1524" s="18" t="n">
        <v>5.04240516071402</v>
      </c>
      <c r="H1524" s="18" t="n">
        <v>5.13834825880665</v>
      </c>
      <c r="I1524" s="18" t="n">
        <v>5.24898535041965</v>
      </c>
      <c r="J1524" s="18" t="n">
        <v>5.24897829277366</v>
      </c>
    </row>
    <row r="1525" customFormat="false" ht="15" hidden="false" customHeight="false" outlineLevel="0" collapsed="false">
      <c r="A1525" s="28" t="n">
        <v>152017.884456995</v>
      </c>
      <c r="B1525" s="29" t="n">
        <v>6</v>
      </c>
      <c r="C1525" s="18" t="n">
        <v>9.0321461039346</v>
      </c>
      <c r="D1525" s="18" t="n">
        <v>5.34673781279766</v>
      </c>
      <c r="E1525" s="18" t="n">
        <v>5.99999996125471</v>
      </c>
      <c r="F1525" s="18" t="n">
        <v>5.9978365726447</v>
      </c>
      <c r="G1525" s="18" t="n">
        <v>4.83923038995928</v>
      </c>
      <c r="H1525" s="18" t="n">
        <v>5.25472820804263</v>
      </c>
      <c r="I1525" s="18" t="n">
        <v>5.24898535042168</v>
      </c>
      <c r="J1525" s="18" t="n">
        <v>5.24904430600835</v>
      </c>
    </row>
    <row r="1526" customFormat="false" ht="15" hidden="false" customHeight="false" outlineLevel="0" collapsed="false">
      <c r="A1526" s="28" t="n">
        <v>152117.896223085</v>
      </c>
      <c r="B1526" s="29" t="n">
        <v>6</v>
      </c>
      <c r="C1526" s="18" t="n">
        <v>4.62294799534398</v>
      </c>
      <c r="D1526" s="18" t="n">
        <v>4.9468500629153</v>
      </c>
      <c r="E1526" s="18" t="n">
        <v>5.99999996382725</v>
      </c>
      <c r="F1526" s="18" t="n">
        <v>5.99958404710802</v>
      </c>
      <c r="G1526" s="18" t="n">
        <v>5.31413969870892</v>
      </c>
      <c r="H1526" s="18" t="n">
        <v>5.29463616327417</v>
      </c>
      <c r="I1526" s="18" t="n">
        <v>5.24898535042359</v>
      </c>
      <c r="J1526" s="18" t="n">
        <v>5.24902289845152</v>
      </c>
    </row>
    <row r="1527" customFormat="false" ht="15" hidden="false" customHeight="false" outlineLevel="0" collapsed="false">
      <c r="A1527" s="28" t="n">
        <v>152217.907989175</v>
      </c>
      <c r="B1527" s="29" t="n">
        <v>6</v>
      </c>
      <c r="C1527" s="18" t="n">
        <v>4.4455041752268</v>
      </c>
      <c r="D1527" s="18" t="n">
        <v>5.16119881559691</v>
      </c>
      <c r="E1527" s="18" t="n">
        <v>5.99999996622901</v>
      </c>
      <c r="F1527" s="18" t="n">
        <v>6.0018158043509</v>
      </c>
      <c r="G1527" s="18" t="n">
        <v>5.40383712518694</v>
      </c>
      <c r="H1527" s="18" t="n">
        <v>5.29279112812846</v>
      </c>
      <c r="I1527" s="18" t="n">
        <v>5.24898535042536</v>
      </c>
      <c r="J1527" s="18" t="n">
        <v>5.24894965775269</v>
      </c>
    </row>
    <row r="1528" customFormat="false" ht="15" hidden="false" customHeight="false" outlineLevel="0" collapsed="false">
      <c r="A1528" s="28" t="n">
        <v>152317.919755265</v>
      </c>
      <c r="B1528" s="29" t="n">
        <v>6</v>
      </c>
      <c r="C1528" s="18" t="n">
        <v>4.69780105873319</v>
      </c>
      <c r="D1528" s="18" t="n">
        <v>5.70054402377179</v>
      </c>
      <c r="E1528" s="18" t="n">
        <v>5.99999996847133</v>
      </c>
      <c r="F1528" s="18" t="n">
        <v>6.00133945590623</v>
      </c>
      <c r="G1528" s="18" t="n">
        <v>5.42619281257968</v>
      </c>
      <c r="H1528" s="18" t="n">
        <v>5.275576732843</v>
      </c>
      <c r="I1528" s="18" t="n">
        <v>5.24898535042702</v>
      </c>
      <c r="J1528" s="18" t="n">
        <v>5.24893137798303</v>
      </c>
    </row>
    <row r="1529" customFormat="false" ht="15" hidden="false" customHeight="false" outlineLevel="0" collapsed="false">
      <c r="A1529" s="28" t="n">
        <v>152417.931521356</v>
      </c>
      <c r="B1529" s="29" t="n">
        <v>6</v>
      </c>
      <c r="C1529" s="18" t="n">
        <v>5.71411687545183</v>
      </c>
      <c r="D1529" s="18" t="n">
        <v>8.16107991867312</v>
      </c>
      <c r="E1529" s="18" t="n">
        <v>5.99999997056476</v>
      </c>
      <c r="F1529" s="18" t="n">
        <v>5.99899488303584</v>
      </c>
      <c r="G1529" s="18" t="n">
        <v>5.38798844155224</v>
      </c>
      <c r="H1529" s="18" t="n">
        <v>5.15113318402736</v>
      </c>
      <c r="I1529" s="18" t="n">
        <v>5.24898535042856</v>
      </c>
      <c r="J1529" s="18" t="n">
        <v>5.24899072801959</v>
      </c>
    </row>
    <row r="1530" customFormat="false" ht="15" hidden="false" customHeight="false" outlineLevel="0" collapsed="false">
      <c r="A1530" s="28" t="n">
        <v>152517.943287446</v>
      </c>
      <c r="B1530" s="29" t="n">
        <v>6</v>
      </c>
      <c r="C1530" s="18" t="n">
        <v>9.13729003926187</v>
      </c>
      <c r="D1530" s="18" t="n">
        <v>5.69306151311946</v>
      </c>
      <c r="E1530" s="18" t="n">
        <v>5.99999997251922</v>
      </c>
      <c r="F1530" s="18" t="n">
        <v>5.99822107822136</v>
      </c>
      <c r="G1530" s="18" t="n">
        <v>4.89327512051655</v>
      </c>
      <c r="H1530" s="18" t="n">
        <v>5.19394636964228</v>
      </c>
      <c r="I1530" s="18" t="n">
        <v>5.24898535043001</v>
      </c>
      <c r="J1530" s="18" t="n">
        <v>5.24903867701366</v>
      </c>
    </row>
    <row r="1531" customFormat="false" ht="15" hidden="false" customHeight="false" outlineLevel="0" collapsed="false">
      <c r="A1531" s="28" t="n">
        <v>152617.955053536</v>
      </c>
      <c r="B1531" s="29" t="n">
        <v>6</v>
      </c>
      <c r="C1531" s="18" t="n">
        <v>5.06943061346838</v>
      </c>
      <c r="D1531" s="18" t="n">
        <v>4.92967283936176</v>
      </c>
      <c r="E1531" s="18" t="n">
        <v>5.99999997434388</v>
      </c>
      <c r="F1531" s="18" t="n">
        <v>6.0000086670364</v>
      </c>
      <c r="G1531" s="18" t="n">
        <v>5.18433124769095</v>
      </c>
      <c r="H1531" s="18" t="n">
        <v>5.29147615946488</v>
      </c>
      <c r="I1531" s="18" t="n">
        <v>5.24898535043135</v>
      </c>
      <c r="J1531" s="18" t="n">
        <v>5.24900829492196</v>
      </c>
    </row>
    <row r="1532" customFormat="false" ht="15" hidden="false" customHeight="false" outlineLevel="0" collapsed="false">
      <c r="A1532" s="28" t="n">
        <v>152717.966819626</v>
      </c>
      <c r="B1532" s="29" t="n">
        <v>6</v>
      </c>
      <c r="C1532" s="18" t="n">
        <v>4.40670507484936</v>
      </c>
      <c r="D1532" s="18" t="n">
        <v>5.08497502182573</v>
      </c>
      <c r="E1532" s="18" t="n">
        <v>5.99999997604739</v>
      </c>
      <c r="F1532" s="18" t="n">
        <v>6.00167718578498</v>
      </c>
      <c r="G1532" s="18" t="n">
        <v>5.38517948767338</v>
      </c>
      <c r="H1532" s="18" t="n">
        <v>5.294538031478</v>
      </c>
      <c r="I1532" s="18" t="n">
        <v>5.24898535043261</v>
      </c>
      <c r="J1532" s="18" t="n">
        <v>5.24894726057073</v>
      </c>
    </row>
    <row r="1533" customFormat="false" ht="15" hidden="false" customHeight="false" outlineLevel="0" collapsed="false">
      <c r="A1533" s="28" t="n">
        <v>152817.978585716</v>
      </c>
      <c r="B1533" s="29" t="n">
        <v>6</v>
      </c>
      <c r="C1533" s="18" t="n">
        <v>4.56822608847864</v>
      </c>
      <c r="D1533" s="18" t="n">
        <v>5.50334525075008</v>
      </c>
      <c r="E1533" s="18" t="n">
        <v>5.99999997763775</v>
      </c>
      <c r="F1533" s="18" t="n">
        <v>6.0008672858423</v>
      </c>
      <c r="G1533" s="18" t="n">
        <v>5.42115447145362</v>
      </c>
      <c r="H1533" s="18" t="n">
        <v>5.28221417378533</v>
      </c>
      <c r="I1533" s="18" t="n">
        <v>5.24898535043379</v>
      </c>
      <c r="J1533" s="18" t="n">
        <v>5.24894388780173</v>
      </c>
    </row>
    <row r="1534" customFormat="false" ht="15" hidden="false" customHeight="false" outlineLevel="0" collapsed="false">
      <c r="A1534" s="28" t="n">
        <v>152917.990351806</v>
      </c>
      <c r="B1534" s="29" t="n">
        <v>6</v>
      </c>
      <c r="C1534" s="18" t="n">
        <v>5.03762168203375</v>
      </c>
      <c r="D1534" s="18" t="n">
        <v>7.91552355719828</v>
      </c>
      <c r="E1534" s="18" t="n">
        <v>5.99999997912256</v>
      </c>
      <c r="F1534" s="18" t="n">
        <v>5.99887984256149</v>
      </c>
      <c r="G1534" s="18" t="n">
        <v>5.41873730311273</v>
      </c>
      <c r="H1534" s="18" t="n">
        <v>5.18545744864964</v>
      </c>
      <c r="I1534" s="18" t="n">
        <v>5.24898535043488</v>
      </c>
      <c r="J1534" s="18" t="n">
        <v>5.24899946203024</v>
      </c>
    </row>
    <row r="1535" customFormat="false" ht="15" hidden="false" customHeight="false" outlineLevel="0" collapsed="false">
      <c r="A1535" s="28" t="n">
        <v>153018.002117896</v>
      </c>
      <c r="B1535" s="29" t="n">
        <v>6</v>
      </c>
      <c r="C1535" s="18" t="n">
        <v>8.91672953051219</v>
      </c>
      <c r="D1535" s="18" t="n">
        <v>7.56474890871852</v>
      </c>
      <c r="E1535" s="18" t="n">
        <v>5.99999998050875</v>
      </c>
      <c r="F1535" s="18" t="n">
        <v>5.99860204151928</v>
      </c>
      <c r="G1535" s="18" t="n">
        <v>4.96978085927844</v>
      </c>
      <c r="H1535" s="18" t="n">
        <v>5.12901074644535</v>
      </c>
      <c r="I1535" s="18" t="n">
        <v>5.24898535043591</v>
      </c>
      <c r="J1535" s="18" t="n">
        <v>5.24903154937782</v>
      </c>
    </row>
    <row r="1536" customFormat="false" ht="15" hidden="false" customHeight="false" outlineLevel="0" collapsed="false">
      <c r="A1536" s="28" t="n">
        <v>153118.013883986</v>
      </c>
      <c r="B1536" s="29" t="n">
        <v>6</v>
      </c>
      <c r="C1536" s="18" t="n">
        <v>8.69959699844234</v>
      </c>
      <c r="D1536" s="18" t="n">
        <v>4.98377204547306</v>
      </c>
      <c r="E1536" s="18" t="n">
        <v>5.99999998180291</v>
      </c>
      <c r="F1536" s="18" t="n">
        <v>6.00031728004091</v>
      </c>
      <c r="G1536" s="18" t="n">
        <v>4.83730337833495</v>
      </c>
      <c r="H1536" s="18" t="n">
        <v>5.28344890967792</v>
      </c>
      <c r="I1536" s="18" t="n">
        <v>5.24898535043686</v>
      </c>
      <c r="J1536" s="18" t="n">
        <v>5.24899635685349</v>
      </c>
    </row>
    <row r="1537" customFormat="false" ht="15" hidden="false" customHeight="false" outlineLevel="0" collapsed="false">
      <c r="A1537" s="28" t="n">
        <v>153218.025650077</v>
      </c>
      <c r="B1537" s="29" t="n">
        <v>6</v>
      </c>
      <c r="C1537" s="18" t="n">
        <v>4.50119435156471</v>
      </c>
      <c r="D1537" s="18" t="n">
        <v>5.01363837696928</v>
      </c>
      <c r="E1537" s="18" t="n">
        <v>5.9999999830111</v>
      </c>
      <c r="F1537" s="18" t="n">
        <v>6.00148051512853</v>
      </c>
      <c r="G1537" s="18" t="n">
        <v>5.34223571283884</v>
      </c>
      <c r="H1537" s="18" t="n">
        <v>5.29564326898325</v>
      </c>
      <c r="I1537" s="18" t="n">
        <v>5.24898535043776</v>
      </c>
      <c r="J1537" s="18" t="n">
        <v>5.24894769289945</v>
      </c>
    </row>
    <row r="1538" customFormat="false" ht="15" hidden="false" customHeight="false" outlineLevel="0" collapsed="false">
      <c r="A1538" s="28" t="n">
        <v>153318.037416167</v>
      </c>
      <c r="B1538" s="29" t="n">
        <v>6</v>
      </c>
      <c r="C1538" s="18" t="n">
        <v>4.47767864361139</v>
      </c>
      <c r="D1538" s="18" t="n">
        <v>5.34305895873633</v>
      </c>
      <c r="E1538" s="18" t="n">
        <v>5.99999998413906</v>
      </c>
      <c r="F1538" s="18" t="n">
        <v>6.0004745395442</v>
      </c>
      <c r="G1538" s="18" t="n">
        <v>5.41075190844095</v>
      </c>
      <c r="H1538" s="18" t="n">
        <v>5.28752059838047</v>
      </c>
      <c r="I1538" s="18" t="n">
        <v>5.24898535043859</v>
      </c>
      <c r="J1538" s="18" t="n">
        <v>5.24895534979449</v>
      </c>
    </row>
    <row r="1539" customFormat="false" ht="15" hidden="false" customHeight="false" outlineLevel="0" collapsed="false">
      <c r="A1539" s="28" t="n">
        <v>153418.049182257</v>
      </c>
      <c r="B1539" s="29" t="n">
        <v>6</v>
      </c>
      <c r="C1539" s="18" t="n">
        <v>4.78360786639198</v>
      </c>
      <c r="D1539" s="18" t="n">
        <v>6.74228786367614</v>
      </c>
      <c r="E1539" s="18" t="n">
        <v>5.99999998519214</v>
      </c>
      <c r="F1539" s="18" t="n">
        <v>5.99885995136143</v>
      </c>
      <c r="G1539" s="18" t="n">
        <v>5.42629863942219</v>
      </c>
      <c r="H1539" s="18" t="n">
        <v>5.2510563698128</v>
      </c>
      <c r="I1539" s="18" t="n">
        <v>5.24898535043937</v>
      </c>
      <c r="J1539" s="18" t="n">
        <v>5.24900500924513</v>
      </c>
    </row>
    <row r="1540" customFormat="false" ht="15" hidden="false" customHeight="false" outlineLevel="0" collapsed="false">
      <c r="A1540" s="28" t="n">
        <v>153518.060948347</v>
      </c>
      <c r="B1540" s="29" t="n">
        <v>6</v>
      </c>
      <c r="C1540" s="18" t="n">
        <v>8.20670953856716</v>
      </c>
      <c r="D1540" s="18" t="n">
        <v>8.26065503024491</v>
      </c>
      <c r="E1540" s="18" t="n">
        <v>5.99999998617531</v>
      </c>
      <c r="F1540" s="18" t="n">
        <v>5.9989588204279</v>
      </c>
      <c r="G1540" s="18" t="n">
        <v>5.33807828269968</v>
      </c>
      <c r="H1540" s="18" t="n">
        <v>5.13097687253944</v>
      </c>
      <c r="I1540" s="18" t="n">
        <v>5.24898535044009</v>
      </c>
      <c r="J1540" s="18" t="n">
        <v>5.24902373484491</v>
      </c>
    </row>
    <row r="1541" customFormat="false" ht="15" hidden="false" customHeight="false" outlineLevel="0" collapsed="false">
      <c r="A1541" s="28" t="n">
        <v>153618.072714437</v>
      </c>
      <c r="B1541" s="29" t="n">
        <v>6</v>
      </c>
      <c r="C1541" s="18" t="n">
        <v>9.18129601640565</v>
      </c>
      <c r="D1541" s="18" t="n">
        <v>5.14970752536611</v>
      </c>
      <c r="E1541" s="18" t="n">
        <v>5.9999999870932</v>
      </c>
      <c r="F1541" s="18" t="n">
        <v>6.00052381048876</v>
      </c>
      <c r="G1541" s="18" t="n">
        <v>4.86393419768291</v>
      </c>
      <c r="H1541" s="18" t="n">
        <v>5.27104848664855</v>
      </c>
      <c r="I1541" s="18" t="n">
        <v>5.24898535044077</v>
      </c>
      <c r="J1541" s="18" t="n">
        <v>5.24898704016554</v>
      </c>
    </row>
    <row r="1542" customFormat="false" ht="15" hidden="false" customHeight="false" outlineLevel="0" collapsed="false">
      <c r="A1542" s="28" t="n">
        <v>153718.084480527</v>
      </c>
      <c r="B1542" s="29" t="n">
        <v>6</v>
      </c>
      <c r="C1542" s="18" t="n">
        <v>4.79582409848113</v>
      </c>
      <c r="D1542" s="18" t="n">
        <v>4.97353421983585</v>
      </c>
      <c r="E1542" s="18" t="n">
        <v>5.99999998795019</v>
      </c>
      <c r="F1542" s="18" t="n">
        <v>6.00125289164946</v>
      </c>
      <c r="G1542" s="18" t="n">
        <v>5.27571981059389</v>
      </c>
      <c r="H1542" s="18" t="n">
        <v>5.29545376301956</v>
      </c>
      <c r="I1542" s="18" t="n">
        <v>5.24898535044141</v>
      </c>
      <c r="J1542" s="18" t="n">
        <v>5.24895015863457</v>
      </c>
    </row>
    <row r="1543" customFormat="false" ht="15" hidden="false" customHeight="false" outlineLevel="0" collapsed="false">
      <c r="A1543" s="28" t="n">
        <v>153818.096246617</v>
      </c>
      <c r="B1543" s="29" t="n">
        <v>6</v>
      </c>
      <c r="C1543" s="18" t="n">
        <v>4.42142835603363</v>
      </c>
      <c r="D1543" s="18" t="n">
        <v>5.24005535966178</v>
      </c>
      <c r="E1543" s="18" t="n">
        <v>5.99999998875029</v>
      </c>
      <c r="F1543" s="18" t="n">
        <v>6.00016194234463</v>
      </c>
      <c r="G1543" s="18" t="n">
        <v>5.39571499577123</v>
      </c>
      <c r="H1543" s="18" t="n">
        <v>5.29063517983984</v>
      </c>
      <c r="I1543" s="18" t="n">
        <v>5.248985350442</v>
      </c>
      <c r="J1543" s="18" t="n">
        <v>5.24896539496245</v>
      </c>
    </row>
    <row r="1544" customFormat="false" ht="15" hidden="false" customHeight="false" outlineLevel="0" collapsed="false">
      <c r="A1544" s="28" t="n">
        <v>153918.108012707</v>
      </c>
      <c r="B1544" s="29" t="n">
        <v>6</v>
      </c>
      <c r="C1544" s="18" t="n">
        <v>4.62736667328415</v>
      </c>
      <c r="D1544" s="18" t="n">
        <v>5.97439505507775</v>
      </c>
      <c r="E1544" s="18" t="n">
        <v>5.99999998949729</v>
      </c>
      <c r="F1544" s="18" t="n">
        <v>5.9989103760108</v>
      </c>
      <c r="G1544" s="18" t="n">
        <v>5.42437257948829</v>
      </c>
      <c r="H1544" s="18" t="n">
        <v>5.26700861136941</v>
      </c>
      <c r="I1544" s="18" t="n">
        <v>5.24898535044255</v>
      </c>
      <c r="J1544" s="18" t="n">
        <v>5.24900792422655</v>
      </c>
    </row>
    <row r="1545" customFormat="false" ht="15" hidden="false" customHeight="false" outlineLevel="0" collapsed="false">
      <c r="A1545" s="28" t="n">
        <v>154018.119778798</v>
      </c>
      <c r="B1545" s="29" t="n">
        <v>6</v>
      </c>
      <c r="C1545" s="18" t="n">
        <v>5.25727879913666</v>
      </c>
      <c r="D1545" s="18" t="n">
        <v>8.25498336735033</v>
      </c>
      <c r="E1545" s="18" t="n">
        <v>5.99999999019469</v>
      </c>
      <c r="F1545" s="18" t="n">
        <v>5.99927773370522</v>
      </c>
      <c r="G1545" s="18" t="n">
        <v>5.40823339095296</v>
      </c>
      <c r="H1545" s="18" t="n">
        <v>5.13884033517104</v>
      </c>
      <c r="I1545" s="18" t="n">
        <v>5.24898535044306</v>
      </c>
      <c r="J1545" s="18" t="n">
        <v>5.24901586372729</v>
      </c>
    </row>
    <row r="1546" customFormat="false" ht="15" hidden="false" customHeight="false" outlineLevel="0" collapsed="false">
      <c r="A1546" s="28" t="n">
        <v>154118.131544888</v>
      </c>
      <c r="B1546" s="29" t="n">
        <v>6</v>
      </c>
      <c r="C1546" s="18" t="n">
        <v>9.04988348255268</v>
      </c>
      <c r="D1546" s="18" t="n">
        <v>5.358479316069</v>
      </c>
      <c r="E1546" s="18" t="n">
        <v>5.99999999084579</v>
      </c>
      <c r="F1546" s="18" t="n">
        <v>6.00064423117938</v>
      </c>
      <c r="G1546" s="18" t="n">
        <v>4.92724955562133</v>
      </c>
      <c r="H1546" s="18" t="n">
        <v>5.25362388078075</v>
      </c>
      <c r="I1546" s="18" t="n">
        <v>5.24898535044355</v>
      </c>
      <c r="J1546" s="18" t="n">
        <v>5.24898016345829</v>
      </c>
    </row>
    <row r="1547" customFormat="false" ht="15" hidden="false" customHeight="false" outlineLevel="0" collapsed="false">
      <c r="A1547" s="28" t="n">
        <v>154218.143310978</v>
      </c>
      <c r="B1547" s="29" t="n">
        <v>6</v>
      </c>
      <c r="C1547" s="18" t="n">
        <v>5.82623742319171</v>
      </c>
      <c r="D1547" s="18" t="n">
        <v>4.94530118180503</v>
      </c>
      <c r="E1547" s="18" t="n">
        <v>5.99999999145366</v>
      </c>
      <c r="F1547" s="18" t="n">
        <v>6.00101579356982</v>
      </c>
      <c r="G1547" s="18" t="n">
        <v>4.85818652428234</v>
      </c>
      <c r="H1547" s="18" t="n">
        <v>5.29457725004766</v>
      </c>
      <c r="I1547" s="18" t="n">
        <v>5.24898535044399</v>
      </c>
      <c r="J1547" s="18" t="n">
        <v>5.24895396196824</v>
      </c>
    </row>
    <row r="1548" customFormat="false" ht="15" hidden="false" customHeight="false" outlineLevel="0" collapsed="false">
      <c r="A1548" s="28" t="n">
        <v>154318.155077068</v>
      </c>
      <c r="B1548" s="29" t="n">
        <v>6</v>
      </c>
      <c r="C1548" s="18" t="n">
        <v>4.41250737117091</v>
      </c>
      <c r="D1548" s="18" t="n">
        <v>5.15674377547683</v>
      </c>
      <c r="E1548" s="18" t="n">
        <v>5.99999999202115</v>
      </c>
      <c r="F1548" s="18" t="n">
        <v>5.99992543121404</v>
      </c>
      <c r="G1548" s="18" t="n">
        <v>5.36530309204314</v>
      </c>
      <c r="H1548" s="18" t="n">
        <v>5.29290522088421</v>
      </c>
      <c r="I1548" s="18" t="n">
        <v>5.24898535044441</v>
      </c>
      <c r="J1548" s="18" t="n">
        <v>5.24897383676237</v>
      </c>
    </row>
    <row r="1549" customFormat="false" ht="15" hidden="false" customHeight="false" outlineLevel="0" collapsed="false">
      <c r="A1549" s="28" t="n">
        <v>154418.166843158</v>
      </c>
      <c r="B1549" s="29" t="n">
        <v>6</v>
      </c>
      <c r="C1549" s="18" t="n">
        <v>4.51820037802819</v>
      </c>
      <c r="D1549" s="18" t="n">
        <v>5.68777995826608</v>
      </c>
      <c r="E1549" s="18" t="n">
        <v>5.99999999255094</v>
      </c>
      <c r="F1549" s="18" t="n">
        <v>5.99900907755426</v>
      </c>
      <c r="G1549" s="18" t="n">
        <v>5.4165509848219</v>
      </c>
      <c r="H1549" s="18" t="n">
        <v>5.27599960071974</v>
      </c>
      <c r="I1549" s="18" t="n">
        <v>5.2489853504448</v>
      </c>
      <c r="J1549" s="18" t="n">
        <v>5.24900875931736</v>
      </c>
    </row>
    <row r="1550" customFormat="false" ht="15" hidden="false" customHeight="false" outlineLevel="0" collapsed="false">
      <c r="A1550" s="28" t="n">
        <v>154518.178609248</v>
      </c>
      <c r="B1550" s="29" t="n">
        <v>6</v>
      </c>
      <c r="C1550" s="18" t="n">
        <v>4.89202949363495</v>
      </c>
      <c r="D1550" s="18" t="n">
        <v>8.15249332942615</v>
      </c>
      <c r="E1550" s="18" t="n">
        <v>5.99999999304557</v>
      </c>
      <c r="F1550" s="18" t="n">
        <v>5.99955095166279</v>
      </c>
      <c r="G1550" s="18" t="n">
        <v>5.42413332429986</v>
      </c>
      <c r="H1550" s="18" t="n">
        <v>5.15212792131729</v>
      </c>
      <c r="I1550" s="18" t="n">
        <v>5.24898535044517</v>
      </c>
      <c r="J1550" s="18" t="n">
        <v>5.24900839857648</v>
      </c>
    </row>
    <row r="1551" customFormat="false" ht="15" hidden="false" customHeight="false" outlineLevel="0" collapsed="false">
      <c r="A1551" s="28" t="n">
        <v>154618.190375338</v>
      </c>
      <c r="B1551" s="29" t="n">
        <v>6</v>
      </c>
      <c r="C1551" s="18" t="n">
        <v>8.7006412722078</v>
      </c>
      <c r="D1551" s="18" t="n">
        <v>5.7203346147724</v>
      </c>
      <c r="E1551" s="18" t="n">
        <v>5.99999999350736</v>
      </c>
      <c r="F1551" s="18" t="n">
        <v>6.00069509809747</v>
      </c>
      <c r="G1551" s="18" t="n">
        <v>5.04240516071399</v>
      </c>
      <c r="H1551" s="18" t="n">
        <v>5.18266929271895</v>
      </c>
      <c r="I1551" s="18" t="n">
        <v>5.24898535044551</v>
      </c>
      <c r="J1551" s="18" t="n">
        <v>5.24897545535003</v>
      </c>
    </row>
    <row r="1552" customFormat="false" ht="15" hidden="false" customHeight="false" outlineLevel="0" collapsed="false">
      <c r="A1552" s="28" t="n">
        <v>154718.202141428</v>
      </c>
      <c r="B1552" s="29" t="n">
        <v>6</v>
      </c>
      <c r="C1552" s="18" t="n">
        <v>9.0321461039346</v>
      </c>
      <c r="D1552" s="18" t="n">
        <v>4.92585237981417</v>
      </c>
      <c r="E1552" s="18" t="n">
        <v>5.99999999393849</v>
      </c>
      <c r="F1552" s="18" t="n">
        <v>6.00078537261755</v>
      </c>
      <c r="G1552" s="18" t="n">
        <v>4.83923038995935</v>
      </c>
      <c r="H1552" s="18" t="n">
        <v>5.29102008715918</v>
      </c>
      <c r="I1552" s="18" t="n">
        <v>5.24898535044583</v>
      </c>
      <c r="J1552" s="18" t="n">
        <v>5.24895852028115</v>
      </c>
    </row>
    <row r="1553" customFormat="false" ht="15" hidden="false" customHeight="false" outlineLevel="0" collapsed="false">
      <c r="A1553" s="28" t="n">
        <v>154818.213907519</v>
      </c>
      <c r="B1553" s="29" t="n">
        <v>6</v>
      </c>
      <c r="C1553" s="18" t="n">
        <v>4.62294799534398</v>
      </c>
      <c r="D1553" s="18" t="n">
        <v>5.07609492709128</v>
      </c>
      <c r="E1553" s="18" t="n">
        <v>5.99999999434105</v>
      </c>
      <c r="F1553" s="18" t="n">
        <v>5.99975770886892</v>
      </c>
      <c r="G1553" s="18" t="n">
        <v>5.31413969870893</v>
      </c>
      <c r="H1553" s="18" t="n">
        <v>5.29473396410244</v>
      </c>
      <c r="I1553" s="18" t="n">
        <v>5.24898535044613</v>
      </c>
      <c r="J1553" s="18" t="n">
        <v>5.2489806315041</v>
      </c>
    </row>
    <row r="1554" customFormat="false" ht="15" hidden="false" customHeight="false" outlineLevel="0" collapsed="false">
      <c r="A1554" s="28" t="n">
        <v>154918.225673609</v>
      </c>
      <c r="B1554" s="29" t="n">
        <v>6</v>
      </c>
      <c r="C1554" s="18" t="n">
        <v>4.44550417522682</v>
      </c>
      <c r="D1554" s="18" t="n">
        <v>5.48376998932535</v>
      </c>
      <c r="E1554" s="18" t="n">
        <v>5.9999999947169</v>
      </c>
      <c r="F1554" s="18" t="n">
        <v>5.99913728980354</v>
      </c>
      <c r="G1554" s="18" t="n">
        <v>5.40383712518694</v>
      </c>
      <c r="H1554" s="18" t="n">
        <v>5.28288280673853</v>
      </c>
      <c r="I1554" s="18" t="n">
        <v>5.24898535044641</v>
      </c>
      <c r="J1554" s="18" t="n">
        <v>5.24900803408404</v>
      </c>
    </row>
    <row r="1555" customFormat="false" ht="15" hidden="false" customHeight="false" outlineLevel="0" collapsed="false">
      <c r="A1555" s="28" t="n">
        <v>155018.237439699</v>
      </c>
      <c r="B1555" s="29" t="n">
        <v>6</v>
      </c>
      <c r="C1555" s="18" t="n">
        <v>4.69780105873322</v>
      </c>
      <c r="D1555" s="18" t="n">
        <v>7.86711813334231</v>
      </c>
      <c r="E1555" s="18" t="n">
        <v>5.99999999506775</v>
      </c>
      <c r="F1555" s="18" t="n">
        <v>5.99977535880787</v>
      </c>
      <c r="G1555" s="18" t="n">
        <v>5.42619281257968</v>
      </c>
      <c r="H1555" s="18" t="n">
        <v>5.19513271829859</v>
      </c>
      <c r="I1555" s="18" t="n">
        <v>5.24898535044666</v>
      </c>
      <c r="J1555" s="18" t="n">
        <v>5.24900165346331</v>
      </c>
    </row>
    <row r="1556" customFormat="false" ht="15" hidden="false" customHeight="false" outlineLevel="0" collapsed="false">
      <c r="A1556" s="28" t="n">
        <v>155118.249205789</v>
      </c>
      <c r="B1556" s="29" t="n">
        <v>6</v>
      </c>
      <c r="C1556" s="18" t="n">
        <v>5.7141168754522</v>
      </c>
      <c r="D1556" s="18" t="n">
        <v>7.79244491707929</v>
      </c>
      <c r="E1556" s="18" t="n">
        <v>5.99999999539529</v>
      </c>
      <c r="F1556" s="18" t="n">
        <v>6.0006924441629</v>
      </c>
      <c r="G1556" s="18" t="n">
        <v>5.38798844155222</v>
      </c>
      <c r="H1556" s="18" t="n">
        <v>5.12851178478979</v>
      </c>
      <c r="I1556" s="18" t="n">
        <v>5.24898535044691</v>
      </c>
      <c r="J1556" s="18" t="n">
        <v>5.24897259430812</v>
      </c>
    </row>
    <row r="1557" customFormat="false" ht="15" hidden="false" customHeight="false" outlineLevel="0" collapsed="false">
      <c r="A1557" s="28" t="n">
        <v>155218.260971879</v>
      </c>
      <c r="B1557" s="29" t="n">
        <v>6</v>
      </c>
      <c r="C1557" s="18" t="n">
        <v>9.13729003926187</v>
      </c>
      <c r="D1557" s="18" t="n">
        <v>4.9981167517386</v>
      </c>
      <c r="E1557" s="18" t="n">
        <v>5.99999999570108</v>
      </c>
      <c r="F1557" s="18" t="n">
        <v>6.00057298057768</v>
      </c>
      <c r="G1557" s="18" t="n">
        <v>4.8932751205165</v>
      </c>
      <c r="H1557" s="18" t="n">
        <v>5.28240606462172</v>
      </c>
      <c r="I1557" s="18" t="n">
        <v>5.24898535044713</v>
      </c>
      <c r="J1557" s="18" t="n">
        <v>5.2489633668429</v>
      </c>
    </row>
    <row r="1558" customFormat="false" ht="15" hidden="false" customHeight="false" outlineLevel="0" collapsed="false">
      <c r="A1558" s="28" t="n">
        <v>155318.272737969</v>
      </c>
      <c r="B1558" s="29" t="n">
        <v>6</v>
      </c>
      <c r="C1558" s="18" t="n">
        <v>5.06943061346827</v>
      </c>
      <c r="D1558" s="18" t="n">
        <v>5.01037950458144</v>
      </c>
      <c r="E1558" s="18" t="n">
        <v>5.99999999598653</v>
      </c>
      <c r="F1558" s="18" t="n">
        <v>5.99964955131057</v>
      </c>
      <c r="G1558" s="18" t="n">
        <v>5.18433124769099</v>
      </c>
      <c r="H1558" s="18" t="n">
        <v>5.29563307582841</v>
      </c>
      <c r="I1558" s="18" t="n">
        <v>5.24898535044734</v>
      </c>
      <c r="J1558" s="18" t="n">
        <v>5.24898584151934</v>
      </c>
    </row>
    <row r="1559" customFormat="false" ht="15" hidden="false" customHeight="false" outlineLevel="0" collapsed="false">
      <c r="A1559" s="28" t="n">
        <v>155418.284504059</v>
      </c>
      <c r="B1559" s="29" t="n">
        <v>6</v>
      </c>
      <c r="C1559" s="18" t="n">
        <v>4.40670507484936</v>
      </c>
      <c r="D1559" s="18" t="n">
        <v>5.33442512746593</v>
      </c>
      <c r="E1559" s="18" t="n">
        <v>5.99999999625302</v>
      </c>
      <c r="F1559" s="18" t="n">
        <v>5.99927968498085</v>
      </c>
      <c r="G1559" s="18" t="n">
        <v>5.38517948767338</v>
      </c>
      <c r="H1559" s="18" t="n">
        <v>5.28778892343837</v>
      </c>
      <c r="I1559" s="18" t="n">
        <v>5.24898535044754</v>
      </c>
      <c r="J1559" s="18" t="n">
        <v>5.24900621495656</v>
      </c>
    </row>
    <row r="1560" customFormat="false" ht="15" hidden="false" customHeight="false" outlineLevel="0" collapsed="false">
      <c r="A1560" s="28" t="n">
        <v>155518.296270149</v>
      </c>
      <c r="B1560" s="29" t="n">
        <v>6</v>
      </c>
      <c r="C1560" s="18" t="n">
        <v>4.56822608847865</v>
      </c>
      <c r="D1560" s="18" t="n">
        <v>6.62807759048962</v>
      </c>
      <c r="E1560" s="18" t="n">
        <v>5.99999999650184</v>
      </c>
      <c r="F1560" s="18" t="n">
        <v>5.99995145728012</v>
      </c>
      <c r="G1560" s="18" t="n">
        <v>5.42115447145363</v>
      </c>
      <c r="H1560" s="18" t="n">
        <v>5.25274973760421</v>
      </c>
      <c r="I1560" s="18" t="n">
        <v>5.24898535044772</v>
      </c>
      <c r="J1560" s="18" t="n">
        <v>5.24899581636098</v>
      </c>
    </row>
    <row r="1561" customFormat="false" ht="15" hidden="false" customHeight="false" outlineLevel="0" collapsed="false">
      <c r="A1561" s="28" t="n">
        <v>155618.30803624</v>
      </c>
      <c r="B1561" s="29" t="n">
        <v>6</v>
      </c>
      <c r="C1561" s="18" t="n">
        <v>5.03762168203381</v>
      </c>
      <c r="D1561" s="18" t="n">
        <v>8.26494532077252</v>
      </c>
      <c r="E1561" s="18" t="n">
        <v>5.99999999673415</v>
      </c>
      <c r="F1561" s="18" t="n">
        <v>6.0006510012164</v>
      </c>
      <c r="G1561" s="18" t="n">
        <v>5.41873730311273</v>
      </c>
      <c r="H1561" s="18" t="n">
        <v>5.13142904684785</v>
      </c>
      <c r="I1561" s="18" t="n">
        <v>5.2489853504479</v>
      </c>
      <c r="J1561" s="18" t="n">
        <v>5.24897124065599</v>
      </c>
    </row>
    <row r="1562" customFormat="false" ht="15" hidden="false" customHeight="false" outlineLevel="0" collapsed="false">
      <c r="A1562" s="28" t="n">
        <v>155718.31980233</v>
      </c>
      <c r="B1562" s="29" t="n">
        <v>6</v>
      </c>
      <c r="C1562" s="18" t="n">
        <v>8.91672953051219</v>
      </c>
      <c r="D1562" s="18" t="n">
        <v>5.16299447166644</v>
      </c>
      <c r="E1562" s="18" t="n">
        <v>5.99999999695104</v>
      </c>
      <c r="F1562" s="18" t="n">
        <v>6.00038583137791</v>
      </c>
      <c r="G1562" s="18" t="n">
        <v>4.96978085927842</v>
      </c>
      <c r="H1562" s="18" t="n">
        <v>5.27006791844544</v>
      </c>
      <c r="I1562" s="18" t="n">
        <v>5.24898535044805</v>
      </c>
      <c r="J1562" s="18" t="n">
        <v>5.24896814598529</v>
      </c>
    </row>
    <row r="1563" customFormat="false" ht="15" hidden="false" customHeight="false" outlineLevel="0" collapsed="false">
      <c r="A1563" s="28" t="n">
        <v>155818.33156842</v>
      </c>
      <c r="B1563" s="29" t="n">
        <v>6</v>
      </c>
      <c r="C1563" s="18" t="n">
        <v>8.69959699844225</v>
      </c>
      <c r="D1563" s="18" t="n">
        <v>4.97242078953124</v>
      </c>
      <c r="E1563" s="18" t="n">
        <v>5.99999999715353</v>
      </c>
      <c r="F1563" s="18" t="n">
        <v>5.99959086299337</v>
      </c>
      <c r="G1563" s="18" t="n">
        <v>4.837303378335</v>
      </c>
      <c r="H1563" s="18" t="n">
        <v>5.29539043725811</v>
      </c>
      <c r="I1563" s="18" t="n">
        <v>5.2489853504482</v>
      </c>
      <c r="J1563" s="18" t="n">
        <v>5.24898960246414</v>
      </c>
    </row>
    <row r="1564" customFormat="false" ht="15" hidden="false" customHeight="false" outlineLevel="0" collapsed="false">
      <c r="A1564" s="28" t="n">
        <v>155918.34333451</v>
      </c>
      <c r="B1564" s="29" t="n">
        <v>6</v>
      </c>
      <c r="C1564" s="18" t="n">
        <v>4.50119435156472</v>
      </c>
      <c r="D1564" s="18" t="n">
        <v>5.23563757631348</v>
      </c>
      <c r="E1564" s="18" t="n">
        <v>5.99999999734256</v>
      </c>
      <c r="F1564" s="18" t="n">
        <v>5.99942430280521</v>
      </c>
      <c r="G1564" s="18" t="n">
        <v>5.34223571283884</v>
      </c>
      <c r="H1564" s="18" t="n">
        <v>5.29075568562524</v>
      </c>
      <c r="I1564" s="18" t="n">
        <v>5.24898535044834</v>
      </c>
      <c r="J1564" s="18" t="n">
        <v>5.24900370338426</v>
      </c>
    </row>
    <row r="1565" customFormat="false" ht="15" hidden="false" customHeight="false" outlineLevel="0" collapsed="false">
      <c r="A1565" s="28" t="n">
        <v>156018.3551006</v>
      </c>
      <c r="B1565" s="29" t="n">
        <v>6</v>
      </c>
      <c r="C1565" s="18" t="n">
        <v>4.47767864361142</v>
      </c>
      <c r="D1565" s="18" t="n">
        <v>5.95525269815018</v>
      </c>
      <c r="E1565" s="18" t="n">
        <v>5.99999999751903</v>
      </c>
      <c r="F1565" s="18" t="n">
        <v>6.00008236062039</v>
      </c>
      <c r="G1565" s="18" t="n">
        <v>5.41075190844095</v>
      </c>
      <c r="H1565" s="18" t="n">
        <v>5.26756089844054</v>
      </c>
      <c r="I1565" s="18" t="n">
        <v>5.24898535044847</v>
      </c>
      <c r="J1565" s="18" t="n">
        <v>5.24899097259442</v>
      </c>
    </row>
    <row r="1566" customFormat="false" ht="15" hidden="false" customHeight="false" outlineLevel="0" collapsed="false">
      <c r="A1566" s="28" t="n">
        <v>156118.36686669</v>
      </c>
      <c r="B1566" s="29" t="n">
        <v>6</v>
      </c>
      <c r="C1566" s="18" t="n">
        <v>4.78360786639204</v>
      </c>
      <c r="D1566" s="18" t="n">
        <v>8.25179842692143</v>
      </c>
      <c r="E1566" s="18" t="n">
        <v>5.99999999768378</v>
      </c>
      <c r="F1566" s="18" t="n">
        <v>6.00058370786803</v>
      </c>
      <c r="G1566" s="18" t="n">
        <v>5.42629863942219</v>
      </c>
      <c r="H1566" s="18" t="n">
        <v>5.13934283301688</v>
      </c>
      <c r="I1566" s="18" t="n">
        <v>5.2489853504486</v>
      </c>
      <c r="J1566" s="18" t="n">
        <v>5.24897106098107</v>
      </c>
    </row>
    <row r="1567" customFormat="false" ht="15" hidden="false" customHeight="false" outlineLevel="0" collapsed="false">
      <c r="A1567" s="28" t="n">
        <v>156218.37863278</v>
      </c>
      <c r="B1567" s="29" t="n">
        <v>6</v>
      </c>
      <c r="C1567" s="18" t="n">
        <v>8.20670953856773</v>
      </c>
      <c r="D1567" s="18" t="n">
        <v>5.37045049977983</v>
      </c>
      <c r="E1567" s="18" t="n">
        <v>5.9999999978376</v>
      </c>
      <c r="F1567" s="18" t="n">
        <v>6.00022772127509</v>
      </c>
      <c r="G1567" s="18" t="n">
        <v>5.33807828269963</v>
      </c>
      <c r="H1567" s="18" t="n">
        <v>5.25244111959843</v>
      </c>
      <c r="I1567" s="18" t="n">
        <v>5.24898535044871</v>
      </c>
      <c r="J1567" s="18" t="n">
        <v>5.24897260313287</v>
      </c>
    </row>
    <row r="1568" customFormat="false" ht="15" hidden="false" customHeight="false" outlineLevel="0" collapsed="false">
      <c r="A1568" s="28" t="n">
        <v>156318.390398871</v>
      </c>
      <c r="B1568" s="29" t="n">
        <v>6</v>
      </c>
      <c r="C1568" s="18" t="n">
        <v>9.18129601640565</v>
      </c>
      <c r="D1568" s="18" t="n">
        <v>4.94264579981727</v>
      </c>
      <c r="E1568" s="18" t="n">
        <v>5.99999999798122</v>
      </c>
      <c r="F1568" s="18" t="n">
        <v>5.99957149019263</v>
      </c>
      <c r="G1568" s="18" t="n">
        <v>4.8639341976829</v>
      </c>
      <c r="H1568" s="18" t="n">
        <v>5.29453418506253</v>
      </c>
      <c r="I1568" s="18" t="n">
        <v>5.24898535044882</v>
      </c>
      <c r="J1568" s="18" t="n">
        <v>5.24899209547456</v>
      </c>
    </row>
    <row r="1569" customFormat="false" ht="15" hidden="false" customHeight="false" outlineLevel="0" collapsed="false">
      <c r="A1569" s="28" t="n">
        <v>156418.402164961</v>
      </c>
      <c r="B1569" s="29" t="n">
        <v>6</v>
      </c>
      <c r="C1569" s="18" t="n">
        <v>4.79582409848108</v>
      </c>
      <c r="D1569" s="18" t="n">
        <v>5.15053592828649</v>
      </c>
      <c r="E1569" s="18" t="n">
        <v>5.9999999981153</v>
      </c>
      <c r="F1569" s="18" t="n">
        <v>5.99956231082489</v>
      </c>
      <c r="G1569" s="18" t="n">
        <v>5.2757198105939</v>
      </c>
      <c r="H1569" s="18" t="n">
        <v>5.29306962871466</v>
      </c>
      <c r="I1569" s="18" t="n">
        <v>5.24898535044892</v>
      </c>
      <c r="J1569" s="18" t="n">
        <v>5.24900083084047</v>
      </c>
    </row>
    <row r="1570" customFormat="false" ht="15" hidden="false" customHeight="false" outlineLevel="0" collapsed="false">
      <c r="A1570" s="28" t="n">
        <v>156518.413931051</v>
      </c>
      <c r="B1570" s="29" t="n">
        <v>6</v>
      </c>
      <c r="C1570" s="18" t="n">
        <v>4.42142835603363</v>
      </c>
      <c r="D1570" s="18" t="n">
        <v>5.6706507011337</v>
      </c>
      <c r="E1570" s="18" t="n">
        <v>5.99999999824047</v>
      </c>
      <c r="F1570" s="18" t="n">
        <v>6.00017291007134</v>
      </c>
      <c r="G1570" s="18" t="n">
        <v>5.39571499577123</v>
      </c>
      <c r="H1570" s="18" t="n">
        <v>5.27657364023498</v>
      </c>
      <c r="I1570" s="18" t="n">
        <v>5.24898535044901</v>
      </c>
      <c r="J1570" s="18" t="n">
        <v>5.24898712777813</v>
      </c>
    </row>
    <row r="1571" customFormat="false" ht="15" hidden="false" customHeight="false" outlineLevel="0" collapsed="false">
      <c r="A1571" s="28" t="n">
        <v>156618.425697141</v>
      </c>
      <c r="B1571" s="29" t="n">
        <v>6</v>
      </c>
      <c r="C1571" s="18" t="n">
        <v>4.62736667328415</v>
      </c>
      <c r="D1571" s="18" t="n">
        <v>8.14018020756187</v>
      </c>
      <c r="E1571" s="18" t="n">
        <v>5.99999999835735</v>
      </c>
      <c r="F1571" s="18" t="n">
        <v>6.00050145487263</v>
      </c>
      <c r="G1571" s="18" t="n">
        <v>5.42437257948829</v>
      </c>
      <c r="H1571" s="18" t="n">
        <v>5.15356927666748</v>
      </c>
      <c r="I1571" s="18" t="n">
        <v>5.24898535044909</v>
      </c>
      <c r="J1571" s="18" t="n">
        <v>5.24897174556182</v>
      </c>
    </row>
    <row r="1572" customFormat="false" ht="15" hidden="false" customHeight="false" outlineLevel="0" collapsed="false">
      <c r="A1572" s="28" t="n">
        <v>156718.437463231</v>
      </c>
      <c r="B1572" s="29" t="n">
        <v>6</v>
      </c>
      <c r="C1572" s="18" t="n">
        <v>5.25727879913666</v>
      </c>
      <c r="D1572" s="18" t="n">
        <v>5.76132285236996</v>
      </c>
      <c r="E1572" s="18" t="n">
        <v>5.99999999846645</v>
      </c>
      <c r="F1572" s="18" t="n">
        <v>6.00009974828546</v>
      </c>
      <c r="G1572" s="18" t="n">
        <v>5.40823339095296</v>
      </c>
      <c r="H1572" s="18" t="n">
        <v>5.16905823714757</v>
      </c>
      <c r="I1572" s="18" t="n">
        <v>5.24898535044917</v>
      </c>
      <c r="J1572" s="18" t="n">
        <v>5.24897657171551</v>
      </c>
    </row>
    <row r="1573" customFormat="false" ht="15" hidden="false" customHeight="false" outlineLevel="0" collapsed="false">
      <c r="A1573" s="28" t="n">
        <v>156818.449229321</v>
      </c>
      <c r="B1573" s="29" t="n">
        <v>6</v>
      </c>
      <c r="C1573" s="18" t="n">
        <v>9.04988348255268</v>
      </c>
      <c r="D1573" s="18" t="n">
        <v>4.92225960540435</v>
      </c>
      <c r="E1573" s="18" t="n">
        <v>5.9999999985683</v>
      </c>
      <c r="F1573" s="18" t="n">
        <v>5.99958181388516</v>
      </c>
      <c r="G1573" s="18" t="n">
        <v>4.92724955562133</v>
      </c>
      <c r="H1573" s="18" t="n">
        <v>5.29042547598279</v>
      </c>
      <c r="I1573" s="18" t="n">
        <v>5.24898535044925</v>
      </c>
      <c r="J1573" s="18" t="n">
        <v>5.24899352440732</v>
      </c>
    </row>
    <row r="1574" customFormat="false" ht="15" hidden="false" customHeight="false" outlineLevel="0" collapsed="false">
      <c r="A1574" s="28" t="n">
        <v>156918.460995411</v>
      </c>
      <c r="B1574" s="29" t="n">
        <v>6</v>
      </c>
      <c r="C1574" s="18" t="n">
        <v>5.82623742319166</v>
      </c>
      <c r="D1574" s="18" t="n">
        <v>5.06617409889073</v>
      </c>
      <c r="E1574" s="18" t="n">
        <v>5.99999999866337</v>
      </c>
      <c r="F1574" s="18" t="n">
        <v>5.999687654527</v>
      </c>
      <c r="G1574" s="18" t="n">
        <v>4.85818652428235</v>
      </c>
      <c r="H1574" s="18" t="n">
        <v>5.29494431140786</v>
      </c>
      <c r="I1574" s="18" t="n">
        <v>5.24898535044932</v>
      </c>
      <c r="J1574" s="18" t="n">
        <v>5.24899785909914</v>
      </c>
    </row>
    <row r="1575" customFormat="false" ht="15" hidden="false" customHeight="false" outlineLevel="0" collapsed="false">
      <c r="A1575" s="28" t="n">
        <v>157018.472761501</v>
      </c>
      <c r="B1575" s="29" t="n">
        <v>6</v>
      </c>
      <c r="C1575" s="18" t="n">
        <v>4.41250737117092</v>
      </c>
      <c r="D1575" s="18" t="n">
        <v>5.46219523000052</v>
      </c>
      <c r="E1575" s="18" t="n">
        <v>5.99999999875213</v>
      </c>
      <c r="F1575" s="18" t="n">
        <v>6.00022893065313</v>
      </c>
      <c r="G1575" s="18" t="n">
        <v>5.36530309204314</v>
      </c>
      <c r="H1575" s="18" t="n">
        <v>5.28361767764782</v>
      </c>
      <c r="I1575" s="18" t="n">
        <v>5.24898535044938</v>
      </c>
      <c r="J1575" s="18" t="n">
        <v>5.24898422909514</v>
      </c>
    </row>
    <row r="1576" customFormat="false" ht="15" hidden="false" customHeight="false" outlineLevel="0" collapsed="false">
      <c r="A1576" s="28" t="n">
        <v>157118.484527592</v>
      </c>
      <c r="B1576" s="29" t="n">
        <v>6</v>
      </c>
      <c r="C1576" s="18" t="n">
        <v>4.51820037802821</v>
      </c>
      <c r="D1576" s="18" t="n">
        <v>7.80225691377134</v>
      </c>
      <c r="E1576" s="18" t="n">
        <v>5.99999999883499</v>
      </c>
      <c r="F1576" s="18" t="n">
        <v>6.00041301838786</v>
      </c>
      <c r="G1576" s="18" t="n">
        <v>5.4165509848219</v>
      </c>
      <c r="H1576" s="18" t="n">
        <v>5.20824998834812</v>
      </c>
      <c r="I1576" s="18" t="n">
        <v>5.24898535044945</v>
      </c>
      <c r="J1576" s="18" t="n">
        <v>5.24897301968477</v>
      </c>
    </row>
    <row r="1577" customFormat="false" ht="15" hidden="false" customHeight="false" outlineLevel="0" collapsed="false">
      <c r="A1577" s="28" t="n">
        <v>157218.496293682</v>
      </c>
      <c r="B1577" s="29" t="n">
        <v>6</v>
      </c>
      <c r="C1577" s="18" t="n">
        <v>4.892029493635</v>
      </c>
      <c r="D1577" s="18" t="n">
        <v>7.97123635301262</v>
      </c>
      <c r="E1577" s="18" t="n">
        <v>5.99999999891233</v>
      </c>
      <c r="F1577" s="18" t="n">
        <v>6.00000098887883</v>
      </c>
      <c r="G1577" s="18" t="n">
        <v>5.42413332429986</v>
      </c>
      <c r="H1577" s="18" t="n">
        <v>5.12829895082846</v>
      </c>
      <c r="I1577" s="18" t="n">
        <v>5.2489853504495</v>
      </c>
      <c r="J1577" s="18" t="n">
        <v>5.24897995860219</v>
      </c>
    </row>
    <row r="1578" customFormat="false" ht="15" hidden="false" customHeight="false" outlineLevel="0" collapsed="false">
      <c r="A1578" s="28" t="n">
        <v>157318.508059772</v>
      </c>
      <c r="B1578" s="29" t="n">
        <v>6</v>
      </c>
      <c r="C1578" s="18" t="n">
        <v>8.70064127220789</v>
      </c>
      <c r="D1578" s="18" t="n">
        <v>5.01704683674288</v>
      </c>
      <c r="E1578" s="18" t="n">
        <v>5.99999999898456</v>
      </c>
      <c r="F1578" s="18" t="n">
        <v>5.99961314978454</v>
      </c>
      <c r="G1578" s="18" t="n">
        <v>5.04240516071395</v>
      </c>
      <c r="H1578" s="18" t="n">
        <v>5.28112578332392</v>
      </c>
      <c r="I1578" s="18" t="n">
        <v>5.24898535044956</v>
      </c>
      <c r="J1578" s="18" t="n">
        <v>5.24899409804241</v>
      </c>
    </row>
    <row r="1579" customFormat="false" ht="15" hidden="false" customHeight="false" outlineLevel="0" collapsed="false">
      <c r="A1579" s="28" t="n">
        <v>157418.519825862</v>
      </c>
      <c r="B1579" s="29" t="n">
        <v>6</v>
      </c>
      <c r="C1579" s="18" t="n">
        <v>9.0321461039346</v>
      </c>
      <c r="D1579" s="18" t="n">
        <v>5.00923812407105</v>
      </c>
      <c r="E1579" s="18" t="n">
        <v>5.99999999905202</v>
      </c>
      <c r="F1579" s="18" t="n">
        <v>5.99979664608259</v>
      </c>
      <c r="G1579" s="18" t="n">
        <v>4.83923038995928</v>
      </c>
      <c r="H1579" s="18" t="n">
        <v>5.29555160351372</v>
      </c>
      <c r="I1579" s="18" t="n">
        <v>5.24898535044961</v>
      </c>
      <c r="J1579" s="18" t="n">
        <v>5.2489949843484</v>
      </c>
    </row>
    <row r="1580" customFormat="false" ht="15" hidden="false" customHeight="false" outlineLevel="0" collapsed="false">
      <c r="A1580" s="28" t="n">
        <v>157518.531591952</v>
      </c>
      <c r="B1580" s="29" t="n">
        <v>6</v>
      </c>
      <c r="C1580" s="18" t="n">
        <v>4.62294799534392</v>
      </c>
      <c r="D1580" s="18" t="n">
        <v>5.32879446648224</v>
      </c>
      <c r="E1580" s="18" t="n">
        <v>5.999999999115</v>
      </c>
      <c r="F1580" s="18" t="n">
        <v>6.00025663197008</v>
      </c>
      <c r="G1580" s="18" t="n">
        <v>5.31413969870893</v>
      </c>
      <c r="H1580" s="18" t="n">
        <v>5.28795046701068</v>
      </c>
      <c r="I1580" s="18" t="n">
        <v>5.24898535044965</v>
      </c>
      <c r="J1580" s="18" t="n">
        <v>5.2489821841579</v>
      </c>
    </row>
    <row r="1581" customFormat="false" ht="15" hidden="false" customHeight="false" outlineLevel="0" collapsed="false">
      <c r="A1581" s="28" t="n">
        <v>157618.543358042</v>
      </c>
      <c r="B1581" s="29" t="n">
        <v>6</v>
      </c>
      <c r="C1581" s="18" t="n">
        <v>4.44550417522679</v>
      </c>
      <c r="D1581" s="18" t="n">
        <v>6.55800315250561</v>
      </c>
      <c r="E1581" s="18" t="n">
        <v>5.99999999917377</v>
      </c>
      <c r="F1581" s="18" t="n">
        <v>6.00032513368065</v>
      </c>
      <c r="G1581" s="18" t="n">
        <v>5.40383712518694</v>
      </c>
      <c r="H1581" s="18" t="n">
        <v>5.25385425022341</v>
      </c>
      <c r="I1581" s="18" t="n">
        <v>5.2489853504497</v>
      </c>
      <c r="J1581" s="18" t="n">
        <v>5.24897464985342</v>
      </c>
    </row>
    <row r="1582" customFormat="false" ht="15" hidden="false" customHeight="false" outlineLevel="0" collapsed="false">
      <c r="A1582" s="28" t="n">
        <v>157718.555124132</v>
      </c>
      <c r="B1582" s="29" t="n">
        <v>6</v>
      </c>
      <c r="C1582" s="18" t="n">
        <v>4.69780105873317</v>
      </c>
      <c r="D1582" s="18" t="n">
        <v>8.26692601253417</v>
      </c>
      <c r="E1582" s="18" t="n">
        <v>5.99999999922863</v>
      </c>
      <c r="F1582" s="18" t="n">
        <v>5.9999291044824</v>
      </c>
      <c r="G1582" s="18" t="n">
        <v>5.42619281257968</v>
      </c>
      <c r="H1582" s="18" t="n">
        <v>5.13176501101715</v>
      </c>
      <c r="I1582" s="18" t="n">
        <v>5.24898535044974</v>
      </c>
      <c r="J1582" s="18" t="n">
        <v>5.24898272931756</v>
      </c>
    </row>
    <row r="1583" customFormat="false" ht="15" hidden="false" customHeight="false" outlineLevel="0" collapsed="false">
      <c r="A1583" s="28" t="n">
        <v>157818.566890222</v>
      </c>
      <c r="B1583" s="29" t="n">
        <v>6</v>
      </c>
      <c r="C1583" s="18" t="n">
        <v>5.71411687545162</v>
      </c>
      <c r="D1583" s="18" t="n">
        <v>5.17199954689755</v>
      </c>
      <c r="E1583" s="18" t="n">
        <v>5.99999999927985</v>
      </c>
      <c r="F1583" s="18" t="n">
        <v>5.99965798614627</v>
      </c>
      <c r="G1583" s="18" t="n">
        <v>5.38798844155224</v>
      </c>
      <c r="H1583" s="18" t="n">
        <v>5.26937220016651</v>
      </c>
      <c r="I1583" s="18" t="n">
        <v>5.24898535044977</v>
      </c>
      <c r="J1583" s="18" t="n">
        <v>5.2489940168813</v>
      </c>
    </row>
    <row r="1584" customFormat="false" ht="15" hidden="false" customHeight="false" outlineLevel="0" collapsed="false">
      <c r="A1584" s="28" t="n">
        <v>157918.578656313</v>
      </c>
      <c r="B1584" s="29" t="n">
        <v>6</v>
      </c>
      <c r="C1584" s="18" t="n">
        <v>9.13729003926187</v>
      </c>
      <c r="D1584" s="18" t="n">
        <v>4.97086380567253</v>
      </c>
      <c r="E1584" s="18" t="n">
        <v>5.99999999932768</v>
      </c>
      <c r="F1584" s="18" t="n">
        <v>5.99988753098188</v>
      </c>
      <c r="G1584" s="18" t="n">
        <v>4.89327512051656</v>
      </c>
      <c r="H1584" s="18" t="n">
        <v>5.29535865965966</v>
      </c>
      <c r="I1584" s="18" t="n">
        <v>5.24898535044981</v>
      </c>
      <c r="J1584" s="18" t="n">
        <v>5.24899234388197</v>
      </c>
    </row>
    <row r="1585" customFormat="false" ht="15" hidden="false" customHeight="false" outlineLevel="0" collapsed="false">
      <c r="A1585" s="28" t="n">
        <v>158018.590422403</v>
      </c>
      <c r="B1585" s="29" t="n">
        <v>6</v>
      </c>
      <c r="C1585" s="18" t="n">
        <v>5.06943061346843</v>
      </c>
      <c r="D1585" s="18" t="n">
        <v>5.23124853792551</v>
      </c>
      <c r="E1585" s="18" t="n">
        <v>5.99999999937234</v>
      </c>
      <c r="F1585" s="18" t="n">
        <v>6.00026214917696</v>
      </c>
      <c r="G1585" s="18" t="n">
        <v>5.18433124769092</v>
      </c>
      <c r="H1585" s="18" t="n">
        <v>5.29087811893519</v>
      </c>
      <c r="I1585" s="18" t="n">
        <v>5.24898535044984</v>
      </c>
      <c r="J1585" s="18" t="n">
        <v>5.24898087702585</v>
      </c>
    </row>
    <row r="1586" customFormat="false" ht="15" hidden="false" customHeight="false" outlineLevel="0" collapsed="false">
      <c r="A1586" s="28" t="n">
        <v>158118.602188493</v>
      </c>
      <c r="B1586" s="29" t="n">
        <v>6</v>
      </c>
      <c r="C1586" s="18" t="n">
        <v>4.40670507484936</v>
      </c>
      <c r="D1586" s="18" t="n">
        <v>5.93719520632272</v>
      </c>
      <c r="E1586" s="18" t="n">
        <v>5.99999999941402</v>
      </c>
      <c r="F1586" s="18" t="n">
        <v>6.00024266644988</v>
      </c>
      <c r="G1586" s="18" t="n">
        <v>5.38517948767338</v>
      </c>
      <c r="H1586" s="18" t="n">
        <v>5.26809006304177</v>
      </c>
      <c r="I1586" s="18" t="n">
        <v>5.24898535044987</v>
      </c>
      <c r="J1586" s="18" t="n">
        <v>5.24897644592281</v>
      </c>
    </row>
    <row r="1587" customFormat="false" ht="15" hidden="false" customHeight="false" outlineLevel="0" collapsed="false">
      <c r="A1587" s="28" t="n">
        <v>158218.613954583</v>
      </c>
      <c r="B1587" s="29" t="n">
        <v>6</v>
      </c>
      <c r="C1587" s="18" t="n">
        <v>4.56822608847864</v>
      </c>
      <c r="D1587" s="18" t="n">
        <v>8.24853974997024</v>
      </c>
      <c r="E1587" s="18" t="n">
        <v>5.99999999945291</v>
      </c>
      <c r="F1587" s="18" t="n">
        <v>5.99988086226477</v>
      </c>
      <c r="G1587" s="18" t="n">
        <v>5.42115447145362</v>
      </c>
      <c r="H1587" s="18" t="n">
        <v>5.13984174121546</v>
      </c>
      <c r="I1587" s="18" t="n">
        <v>5.2489853504499</v>
      </c>
      <c r="J1587" s="18" t="n">
        <v>5.2489848939584</v>
      </c>
    </row>
    <row r="1588" customFormat="false" ht="15" hidden="false" customHeight="false" outlineLevel="0" collapsed="false">
      <c r="A1588" s="28" t="n">
        <v>158318.625720673</v>
      </c>
      <c r="B1588" s="29" t="n">
        <v>6</v>
      </c>
      <c r="C1588" s="18" t="n">
        <v>5.03762168203376</v>
      </c>
      <c r="D1588" s="18" t="n">
        <v>5.38229403023029</v>
      </c>
      <c r="E1588" s="18" t="n">
        <v>5.99999999948924</v>
      </c>
      <c r="F1588" s="18" t="n">
        <v>5.99971009044182</v>
      </c>
      <c r="G1588" s="18" t="n">
        <v>5.41873730311273</v>
      </c>
      <c r="H1588" s="18" t="n">
        <v>5.25121026434479</v>
      </c>
      <c r="I1588" s="18" t="n">
        <v>5.24898535044993</v>
      </c>
      <c r="J1588" s="18" t="n">
        <v>5.24899346402052</v>
      </c>
    </row>
    <row r="1589" customFormat="false" ht="15" hidden="false" customHeight="false" outlineLevel="0" collapsed="false">
      <c r="A1589" s="28" t="n">
        <v>158418.637486763</v>
      </c>
      <c r="B1589" s="29" t="n">
        <v>6</v>
      </c>
      <c r="C1589" s="18" t="n">
        <v>8.91672953051219</v>
      </c>
      <c r="D1589" s="18" t="n">
        <v>4.93890891528472</v>
      </c>
      <c r="E1589" s="18" t="n">
        <v>5.99999999952313</v>
      </c>
      <c r="F1589" s="18" t="n">
        <v>5.99996006266871</v>
      </c>
      <c r="G1589" s="18" t="n">
        <v>4.96978085927844</v>
      </c>
      <c r="H1589" s="18" t="n">
        <v>5.29450772079159</v>
      </c>
      <c r="I1589" s="18" t="n">
        <v>5.24898535044995</v>
      </c>
      <c r="J1589" s="18" t="n">
        <v>5.2489900243033</v>
      </c>
    </row>
    <row r="1590" customFormat="false" ht="15" hidden="false" customHeight="false" outlineLevel="0" collapsed="false">
      <c r="A1590" s="28" t="n">
        <v>158518.649252853</v>
      </c>
      <c r="B1590" s="29" t="n">
        <v>6</v>
      </c>
      <c r="C1590" s="18" t="n">
        <v>8.69959699844234</v>
      </c>
      <c r="D1590" s="18" t="n">
        <v>5.14270798772924</v>
      </c>
      <c r="E1590" s="18" t="n">
        <v>5.99999999955479</v>
      </c>
      <c r="F1590" s="18" t="n">
        <v>6.00025121269334</v>
      </c>
      <c r="G1590" s="18" t="n">
        <v>4.83730337833495</v>
      </c>
      <c r="H1590" s="18" t="n">
        <v>5.2932790280264</v>
      </c>
      <c r="I1590" s="18" t="n">
        <v>5.24898535044998</v>
      </c>
      <c r="J1590" s="18" t="n">
        <v>5.24898018122885</v>
      </c>
    </row>
    <row r="1591" customFormat="false" ht="15" hidden="false" customHeight="false" outlineLevel="0" collapsed="false">
      <c r="A1591" s="28" t="n">
        <v>158618.661018943</v>
      </c>
      <c r="B1591" s="29" t="n">
        <v>6</v>
      </c>
      <c r="C1591" s="18" t="n">
        <v>4.50119435156472</v>
      </c>
      <c r="D1591" s="18" t="n">
        <v>5.64977749130628</v>
      </c>
      <c r="E1591" s="18" t="n">
        <v>5.99999999958436</v>
      </c>
      <c r="F1591" s="18" t="n">
        <v>6.00016884494404</v>
      </c>
      <c r="G1591" s="18" t="n">
        <v>5.34223571283884</v>
      </c>
      <c r="H1591" s="18" t="n">
        <v>5.27727861950083</v>
      </c>
      <c r="I1591" s="18" t="n">
        <v>5.24898535045</v>
      </c>
      <c r="J1591" s="18" t="n">
        <v>5.24897826015274</v>
      </c>
    </row>
    <row r="1592" customFormat="false" ht="15" hidden="false" customHeight="false" outlineLevel="0" collapsed="false">
      <c r="A1592" s="28" t="n">
        <v>158718.672785034</v>
      </c>
      <c r="B1592" s="29" t="n">
        <v>6</v>
      </c>
      <c r="C1592" s="18" t="n">
        <v>4.4776786436114</v>
      </c>
      <c r="D1592" s="18" t="n">
        <v>8.1236209628714</v>
      </c>
      <c r="E1592" s="18" t="n">
        <v>5.99999999961196</v>
      </c>
      <c r="F1592" s="18" t="n">
        <v>5.99985256403936</v>
      </c>
      <c r="G1592" s="18" t="n">
        <v>5.41075190844095</v>
      </c>
      <c r="H1592" s="18" t="n">
        <v>5.15553683559415</v>
      </c>
      <c r="I1592" s="18" t="n">
        <v>5.24898535045002</v>
      </c>
      <c r="J1592" s="18" t="n">
        <v>5.24898649442723</v>
      </c>
    </row>
    <row r="1593" customFormat="false" ht="15" hidden="false" customHeight="false" outlineLevel="0" collapsed="false">
      <c r="A1593" s="28" t="n">
        <v>158818.684551124</v>
      </c>
      <c r="B1593" s="29" t="n">
        <v>6</v>
      </c>
      <c r="C1593" s="18" t="n">
        <v>4.78360786639199</v>
      </c>
      <c r="D1593" s="18" t="n">
        <v>5.82196116635662</v>
      </c>
      <c r="E1593" s="18" t="n">
        <v>5.99999999963776</v>
      </c>
      <c r="F1593" s="18" t="n">
        <v>5.9997645146888</v>
      </c>
      <c r="G1593" s="18" t="n">
        <v>5.42629863942219</v>
      </c>
      <c r="H1593" s="18" t="n">
        <v>5.15712216760285</v>
      </c>
      <c r="I1593" s="18" t="n">
        <v>5.24898535045004</v>
      </c>
      <c r="J1593" s="18" t="n">
        <v>5.24899259949878</v>
      </c>
    </row>
    <row r="1594" customFormat="false" ht="15" hidden="false" customHeight="false" outlineLevel="0" collapsed="false">
      <c r="A1594" s="28" t="n">
        <v>158918.696317214</v>
      </c>
      <c r="B1594" s="29" t="n">
        <v>6</v>
      </c>
      <c r="C1594" s="18" t="n">
        <v>8.20670953856727</v>
      </c>
      <c r="D1594" s="18" t="n">
        <v>4.92212665918805</v>
      </c>
      <c r="E1594" s="18" t="n">
        <v>5.99999999966183</v>
      </c>
      <c r="F1594" s="18" t="n">
        <v>6.00001510689373</v>
      </c>
      <c r="G1594" s="18" t="n">
        <v>5.33807828269967</v>
      </c>
      <c r="H1594" s="18" t="n">
        <v>5.28976693967869</v>
      </c>
      <c r="I1594" s="18" t="n">
        <v>5.24898535045006</v>
      </c>
      <c r="J1594" s="18" t="n">
        <v>5.24898807037638</v>
      </c>
    </row>
    <row r="1595" customFormat="false" ht="15" hidden="false" customHeight="false" outlineLevel="0" collapsed="false">
      <c r="A1595" s="28" t="n">
        <v>159018.708083304</v>
      </c>
      <c r="B1595" s="29" t="n">
        <v>6</v>
      </c>
      <c r="C1595" s="18" t="n">
        <v>9.18129601640565</v>
      </c>
      <c r="D1595" s="18" t="n">
        <v>5.05933420357981</v>
      </c>
      <c r="E1595" s="18" t="n">
        <v>5.99999999968427</v>
      </c>
      <c r="F1595" s="18" t="n">
        <v>6.00022893085137</v>
      </c>
      <c r="G1595" s="18" t="n">
        <v>4.86393419768284</v>
      </c>
      <c r="H1595" s="18" t="n">
        <v>5.29506789969999</v>
      </c>
      <c r="I1595" s="18" t="n">
        <v>5.24898535045007</v>
      </c>
      <c r="J1595" s="18" t="n">
        <v>5.24897996985753</v>
      </c>
    </row>
    <row r="1596" customFormat="false" ht="15" hidden="false" customHeight="false" outlineLevel="0" collapsed="false">
      <c r="A1596" s="28" t="n">
        <v>159118.719849394</v>
      </c>
      <c r="B1596" s="29" t="n">
        <v>6</v>
      </c>
      <c r="C1596" s="18" t="n">
        <v>4.79582409848106</v>
      </c>
      <c r="D1596" s="18" t="n">
        <v>5.44696557434801</v>
      </c>
      <c r="E1596" s="18" t="n">
        <v>5.99999999970525</v>
      </c>
      <c r="F1596" s="18" t="n">
        <v>6.00010552265824</v>
      </c>
      <c r="G1596" s="18" t="n">
        <v>5.2757198105939</v>
      </c>
      <c r="H1596" s="18" t="n">
        <v>5.28412984548957</v>
      </c>
      <c r="I1596" s="18" t="n">
        <v>5.24898535045009</v>
      </c>
      <c r="J1596" s="18" t="n">
        <v>5.24897998408087</v>
      </c>
    </row>
    <row r="1597" customFormat="false" ht="15" hidden="false" customHeight="false" outlineLevel="0" collapsed="false">
      <c r="A1597" s="28" t="n">
        <v>159218.731615484</v>
      </c>
      <c r="B1597" s="29" t="n">
        <v>6</v>
      </c>
      <c r="C1597" s="18" t="n">
        <v>4.4214283560336</v>
      </c>
      <c r="D1597" s="18" t="n">
        <v>7.746019817731</v>
      </c>
      <c r="E1597" s="18" t="n">
        <v>5.99999999972487</v>
      </c>
      <c r="F1597" s="18" t="n">
        <v>5.99984038414372</v>
      </c>
      <c r="G1597" s="18" t="n">
        <v>5.39571499577123</v>
      </c>
      <c r="H1597" s="18" t="n">
        <v>5.21728268233092</v>
      </c>
      <c r="I1597" s="18" t="n">
        <v>5.2489853504501</v>
      </c>
      <c r="J1597" s="18" t="n">
        <v>5.24898759335078</v>
      </c>
    </row>
    <row r="1598" customFormat="false" ht="15" hidden="false" customHeight="false" outlineLevel="0" collapsed="false">
      <c r="A1598" s="28" t="n">
        <v>159318.743381574</v>
      </c>
      <c r="B1598" s="29" t="n">
        <v>6</v>
      </c>
      <c r="C1598" s="18" t="n">
        <v>4.62736667328411</v>
      </c>
      <c r="D1598" s="18" t="n">
        <v>8.05890388495832</v>
      </c>
      <c r="E1598" s="18" t="n">
        <v>5.99999999974313</v>
      </c>
      <c r="F1598" s="18" t="n">
        <v>5.99981752669842</v>
      </c>
      <c r="G1598" s="18" t="n">
        <v>5.42437257948829</v>
      </c>
      <c r="H1598" s="18" t="n">
        <v>5.12829939397318</v>
      </c>
      <c r="I1598" s="18" t="n">
        <v>5.24898535045012</v>
      </c>
      <c r="J1598" s="18" t="n">
        <v>5.24899155748804</v>
      </c>
    </row>
    <row r="1599" customFormat="false" ht="15" hidden="false" customHeight="false" outlineLevel="0" collapsed="false">
      <c r="A1599" s="28" t="n">
        <v>159418.755147664</v>
      </c>
      <c r="B1599" s="29" t="n">
        <v>6</v>
      </c>
      <c r="C1599" s="18" t="n">
        <v>5.2572787991365</v>
      </c>
      <c r="D1599" s="18" t="n">
        <v>5.03113457920268</v>
      </c>
      <c r="E1599" s="18" t="n">
        <v>5.99999999976016</v>
      </c>
      <c r="F1599" s="18" t="n">
        <v>6.00005429010605</v>
      </c>
      <c r="G1599" s="18" t="n">
        <v>5.40823339095297</v>
      </c>
      <c r="H1599" s="18" t="n">
        <v>5.28015713341056</v>
      </c>
      <c r="I1599" s="18" t="n">
        <v>5.24898535045013</v>
      </c>
      <c r="J1599" s="18" t="n">
        <v>5.24898649385133</v>
      </c>
    </row>
    <row r="1600" customFormat="false" ht="15" hidden="false" customHeight="false" outlineLevel="0" collapsed="false">
      <c r="A1600" s="28" t="n">
        <v>159518.766913755</v>
      </c>
      <c r="B1600" s="29" t="n">
        <v>6</v>
      </c>
      <c r="C1600" s="18" t="n">
        <v>9.04988348255268</v>
      </c>
      <c r="D1600" s="18" t="n">
        <v>5.00795589488036</v>
      </c>
      <c r="E1600" s="18" t="n">
        <v>5.99999999977607</v>
      </c>
      <c r="F1600" s="18" t="n">
        <v>6.00019966735537</v>
      </c>
      <c r="G1600" s="18" t="n">
        <v>4.92724955562134</v>
      </c>
      <c r="H1600" s="18" t="n">
        <v>5.29549683718552</v>
      </c>
      <c r="I1600" s="18" t="n">
        <v>5.24898535045014</v>
      </c>
      <c r="J1600" s="18" t="n">
        <v>5.24898012293518</v>
      </c>
    </row>
    <row r="1601" customFormat="false" ht="15" hidden="false" customHeight="false" outlineLevel="0" collapsed="false">
      <c r="A1601" s="28" t="n">
        <v>159618.778679845</v>
      </c>
      <c r="B1601" s="29" t="n">
        <v>6</v>
      </c>
      <c r="C1601" s="18" t="n">
        <v>5.82623742319217</v>
      </c>
      <c r="D1601" s="18" t="n">
        <v>5.32368476592513</v>
      </c>
      <c r="E1601" s="18" t="n">
        <v>5.99999999979098</v>
      </c>
      <c r="F1601" s="18" t="n">
        <v>6.00005344798326</v>
      </c>
      <c r="G1601" s="18" t="n">
        <v>4.85818652428233</v>
      </c>
      <c r="H1601" s="18" t="n">
        <v>5.28809962819348</v>
      </c>
      <c r="I1601" s="18" t="n">
        <v>5.24898535045015</v>
      </c>
      <c r="J1601" s="18" t="n">
        <v>5.24898154399633</v>
      </c>
    </row>
    <row r="1602" customFormat="false" ht="15" hidden="false" customHeight="false" outlineLevel="0" collapsed="false">
      <c r="A1602" s="28" t="n">
        <v>159718.790445935</v>
      </c>
      <c r="B1602" s="29" t="n">
        <v>6</v>
      </c>
      <c r="C1602" s="18" t="n">
        <v>4.41250737117094</v>
      </c>
      <c r="D1602" s="18" t="n">
        <v>6.50108512525629</v>
      </c>
      <c r="E1602" s="18" t="n">
        <v>5.99999999980491</v>
      </c>
      <c r="F1602" s="18" t="n">
        <v>5.99984062210652</v>
      </c>
      <c r="G1602" s="18" t="n">
        <v>5.36530309204314</v>
      </c>
      <c r="H1602" s="18" t="n">
        <v>5.25481133919545</v>
      </c>
      <c r="I1602" s="18" t="n">
        <v>5.24898535045016</v>
      </c>
      <c r="J1602" s="18" t="n">
        <v>5.24898826485179</v>
      </c>
    </row>
    <row r="1603" customFormat="false" ht="15" hidden="false" customHeight="false" outlineLevel="0" collapsed="false">
      <c r="A1603" s="28" t="n">
        <v>159818.802212025</v>
      </c>
      <c r="B1603" s="29" t="n">
        <v>6</v>
      </c>
      <c r="C1603" s="18" t="n">
        <v>4.51820037802821</v>
      </c>
      <c r="D1603" s="18" t="n">
        <v>8.26840714794059</v>
      </c>
      <c r="E1603" s="18" t="n">
        <v>5.99999999981784</v>
      </c>
      <c r="F1603" s="18" t="n">
        <v>5.99986649120351</v>
      </c>
      <c r="G1603" s="18" t="n">
        <v>5.4165509848219</v>
      </c>
      <c r="H1603" s="18" t="n">
        <v>5.13207061644426</v>
      </c>
      <c r="I1603" s="18" t="n">
        <v>5.24898535045017</v>
      </c>
      <c r="J1603" s="18" t="n">
        <v>5.24899044571305</v>
      </c>
    </row>
    <row r="1604" customFormat="false" ht="15" hidden="false" customHeight="false" outlineLevel="0" collapsed="false">
      <c r="A1604" s="28" t="n">
        <v>159918.813978115</v>
      </c>
      <c r="B1604" s="29" t="n">
        <v>6</v>
      </c>
      <c r="C1604" s="18" t="n">
        <v>4.89202949363499</v>
      </c>
      <c r="D1604" s="18" t="n">
        <v>5.18002128876571</v>
      </c>
      <c r="E1604" s="18" t="n">
        <v>5.99999999982987</v>
      </c>
      <c r="F1604" s="18" t="n">
        <v>6.00007969992821</v>
      </c>
      <c r="G1604" s="18" t="n">
        <v>5.42413332429986</v>
      </c>
      <c r="H1604" s="18" t="n">
        <v>5.26872036666285</v>
      </c>
      <c r="I1604" s="18" t="n">
        <v>5.24898535045018</v>
      </c>
      <c r="J1604" s="18" t="n">
        <v>5.24898528177263</v>
      </c>
    </row>
    <row r="1605" customFormat="false" ht="15" hidden="false" customHeight="false" outlineLevel="0" collapsed="false">
      <c r="A1605" s="28" t="n">
        <v>160018.825744205</v>
      </c>
      <c r="B1605" s="29" t="n">
        <v>6</v>
      </c>
      <c r="C1605" s="18" t="n">
        <v>8.70064127220789</v>
      </c>
      <c r="D1605" s="18" t="n">
        <v>4.96856454673429</v>
      </c>
      <c r="E1605" s="18" t="n">
        <v>5.99999999984109</v>
      </c>
      <c r="F1605" s="18" t="n">
        <v>6.00016699481926</v>
      </c>
      <c r="G1605" s="18" t="n">
        <v>5.04240516071395</v>
      </c>
      <c r="H1605" s="18" t="n">
        <v>5.29534638677759</v>
      </c>
      <c r="I1605" s="18" t="n">
        <v>5.24898535045019</v>
      </c>
      <c r="J1605" s="18" t="n">
        <v>5.24898053238517</v>
      </c>
    </row>
    <row r="1606" customFormat="false" ht="15" hidden="false" customHeight="false" outlineLevel="0" collapsed="false">
      <c r="A1606" s="28" t="n">
        <v>160118.837510295</v>
      </c>
      <c r="B1606" s="29" t="n">
        <v>6</v>
      </c>
      <c r="C1606" s="18" t="n">
        <v>9.0321461039346</v>
      </c>
      <c r="D1606" s="18" t="n">
        <v>5.22580073789188</v>
      </c>
      <c r="E1606" s="18" t="n">
        <v>5.99999999985159</v>
      </c>
      <c r="F1606" s="18" t="n">
        <v>6.00001252333792</v>
      </c>
      <c r="G1606" s="18" t="n">
        <v>4.83923038995928</v>
      </c>
      <c r="H1606" s="18" t="n">
        <v>5.29103485807193</v>
      </c>
      <c r="I1606" s="18" t="n">
        <v>5.2489853504502</v>
      </c>
      <c r="J1606" s="18" t="n">
        <v>5.24898289565994</v>
      </c>
    </row>
    <row r="1607" customFormat="false" ht="15" hidden="false" customHeight="false" outlineLevel="0" collapsed="false">
      <c r="A1607" s="28" t="n">
        <v>160218.849276385</v>
      </c>
      <c r="B1607" s="29" t="n">
        <v>6</v>
      </c>
      <c r="C1607" s="18" t="n">
        <v>4.62294799534394</v>
      </c>
      <c r="D1607" s="18" t="n">
        <v>5.91587387590167</v>
      </c>
      <c r="E1607" s="18" t="n">
        <v>5.99999999986142</v>
      </c>
      <c r="F1607" s="18" t="n">
        <v>5.99984987913906</v>
      </c>
      <c r="G1607" s="18" t="n">
        <v>5.31413969870893</v>
      </c>
      <c r="H1607" s="18" t="n">
        <v>5.26872743835858</v>
      </c>
      <c r="I1607" s="18" t="n">
        <v>5.24898535045021</v>
      </c>
      <c r="J1607" s="18" t="n">
        <v>5.24898858719003</v>
      </c>
    </row>
    <row r="1608" customFormat="false" ht="15" hidden="false" customHeight="false" outlineLevel="0" collapsed="false">
      <c r="A1608" s="28" t="n">
        <v>160318.861042476</v>
      </c>
      <c r="B1608" s="29" t="n">
        <v>6</v>
      </c>
      <c r="C1608" s="18" t="n">
        <v>4.4455041752268</v>
      </c>
      <c r="D1608" s="18" t="n">
        <v>8.24439347770476</v>
      </c>
      <c r="E1608" s="18" t="n">
        <v>5.99999999987066</v>
      </c>
      <c r="F1608" s="18" t="n">
        <v>5.99990972114171</v>
      </c>
      <c r="G1608" s="18" t="n">
        <v>5.40383712518694</v>
      </c>
      <c r="H1608" s="18" t="n">
        <v>5.14046678682097</v>
      </c>
      <c r="I1608" s="18" t="n">
        <v>5.24898535045021</v>
      </c>
      <c r="J1608" s="18" t="n">
        <v>5.24898934652729</v>
      </c>
    </row>
    <row r="1609" customFormat="false" ht="15" hidden="false" customHeight="false" outlineLevel="0" collapsed="false">
      <c r="A1609" s="28" t="n">
        <v>160418.872808566</v>
      </c>
      <c r="B1609" s="29" t="n">
        <v>6</v>
      </c>
      <c r="C1609" s="18" t="n">
        <v>4.69780105873319</v>
      </c>
      <c r="D1609" s="18" t="n">
        <v>5.39723239244084</v>
      </c>
      <c r="E1609" s="18" t="n">
        <v>5.99999999987928</v>
      </c>
      <c r="F1609" s="18" t="n">
        <v>6.00009364067255</v>
      </c>
      <c r="G1609" s="18" t="n">
        <v>5.42619281257968</v>
      </c>
      <c r="H1609" s="18" t="n">
        <v>5.24960526968373</v>
      </c>
      <c r="I1609" s="18" t="n">
        <v>5.24898535045022</v>
      </c>
      <c r="J1609" s="18" t="n">
        <v>5.24898440393851</v>
      </c>
    </row>
    <row r="1610" customFormat="false" ht="15" hidden="false" customHeight="false" outlineLevel="0" collapsed="false">
      <c r="A1610" s="28" t="n">
        <v>160518.884574656</v>
      </c>
      <c r="B1610" s="29" t="n">
        <v>6</v>
      </c>
      <c r="C1610" s="18" t="n">
        <v>5.71411687545188</v>
      </c>
      <c r="D1610" s="18" t="n">
        <v>4.93372008941059</v>
      </c>
      <c r="E1610" s="18" t="n">
        <v>5.99999999988728</v>
      </c>
      <c r="F1610" s="18" t="n">
        <v>6.00013370631496</v>
      </c>
      <c r="G1610" s="18" t="n">
        <v>5.38798844155223</v>
      </c>
      <c r="H1610" s="18" t="n">
        <v>5.29448151461495</v>
      </c>
      <c r="I1610" s="18" t="n">
        <v>5.24898535045022</v>
      </c>
      <c r="J1610" s="18" t="n">
        <v>5.24898110496281</v>
      </c>
    </row>
    <row r="1611" customFormat="false" ht="15" hidden="false" customHeight="false" outlineLevel="0" collapsed="false">
      <c r="A1611" s="28" t="n">
        <v>160618.896340746</v>
      </c>
      <c r="B1611" s="29" t="n">
        <v>6</v>
      </c>
      <c r="C1611" s="18" t="n">
        <v>9.13729003926187</v>
      </c>
      <c r="D1611" s="18" t="n">
        <v>5.13223558439719</v>
      </c>
      <c r="E1611" s="18" t="n">
        <v>5.99999999989469</v>
      </c>
      <c r="F1611" s="18" t="n">
        <v>5.99998204177524</v>
      </c>
      <c r="G1611" s="18" t="n">
        <v>4.89327512051655</v>
      </c>
      <c r="H1611" s="18" t="n">
        <v>5.29355878195714</v>
      </c>
      <c r="I1611" s="18" t="n">
        <v>5.24898535045023</v>
      </c>
      <c r="J1611" s="18" t="n">
        <v>5.24898401878215</v>
      </c>
    </row>
    <row r="1612" customFormat="false" ht="15" hidden="false" customHeight="false" outlineLevel="0" collapsed="false">
      <c r="A1612" s="28" t="n">
        <v>160718.908106836</v>
      </c>
      <c r="B1612" s="29" t="n">
        <v>6</v>
      </c>
      <c r="C1612" s="18" t="n">
        <v>5.06943061346837</v>
      </c>
      <c r="D1612" s="18" t="n">
        <v>5.62278174130769</v>
      </c>
      <c r="E1612" s="18" t="n">
        <v>5.99999999990156</v>
      </c>
      <c r="F1612" s="18" t="n">
        <v>5.99986516929853</v>
      </c>
      <c r="G1612" s="18" t="n">
        <v>5.18433124769096</v>
      </c>
      <c r="H1612" s="18" t="n">
        <v>5.27819726400931</v>
      </c>
      <c r="I1612" s="18" t="n">
        <v>5.24898535045023</v>
      </c>
      <c r="J1612" s="18" t="n">
        <v>5.24898863717826</v>
      </c>
    </row>
    <row r="1613" customFormat="false" ht="15" hidden="false" customHeight="false" outlineLevel="0" collapsed="false">
      <c r="A1613" s="28" t="n">
        <v>160818.919872926</v>
      </c>
      <c r="B1613" s="29" t="n">
        <v>6</v>
      </c>
      <c r="C1613" s="18" t="n">
        <v>4.40670507484937</v>
      </c>
      <c r="D1613" s="18" t="n">
        <v>8.0991695250191</v>
      </c>
      <c r="E1613" s="18" t="n">
        <v>5.99999999990793</v>
      </c>
      <c r="F1613" s="18" t="n">
        <v>5.99994631556229</v>
      </c>
      <c r="G1613" s="18" t="n">
        <v>5.38517948767338</v>
      </c>
      <c r="H1613" s="18" t="n">
        <v>5.15852877939321</v>
      </c>
      <c r="I1613" s="18" t="n">
        <v>5.24898535045023</v>
      </c>
      <c r="J1613" s="18" t="n">
        <v>5.24898831913516</v>
      </c>
    </row>
    <row r="1614" customFormat="false" ht="15" hidden="false" customHeight="false" outlineLevel="0" collapsed="false">
      <c r="A1614" s="28" t="n">
        <v>160918.931639016</v>
      </c>
      <c r="B1614" s="29" t="n">
        <v>6</v>
      </c>
      <c r="C1614" s="18" t="n">
        <v>4.56822608847866</v>
      </c>
      <c r="D1614" s="18" t="n">
        <v>5.93089679224261</v>
      </c>
      <c r="E1614" s="18" t="n">
        <v>5.99999999991388</v>
      </c>
      <c r="F1614" s="18" t="n">
        <v>6.00009844293369</v>
      </c>
      <c r="G1614" s="18" t="n">
        <v>5.42115447145363</v>
      </c>
      <c r="H1614" s="18" t="n">
        <v>5.1463023382093</v>
      </c>
      <c r="I1614" s="18" t="n">
        <v>5.24898535045024</v>
      </c>
      <c r="J1614" s="18" t="n">
        <v>5.24898381931671</v>
      </c>
    </row>
    <row r="1615" customFormat="false" ht="15" hidden="false" customHeight="false" outlineLevel="0" collapsed="false">
      <c r="A1615" s="28" t="n">
        <v>161018.943405107</v>
      </c>
      <c r="B1615" s="29" t="n">
        <v>6</v>
      </c>
      <c r="C1615" s="18" t="n">
        <v>5.03762168203384</v>
      </c>
      <c r="D1615" s="18" t="n">
        <v>4.92728526439213</v>
      </c>
      <c r="E1615" s="18" t="n">
        <v>5.99999999991942</v>
      </c>
      <c r="F1615" s="18" t="n">
        <v>6.00010186842473</v>
      </c>
      <c r="G1615" s="18" t="n">
        <v>5.41873730311272</v>
      </c>
      <c r="H1615" s="18" t="n">
        <v>5.28890177324053</v>
      </c>
      <c r="I1615" s="18" t="n">
        <v>5.24898535045024</v>
      </c>
      <c r="J1615" s="18" t="n">
        <v>5.24898176353806</v>
      </c>
    </row>
    <row r="1616" customFormat="false" ht="15" hidden="false" customHeight="false" outlineLevel="0" collapsed="false">
      <c r="A1616" s="28" t="n">
        <v>161118.955171197</v>
      </c>
      <c r="B1616" s="29" t="n">
        <v>6</v>
      </c>
      <c r="C1616" s="18" t="n">
        <v>8.91672953051219</v>
      </c>
      <c r="D1616" s="18" t="n">
        <v>5.05545118700799</v>
      </c>
      <c r="E1616" s="18" t="n">
        <v>5.9999999999246</v>
      </c>
      <c r="F1616" s="18" t="n">
        <v>5.99996089368368</v>
      </c>
      <c r="G1616" s="18" t="n">
        <v>4.96978085927842</v>
      </c>
      <c r="H1616" s="18" t="n">
        <v>5.29509816907614</v>
      </c>
      <c r="I1616" s="18" t="n">
        <v>5.24898535045025</v>
      </c>
      <c r="J1616" s="18" t="n">
        <v>5.24898491164221</v>
      </c>
    </row>
    <row r="1617" customFormat="false" ht="15" hidden="false" customHeight="false" outlineLevel="0" collapsed="false">
      <c r="A1617" s="28" t="n">
        <v>161218.966937287</v>
      </c>
      <c r="B1617" s="29" t="n">
        <v>6</v>
      </c>
      <c r="C1617" s="18" t="n">
        <v>8.69959699844225</v>
      </c>
      <c r="D1617" s="18" t="n">
        <v>5.4371021187759</v>
      </c>
      <c r="E1617" s="18" t="n">
        <v>5.99999999992947</v>
      </c>
      <c r="F1617" s="18" t="n">
        <v>5.99988397687424</v>
      </c>
      <c r="G1617" s="18" t="n">
        <v>4.83730337833495</v>
      </c>
      <c r="H1617" s="18" t="n">
        <v>5.28445067825022</v>
      </c>
      <c r="I1617" s="18" t="n">
        <v>5.24898535045025</v>
      </c>
      <c r="J1617" s="18" t="n">
        <v>5.24898848620434</v>
      </c>
    </row>
    <row r="1618" customFormat="false" ht="15" hidden="false" customHeight="false" outlineLevel="0" collapsed="false">
      <c r="A1618" s="28" t="n">
        <v>161318.978703377</v>
      </c>
      <c r="B1618" s="29" t="n">
        <v>6</v>
      </c>
      <c r="C1618" s="18" t="n">
        <v>4.50119435156471</v>
      </c>
      <c r="D1618" s="18" t="n">
        <v>7.70224905314388</v>
      </c>
      <c r="E1618" s="18" t="n">
        <v>5.99999999993403</v>
      </c>
      <c r="F1618" s="18" t="n">
        <v>5.99997599694012</v>
      </c>
      <c r="G1618" s="18" t="n">
        <v>5.34223571283884</v>
      </c>
      <c r="H1618" s="18" t="n">
        <v>5.2225329146272</v>
      </c>
      <c r="I1618" s="18" t="n">
        <v>5.24898535045026</v>
      </c>
      <c r="J1618" s="18" t="n">
        <v>5.24898740252442</v>
      </c>
    </row>
    <row r="1619" customFormat="false" ht="15" hidden="false" customHeight="false" outlineLevel="0" collapsed="false">
      <c r="A1619" s="28" t="n">
        <v>161418.990469467</v>
      </c>
      <c r="B1619" s="29" t="n">
        <v>6</v>
      </c>
      <c r="C1619" s="18" t="n">
        <v>4.47767864361141</v>
      </c>
      <c r="D1619" s="18" t="n">
        <v>8.10171840523012</v>
      </c>
      <c r="E1619" s="18" t="n">
        <v>5.99999999993834</v>
      </c>
      <c r="F1619" s="18" t="n">
        <v>6.00009632346755</v>
      </c>
      <c r="G1619" s="18" t="n">
        <v>5.41075190844095</v>
      </c>
      <c r="H1619" s="18" t="n">
        <v>5.12836033391542</v>
      </c>
      <c r="I1619" s="18" t="n">
        <v>5.24898535045026</v>
      </c>
      <c r="J1619" s="18" t="n">
        <v>5.24898348133371</v>
      </c>
    </row>
    <row r="1620" customFormat="false" ht="15" hidden="false" customHeight="false" outlineLevel="0" collapsed="false">
      <c r="A1620" s="28" t="n">
        <v>161519.002235557</v>
      </c>
      <c r="B1620" s="29" t="n">
        <v>6</v>
      </c>
      <c r="C1620" s="18" t="n">
        <v>4.78360786639202</v>
      </c>
      <c r="D1620" s="18" t="n">
        <v>5.04029906667408</v>
      </c>
      <c r="E1620" s="18" t="n">
        <v>5.99999999994241</v>
      </c>
      <c r="F1620" s="18" t="n">
        <v>6.00007290139947</v>
      </c>
      <c r="G1620" s="18" t="n">
        <v>5.42629863942219</v>
      </c>
      <c r="H1620" s="18" t="n">
        <v>5.27949395143552</v>
      </c>
      <c r="I1620" s="18" t="n">
        <v>5.24898535045027</v>
      </c>
      <c r="J1620" s="18" t="n">
        <v>5.2489824471056</v>
      </c>
    </row>
    <row r="1621" customFormat="false" ht="15" hidden="false" customHeight="false" outlineLevel="0" collapsed="false">
      <c r="A1621" s="28" t="n">
        <v>161619.014001647</v>
      </c>
      <c r="B1621" s="29" t="n">
        <v>6</v>
      </c>
      <c r="C1621" s="18" t="n">
        <v>8.20670953856762</v>
      </c>
      <c r="D1621" s="18" t="n">
        <v>5.00608836591579</v>
      </c>
      <c r="E1621" s="18" t="n">
        <v>5.99999999994626</v>
      </c>
      <c r="F1621" s="18" t="n">
        <v>5.99994773996268</v>
      </c>
      <c r="G1621" s="18" t="n">
        <v>5.33807828269964</v>
      </c>
      <c r="H1621" s="18" t="n">
        <v>5.2954792984189</v>
      </c>
      <c r="I1621" s="18" t="n">
        <v>5.24898535045027</v>
      </c>
      <c r="J1621" s="18" t="n">
        <v>5.24898558611801</v>
      </c>
    </row>
    <row r="1622" customFormat="false" ht="15" hidden="false" customHeight="false" outlineLevel="0" collapsed="false">
      <c r="A1622" s="28" t="n">
        <v>161719.025767737</v>
      </c>
      <c r="B1622" s="29" t="n">
        <v>6</v>
      </c>
      <c r="C1622" s="18" t="n">
        <v>9.18129601640565</v>
      </c>
      <c r="D1622" s="18" t="n">
        <v>5.31840354926079</v>
      </c>
      <c r="E1622" s="18" t="n">
        <v>5.99999999994992</v>
      </c>
      <c r="F1622" s="18" t="n">
        <v>5.99990427141431</v>
      </c>
      <c r="G1622" s="18" t="n">
        <v>4.86393419768284</v>
      </c>
      <c r="H1622" s="18" t="n">
        <v>5.2882589941225</v>
      </c>
      <c r="I1622" s="18" t="n">
        <v>5.24898535045027</v>
      </c>
      <c r="J1622" s="18" t="n">
        <v>5.24898819764641</v>
      </c>
    </row>
    <row r="1623" customFormat="false" ht="15" hidden="false" customHeight="false" outlineLevel="0" collapsed="false">
      <c r="A1623" s="28" t="n">
        <v>161819.037533828</v>
      </c>
      <c r="B1623" s="29" t="n">
        <v>6</v>
      </c>
      <c r="C1623" s="18" t="n">
        <v>4.79582409848106</v>
      </c>
      <c r="D1623" s="18" t="n">
        <v>6.44882275716683</v>
      </c>
      <c r="E1623" s="18" t="n">
        <v>5.9999999999534</v>
      </c>
      <c r="F1623" s="18" t="n">
        <v>5.99999895727033</v>
      </c>
      <c r="G1623" s="18" t="n">
        <v>5.2757198105939</v>
      </c>
      <c r="H1623" s="18" t="n">
        <v>5.25574662353891</v>
      </c>
      <c r="I1623" s="18" t="n">
        <v>5.24898535045027</v>
      </c>
      <c r="J1623" s="18" t="n">
        <v>5.24898661875015</v>
      </c>
    </row>
    <row r="1624" customFormat="false" ht="15" hidden="false" customHeight="false" outlineLevel="0" collapsed="false">
      <c r="A1624" s="28" t="n">
        <v>161919.049299918</v>
      </c>
      <c r="B1624" s="29" t="n">
        <v>6</v>
      </c>
      <c r="C1624" s="18" t="n">
        <v>4.42142835603363</v>
      </c>
      <c r="D1624" s="18" t="n">
        <v>8.26970733837993</v>
      </c>
      <c r="E1624" s="18" t="n">
        <v>5.9999999999566</v>
      </c>
      <c r="F1624" s="18" t="n">
        <v>6.00008928971022</v>
      </c>
      <c r="G1624" s="18" t="n">
        <v>5.39571499577123</v>
      </c>
      <c r="H1624" s="18" t="n">
        <v>5.13238051019014</v>
      </c>
      <c r="I1624" s="18" t="n">
        <v>5.24898535045028</v>
      </c>
      <c r="J1624" s="18" t="n">
        <v>5.24898334204101</v>
      </c>
    </row>
    <row r="1625" customFormat="false" ht="15" hidden="false" customHeight="false" outlineLevel="0" collapsed="false">
      <c r="A1625" s="28" t="n">
        <v>162019.061066008</v>
      </c>
      <c r="B1625" s="29" t="n">
        <v>6</v>
      </c>
      <c r="C1625" s="18" t="n">
        <v>4.62736667328415</v>
      </c>
      <c r="D1625" s="18" t="n">
        <v>5.1881166069903</v>
      </c>
      <c r="E1625" s="18" t="n">
        <v>5.99999999995951</v>
      </c>
      <c r="F1625" s="18" t="n">
        <v>6.0000476744036</v>
      </c>
      <c r="G1625" s="18" t="n">
        <v>5.42437257948829</v>
      </c>
      <c r="H1625" s="18" t="n">
        <v>5.26802126573493</v>
      </c>
      <c r="I1625" s="18" t="n">
        <v>5.24898535045028</v>
      </c>
      <c r="J1625" s="18" t="n">
        <v>5.24898310986971</v>
      </c>
    </row>
    <row r="1626" customFormat="false" ht="15" hidden="false" customHeight="false" outlineLevel="0" collapsed="false">
      <c r="A1626" s="28" t="n">
        <v>162119.072832098</v>
      </c>
      <c r="B1626" s="29" t="n">
        <v>6</v>
      </c>
      <c r="C1626" s="18" t="n">
        <v>5.25727879913668</v>
      </c>
      <c r="D1626" s="18" t="n">
        <v>4.96506106102294</v>
      </c>
      <c r="E1626" s="18" t="n">
        <v>5.99999999996231</v>
      </c>
      <c r="F1626" s="18" t="n">
        <v>5.99994115097333</v>
      </c>
      <c r="G1626" s="18" t="n">
        <v>5.40823339095296</v>
      </c>
      <c r="H1626" s="18" t="n">
        <v>5.29535457990456</v>
      </c>
      <c r="I1626" s="18" t="n">
        <v>5.24898535045028</v>
      </c>
      <c r="J1626" s="18" t="n">
        <v>5.24898606329817</v>
      </c>
    </row>
    <row r="1627" customFormat="false" ht="15" hidden="false" customHeight="false" outlineLevel="0" collapsed="false">
      <c r="A1627" s="28" t="n">
        <v>162219.084598188</v>
      </c>
      <c r="B1627" s="29" t="n">
        <v>6</v>
      </c>
      <c r="C1627" s="18" t="n">
        <v>9.04988348255268</v>
      </c>
      <c r="D1627" s="18" t="n">
        <v>5.21833873081834</v>
      </c>
      <c r="E1627" s="18" t="n">
        <v>5.99999999996488</v>
      </c>
      <c r="F1627" s="18" t="n">
        <v>5.99992449108335</v>
      </c>
      <c r="G1627" s="18" t="n">
        <v>4.92724955562133</v>
      </c>
      <c r="H1627" s="18" t="n">
        <v>5.29125335780288</v>
      </c>
      <c r="I1627" s="18" t="n">
        <v>5.24898535045028</v>
      </c>
      <c r="J1627" s="18" t="n">
        <v>5.24898782544788</v>
      </c>
    </row>
    <row r="1628" customFormat="false" ht="15" hidden="false" customHeight="false" outlineLevel="0" collapsed="false">
      <c r="A1628" s="28" t="n">
        <v>162319.096364278</v>
      </c>
      <c r="B1628" s="29" t="n">
        <v>6</v>
      </c>
      <c r="C1628" s="18" t="n">
        <v>5.82623742319169</v>
      </c>
      <c r="D1628" s="18" t="n">
        <v>5.88811028987927</v>
      </c>
      <c r="E1628" s="18" t="n">
        <v>5.9999999999672</v>
      </c>
      <c r="F1628" s="18" t="n">
        <v>6.00001571929628</v>
      </c>
      <c r="G1628" s="18" t="n">
        <v>4.85818652428235</v>
      </c>
      <c r="H1628" s="18" t="n">
        <v>5.26957428381639</v>
      </c>
      <c r="I1628" s="18" t="n">
        <v>5.24898535045028</v>
      </c>
      <c r="J1628" s="18" t="n">
        <v>5.24898597628888</v>
      </c>
    </row>
    <row r="1629" customFormat="false" ht="15" hidden="false" customHeight="false" outlineLevel="0" collapsed="false">
      <c r="A1629" s="28" t="n">
        <v>162419.108130368</v>
      </c>
      <c r="B1629" s="29" t="n">
        <v>6</v>
      </c>
      <c r="C1629" s="18" t="n">
        <v>4.41250737117092</v>
      </c>
      <c r="D1629" s="18" t="n">
        <v>8.2383476170142</v>
      </c>
      <c r="E1629" s="18" t="n">
        <v>5.99999999996929</v>
      </c>
      <c r="F1629" s="18" t="n">
        <v>6.00007908225968</v>
      </c>
      <c r="G1629" s="18" t="n">
        <v>5.36530309204314</v>
      </c>
      <c r="H1629" s="18" t="n">
        <v>5.14135430761932</v>
      </c>
      <c r="I1629" s="18" t="n">
        <v>5.24898535045028</v>
      </c>
      <c r="J1629" s="18" t="n">
        <v>5.24898335522562</v>
      </c>
    </row>
    <row r="1630" customFormat="false" ht="15" hidden="false" customHeight="false" outlineLevel="0" collapsed="false">
      <c r="A1630" s="28" t="n">
        <v>162519.119896458</v>
      </c>
      <c r="B1630" s="29" t="n">
        <v>6</v>
      </c>
      <c r="C1630" s="18" t="n">
        <v>4.51820037802821</v>
      </c>
      <c r="D1630" s="18" t="n">
        <v>5.41886000768855</v>
      </c>
      <c r="E1630" s="18" t="n">
        <v>5.99999999997118</v>
      </c>
      <c r="F1630" s="18" t="n">
        <v>6.00002660625587</v>
      </c>
      <c r="G1630" s="18" t="n">
        <v>5.4165509848219</v>
      </c>
      <c r="H1630" s="18" t="n">
        <v>5.24728889026484</v>
      </c>
      <c r="I1630" s="18" t="n">
        <v>5.24898535045028</v>
      </c>
      <c r="J1630" s="18" t="n">
        <v>5.24898371970927</v>
      </c>
    </row>
    <row r="1631" customFormat="false" ht="15" hidden="false" customHeight="false" outlineLevel="0" collapsed="false">
      <c r="A1631" s="28" t="n">
        <v>162619.131662549</v>
      </c>
      <c r="B1631" s="29" t="n">
        <v>6</v>
      </c>
      <c r="C1631" s="18" t="n">
        <v>4.892029493635</v>
      </c>
      <c r="D1631" s="18" t="n">
        <v>4.92885768443157</v>
      </c>
      <c r="E1631" s="18" t="n">
        <v>5.99999999997288</v>
      </c>
      <c r="F1631" s="18" t="n">
        <v>5.99993971270976</v>
      </c>
      <c r="G1631" s="18" t="n">
        <v>5.42413332429986</v>
      </c>
      <c r="H1631" s="18" t="n">
        <v>5.29440223933542</v>
      </c>
      <c r="I1631" s="18" t="n">
        <v>5.24898535045028</v>
      </c>
      <c r="J1631" s="18" t="n">
        <v>5.24898636976723</v>
      </c>
    </row>
    <row r="1632" customFormat="false" ht="15" hidden="false" customHeight="false" outlineLevel="0" collapsed="false">
      <c r="A1632" s="28" t="n">
        <v>162719.143428639</v>
      </c>
      <c r="B1632" s="29" t="n">
        <v>6</v>
      </c>
      <c r="C1632" s="18" t="n">
        <v>8.70064127220789</v>
      </c>
      <c r="D1632" s="18" t="n">
        <v>5.1214327363692</v>
      </c>
      <c r="E1632" s="18" t="n">
        <v>5.99999999997442</v>
      </c>
      <c r="F1632" s="18" t="n">
        <v>5.99994350391259</v>
      </c>
      <c r="G1632" s="18" t="n">
        <v>5.04240516071395</v>
      </c>
      <c r="H1632" s="18" t="n">
        <v>5.29383897935611</v>
      </c>
      <c r="I1632" s="18" t="n">
        <v>5.24898535045028</v>
      </c>
      <c r="J1632" s="18" t="n">
        <v>5.2489874136169</v>
      </c>
    </row>
    <row r="1633" customFormat="false" ht="15" hidden="false" customHeight="false" outlineLevel="0" collapsed="false">
      <c r="A1633" s="28" t="n">
        <v>162819.155194729</v>
      </c>
      <c r="B1633" s="29" t="n">
        <v>6</v>
      </c>
      <c r="C1633" s="18" t="n">
        <v>9.0321461039346</v>
      </c>
      <c r="D1633" s="18" t="n">
        <v>5.59560926820812</v>
      </c>
      <c r="E1633" s="18" t="n">
        <v>5.99999999997583</v>
      </c>
      <c r="F1633" s="18" t="n">
        <v>6.00002701664999</v>
      </c>
      <c r="G1633" s="18" t="n">
        <v>4.83923038995935</v>
      </c>
      <c r="H1633" s="18" t="n">
        <v>5.2791247349443</v>
      </c>
      <c r="I1633" s="18" t="n">
        <v>5.24898535045028</v>
      </c>
      <c r="J1633" s="18" t="n">
        <v>5.24898547325324</v>
      </c>
    </row>
    <row r="1634" customFormat="false" ht="15" hidden="false" customHeight="false" outlineLevel="0" collapsed="false">
      <c r="A1634" s="28" t="n">
        <v>162919.166960819</v>
      </c>
      <c r="B1634" s="29" t="n">
        <v>6</v>
      </c>
      <c r="C1634" s="18" t="n">
        <v>4.62294799534396</v>
      </c>
      <c r="D1634" s="18" t="n">
        <v>8.0701755621709</v>
      </c>
      <c r="E1634" s="18" t="n">
        <v>5.99999999997714</v>
      </c>
      <c r="F1634" s="18" t="n">
        <v>6.00006714827437</v>
      </c>
      <c r="G1634" s="18" t="n">
        <v>5.31413969870893</v>
      </c>
      <c r="H1634" s="18" t="n">
        <v>5.16220238684165</v>
      </c>
      <c r="I1634" s="18" t="n">
        <v>5.24898535045028</v>
      </c>
      <c r="J1634" s="18" t="n">
        <v>5.24898347857405</v>
      </c>
    </row>
    <row r="1635" customFormat="false" ht="15" hidden="false" customHeight="false" outlineLevel="0" collapsed="false">
      <c r="A1635" s="28" t="n">
        <v>163019.178726909</v>
      </c>
      <c r="B1635" s="29" t="n">
        <v>6</v>
      </c>
      <c r="C1635" s="18" t="n">
        <v>4.44550417522682</v>
      </c>
      <c r="D1635" s="18" t="n">
        <v>6.09732506040054</v>
      </c>
      <c r="E1635" s="18" t="n">
        <v>5.99999999997836</v>
      </c>
      <c r="F1635" s="18" t="n">
        <v>6.0000097643895</v>
      </c>
      <c r="G1635" s="18" t="n">
        <v>5.40383712518694</v>
      </c>
      <c r="H1635" s="18" t="n">
        <v>5.13867553576729</v>
      </c>
      <c r="I1635" s="18" t="n">
        <v>5.24898535045028</v>
      </c>
      <c r="J1635" s="18" t="n">
        <v>5.24898425628042</v>
      </c>
    </row>
    <row r="1636" customFormat="false" ht="15" hidden="false" customHeight="false" outlineLevel="0" collapsed="false">
      <c r="A1636" s="28" t="n">
        <v>163119.190492999</v>
      </c>
      <c r="B1636" s="29" t="n">
        <v>6</v>
      </c>
      <c r="C1636" s="18" t="n">
        <v>4.69780105873322</v>
      </c>
      <c r="D1636" s="18" t="n">
        <v>4.93692090916798</v>
      </c>
      <c r="E1636" s="18" t="n">
        <v>5.99999999997947</v>
      </c>
      <c r="F1636" s="18" t="n">
        <v>5.99994210310534</v>
      </c>
      <c r="G1636" s="18" t="n">
        <v>5.42619281257968</v>
      </c>
      <c r="H1636" s="18" t="n">
        <v>5.28792803377981</v>
      </c>
      <c r="I1636" s="18" t="n">
        <v>5.24898535045028</v>
      </c>
      <c r="J1636" s="18" t="n">
        <v>5.24898653459175</v>
      </c>
    </row>
    <row r="1637" customFormat="false" ht="15" hidden="false" customHeight="false" outlineLevel="0" collapsed="false">
      <c r="A1637" s="28" t="n">
        <v>163219.202259089</v>
      </c>
      <c r="B1637" s="29" t="n">
        <v>6</v>
      </c>
      <c r="C1637" s="18" t="n">
        <v>5.71411687545216</v>
      </c>
      <c r="D1637" s="18" t="n">
        <v>5.05339256317918</v>
      </c>
      <c r="E1637" s="18" t="n">
        <v>5.99999999998047</v>
      </c>
      <c r="F1637" s="18" t="n">
        <v>5.99996055515493</v>
      </c>
      <c r="G1637" s="18" t="n">
        <v>5.38798844155222</v>
      </c>
      <c r="H1637" s="18" t="n">
        <v>5.29507044124538</v>
      </c>
      <c r="I1637" s="18" t="n">
        <v>5.24898535045028</v>
      </c>
      <c r="J1637" s="18" t="n">
        <v>5.24898699642729</v>
      </c>
    </row>
    <row r="1638" customFormat="false" ht="15" hidden="false" customHeight="false" outlineLevel="0" collapsed="false">
      <c r="A1638" s="28" t="n">
        <v>163319.214025179</v>
      </c>
      <c r="B1638" s="29" t="n">
        <v>6</v>
      </c>
      <c r="C1638" s="18" t="n">
        <v>9.13729003926187</v>
      </c>
      <c r="D1638" s="18" t="n">
        <v>5.43035250308785</v>
      </c>
      <c r="E1638" s="18" t="n">
        <v>5.99999999998137</v>
      </c>
      <c r="F1638" s="18" t="n">
        <v>6.00003369459289</v>
      </c>
      <c r="G1638" s="18" t="n">
        <v>4.8932751205165</v>
      </c>
      <c r="H1638" s="18" t="n">
        <v>5.28465988868152</v>
      </c>
      <c r="I1638" s="18" t="n">
        <v>5.24898535045028</v>
      </c>
      <c r="J1638" s="18" t="n">
        <v>5.24898510032228</v>
      </c>
    </row>
    <row r="1639" customFormat="false" ht="15" hidden="false" customHeight="false" outlineLevel="0" collapsed="false">
      <c r="A1639" s="28" t="n">
        <v>163419.22579127</v>
      </c>
      <c r="B1639" s="29" t="n">
        <v>6</v>
      </c>
      <c r="C1639" s="18" t="n">
        <v>5.06943061346827</v>
      </c>
      <c r="D1639" s="18" t="n">
        <v>7.66720236153615</v>
      </c>
      <c r="E1639" s="18" t="n">
        <v>5.99999999998219</v>
      </c>
      <c r="F1639" s="18" t="n">
        <v>6.00005463888675</v>
      </c>
      <c r="G1639" s="18" t="n">
        <v>5.18433124769099</v>
      </c>
      <c r="H1639" s="18" t="n">
        <v>5.22586261306947</v>
      </c>
      <c r="I1639" s="18" t="n">
        <v>5.24898535045028</v>
      </c>
      <c r="J1639" s="18" t="n">
        <v>5.24898367502381</v>
      </c>
    </row>
    <row r="1640" customFormat="false" ht="15" hidden="false" customHeight="false" outlineLevel="0" collapsed="false">
      <c r="A1640" s="28" t="n">
        <v>163519.23755736</v>
      </c>
      <c r="B1640" s="29" t="n">
        <v>6</v>
      </c>
      <c r="C1640" s="18" t="n">
        <v>4.40670507484934</v>
      </c>
      <c r="D1640" s="18" t="n">
        <v>8.12610310346496</v>
      </c>
      <c r="E1640" s="18" t="n">
        <v>5.99999999998293</v>
      </c>
      <c r="F1640" s="18" t="n">
        <v>5.99999695685764</v>
      </c>
      <c r="G1640" s="18" t="n">
        <v>5.38517948767338</v>
      </c>
      <c r="H1640" s="18" t="n">
        <v>5.12843775709794</v>
      </c>
      <c r="I1640" s="18" t="n">
        <v>5.24898535045028</v>
      </c>
      <c r="J1640" s="18" t="n">
        <v>5.24898470896471</v>
      </c>
    </row>
    <row r="1641" customFormat="false" ht="15" hidden="false" customHeight="false" outlineLevel="0" collapsed="false">
      <c r="A1641" s="28" t="n">
        <v>163619.24932345</v>
      </c>
      <c r="B1641" s="29" t="n">
        <v>6</v>
      </c>
      <c r="C1641" s="18" t="n">
        <v>4.56822608847862</v>
      </c>
      <c r="D1641" s="18" t="n">
        <v>5.04670699898551</v>
      </c>
      <c r="E1641" s="18" t="n">
        <v>5.99999999998368</v>
      </c>
      <c r="F1641" s="18" t="n">
        <v>5.99994714228942</v>
      </c>
      <c r="G1641" s="18" t="n">
        <v>5.42115447145362</v>
      </c>
      <c r="H1641" s="18" t="n">
        <v>5.27900312761554</v>
      </c>
      <c r="I1641" s="18" t="n">
        <v>5.24898535045028</v>
      </c>
      <c r="J1641" s="18" t="n">
        <v>5.2489865869872</v>
      </c>
    </row>
    <row r="1642" customFormat="false" ht="15" hidden="false" customHeight="false" outlineLevel="0" collapsed="false">
      <c r="A1642" s="28" t="n">
        <v>163719.26108954</v>
      </c>
      <c r="B1642" s="29" t="n">
        <v>6</v>
      </c>
      <c r="C1642" s="18" t="n">
        <v>5.03762168203371</v>
      </c>
      <c r="D1642" s="18" t="n">
        <v>5.00392342674079</v>
      </c>
      <c r="E1642" s="18" t="n">
        <v>5.99999999998441</v>
      </c>
      <c r="F1642" s="18" t="n">
        <v>5.99997520751208</v>
      </c>
      <c r="G1642" s="18" t="n">
        <v>5.41873730311273</v>
      </c>
      <c r="H1642" s="18" t="n">
        <v>5.29548171526848</v>
      </c>
      <c r="I1642" s="18" t="n">
        <v>5.24898535045028</v>
      </c>
      <c r="J1642" s="18" t="n">
        <v>5.24898659911846</v>
      </c>
    </row>
    <row r="1643" customFormat="false" ht="15" hidden="false" customHeight="false" outlineLevel="0" collapsed="false">
      <c r="A1643" s="28" t="n">
        <v>163819.27285563</v>
      </c>
      <c r="B1643" s="29" t="n">
        <v>6</v>
      </c>
      <c r="C1643" s="18" t="n">
        <v>8.91672953051219</v>
      </c>
      <c r="D1643" s="18" t="n">
        <v>5.31311623014762</v>
      </c>
      <c r="E1643" s="18" t="n">
        <v>5.99999999998506</v>
      </c>
      <c r="F1643" s="18" t="n">
        <v>6.00003663141386</v>
      </c>
      <c r="G1643" s="18" t="n">
        <v>4.96978085927845</v>
      </c>
      <c r="H1643" s="18" t="n">
        <v>5.2884204956262</v>
      </c>
      <c r="I1643" s="18" t="n">
        <v>5.24898535045028</v>
      </c>
      <c r="J1643" s="18" t="n">
        <v>5.24898484329776</v>
      </c>
    </row>
    <row r="1644" customFormat="false" ht="15" hidden="false" customHeight="false" outlineLevel="0" collapsed="false">
      <c r="A1644" s="28" t="n">
        <v>163919.28462172</v>
      </c>
      <c r="B1644" s="29" t="n">
        <v>6</v>
      </c>
      <c r="C1644" s="18" t="n">
        <v>8.69959699844243</v>
      </c>
      <c r="D1644" s="18" t="n">
        <v>6.40137378027988</v>
      </c>
      <c r="E1644" s="18" t="n">
        <v>5.99999999998566</v>
      </c>
      <c r="F1644" s="18" t="n">
        <v>6.00004242423003</v>
      </c>
      <c r="G1644" s="18" t="n">
        <v>4.83730337833495</v>
      </c>
      <c r="H1644" s="18" t="n">
        <v>5.25664393279164</v>
      </c>
      <c r="I1644" s="18" t="n">
        <v>5.24898535045028</v>
      </c>
      <c r="J1644" s="18" t="n">
        <v>5.24898391344666</v>
      </c>
    </row>
    <row r="1645" customFormat="false" ht="15" hidden="false" customHeight="false" outlineLevel="0" collapsed="false">
      <c r="A1645" s="28" t="n">
        <v>164019.29638781</v>
      </c>
      <c r="B1645" s="29" t="n">
        <v>6</v>
      </c>
      <c r="C1645" s="18" t="n">
        <v>4.50119435156473</v>
      </c>
      <c r="D1645" s="18" t="n">
        <v>8.27072632492473</v>
      </c>
      <c r="E1645" s="18" t="n">
        <v>5.99999999998619</v>
      </c>
      <c r="F1645" s="18" t="n">
        <v>5.9999878140266</v>
      </c>
      <c r="G1645" s="18" t="n">
        <v>5.34223571283884</v>
      </c>
      <c r="H1645" s="18" t="n">
        <v>5.13269458963894</v>
      </c>
      <c r="I1645" s="18" t="n">
        <v>5.24898535045028</v>
      </c>
      <c r="J1645" s="18" t="n">
        <v>5.24898507482204</v>
      </c>
    </row>
    <row r="1646" customFormat="false" ht="15" hidden="false" customHeight="false" outlineLevel="0" collapsed="false">
      <c r="A1646" s="28" t="n">
        <v>164119.308153901</v>
      </c>
      <c r="B1646" s="29" t="n">
        <v>6</v>
      </c>
      <c r="C1646" s="18" t="n">
        <v>4.4776786436114</v>
      </c>
      <c r="D1646" s="18" t="n">
        <v>5.19623124857722</v>
      </c>
      <c r="E1646" s="18" t="n">
        <v>5.99999999998668</v>
      </c>
      <c r="F1646" s="18" t="n">
        <v>5.99995382104429</v>
      </c>
      <c r="G1646" s="18" t="n">
        <v>5.41075190844095</v>
      </c>
      <c r="H1646" s="18" t="n">
        <v>5.26727841150667</v>
      </c>
      <c r="I1646" s="18" t="n">
        <v>5.24898535045028</v>
      </c>
      <c r="J1646" s="18" t="n">
        <v>5.24898655461276</v>
      </c>
    </row>
    <row r="1647" customFormat="false" ht="15" hidden="false" customHeight="false" outlineLevel="0" collapsed="false">
      <c r="A1647" s="28" t="n">
        <v>164219.319919991</v>
      </c>
      <c r="B1647" s="29" t="n">
        <v>6</v>
      </c>
      <c r="C1647" s="18" t="n">
        <v>4.78360786639199</v>
      </c>
      <c r="D1647" s="18" t="n">
        <v>4.96038643456706</v>
      </c>
      <c r="E1647" s="18" t="n">
        <v>5.99999999998711</v>
      </c>
      <c r="F1647" s="18" t="n">
        <v>5.99998727956697</v>
      </c>
      <c r="G1647" s="18" t="n">
        <v>5.42629863942219</v>
      </c>
      <c r="H1647" s="18" t="n">
        <v>5.29538180075152</v>
      </c>
      <c r="I1647" s="18" t="n">
        <v>5.24898535045028</v>
      </c>
      <c r="J1647" s="18" t="n">
        <v>5.2489862389189</v>
      </c>
    </row>
    <row r="1648" customFormat="false" ht="15" hidden="false" customHeight="false" outlineLevel="0" collapsed="false">
      <c r="A1648" s="28" t="n">
        <v>164319.331686081</v>
      </c>
      <c r="B1648" s="29" t="n">
        <v>6</v>
      </c>
      <c r="C1648" s="18" t="n">
        <v>8.2067095385673</v>
      </c>
      <c r="D1648" s="18" t="n">
        <v>5.2089755893464</v>
      </c>
      <c r="E1648" s="18" t="n">
        <v>5.99999999998751</v>
      </c>
      <c r="F1648" s="18" t="n">
        <v>6.00003667934758</v>
      </c>
      <c r="G1648" s="18" t="n">
        <v>5.33807828269967</v>
      </c>
      <c r="H1648" s="18" t="n">
        <v>5.29152853646544</v>
      </c>
      <c r="I1648" s="18" t="n">
        <v>5.24898535045028</v>
      </c>
      <c r="J1648" s="18" t="n">
        <v>5.2489846852425</v>
      </c>
    </row>
    <row r="1649" customFormat="false" ht="15" hidden="false" customHeight="false" outlineLevel="0" collapsed="false">
      <c r="A1649" s="28" t="n">
        <v>164419.343452171</v>
      </c>
      <c r="B1649" s="29" t="n">
        <v>6</v>
      </c>
      <c r="C1649" s="18" t="n">
        <v>9.18129601640565</v>
      </c>
      <c r="D1649" s="18" t="n">
        <v>5.8550506809925</v>
      </c>
      <c r="E1649" s="18" t="n">
        <v>5.99999999998786</v>
      </c>
      <c r="F1649" s="18" t="n">
        <v>6.00003112041231</v>
      </c>
      <c r="G1649" s="18" t="n">
        <v>4.86393419768285</v>
      </c>
      <c r="H1649" s="18" t="n">
        <v>5.27060298903754</v>
      </c>
      <c r="I1649" s="18" t="n">
        <v>5.24898535045028</v>
      </c>
      <c r="J1649" s="18" t="n">
        <v>5.24898416880656</v>
      </c>
    </row>
    <row r="1650" customFormat="false" ht="15" hidden="false" customHeight="false" outlineLevel="0" collapsed="false">
      <c r="A1650" s="28" t="n">
        <v>164519.355218261</v>
      </c>
      <c r="B1650" s="29" t="n">
        <v>6</v>
      </c>
      <c r="C1650" s="18" t="n">
        <v>4.79582409848108</v>
      </c>
      <c r="D1650" s="18" t="n">
        <v>8.22993473843521</v>
      </c>
      <c r="E1650" s="18" t="n">
        <v>5.99999999998818</v>
      </c>
      <c r="F1650" s="18" t="n">
        <v>5.99998185811063</v>
      </c>
      <c r="G1650" s="18" t="n">
        <v>5.27571981059389</v>
      </c>
      <c r="H1650" s="18" t="n">
        <v>5.14255030705882</v>
      </c>
      <c r="I1650" s="18" t="n">
        <v>5.24898535045028</v>
      </c>
      <c r="J1650" s="18" t="n">
        <v>5.24898535666428</v>
      </c>
    </row>
    <row r="1651" customFormat="false" ht="15" hidden="false" customHeight="false" outlineLevel="0" collapsed="false">
      <c r="A1651" s="28" t="n">
        <v>164619.366984351</v>
      </c>
      <c r="B1651" s="29" t="n">
        <v>6</v>
      </c>
      <c r="C1651" s="18" t="n">
        <v>4.42142835603361</v>
      </c>
      <c r="D1651" s="18" t="n">
        <v>5.44945502897418</v>
      </c>
      <c r="E1651" s="18" t="n">
        <v>5.99999999998847</v>
      </c>
      <c r="F1651" s="18" t="n">
        <v>5.99996131178828</v>
      </c>
      <c r="G1651" s="18" t="n">
        <v>5.39571499577123</v>
      </c>
      <c r="H1651" s="18" t="n">
        <v>5.24398644582723</v>
      </c>
      <c r="I1651" s="18" t="n">
        <v>5.24898535045028</v>
      </c>
      <c r="J1651" s="18" t="n">
        <v>5.24898646241967</v>
      </c>
    </row>
    <row r="1652" customFormat="false" ht="15" hidden="false" customHeight="false" outlineLevel="0" collapsed="false">
      <c r="A1652" s="28" t="n">
        <v>164719.378750441</v>
      </c>
      <c r="B1652" s="29" t="n">
        <v>6</v>
      </c>
      <c r="C1652" s="18" t="n">
        <v>4.62736667328412</v>
      </c>
      <c r="D1652" s="18" t="n">
        <v>4.92708034150158</v>
      </c>
      <c r="E1652" s="18" t="n">
        <v>5.99999999998873</v>
      </c>
      <c r="F1652" s="18" t="n">
        <v>5.99999678640982</v>
      </c>
      <c r="G1652" s="18" t="n">
        <v>5.42437257948829</v>
      </c>
      <c r="H1652" s="18" t="n">
        <v>5.29420912228442</v>
      </c>
      <c r="I1652" s="18" t="n">
        <v>5.24898535045028</v>
      </c>
      <c r="J1652" s="18" t="n">
        <v>5.24898592624712</v>
      </c>
    </row>
    <row r="1653" customFormat="false" ht="15" hidden="false" customHeight="false" outlineLevel="0" collapsed="false">
      <c r="A1653" s="28" t="n">
        <v>164819.390516531</v>
      </c>
      <c r="B1653" s="29" t="n">
        <v>6</v>
      </c>
      <c r="C1653" s="18" t="n">
        <v>5.25727879913654</v>
      </c>
      <c r="D1653" s="18" t="n">
        <v>5.1142241651707</v>
      </c>
      <c r="E1653" s="18" t="n">
        <v>5.99999999998897</v>
      </c>
      <c r="F1653" s="18" t="n">
        <v>6.00003462307403</v>
      </c>
      <c r="G1653" s="18" t="n">
        <v>5.40823339095297</v>
      </c>
      <c r="H1653" s="18" t="n">
        <v>5.29400990299021</v>
      </c>
      <c r="I1653" s="18" t="n">
        <v>5.24898535045028</v>
      </c>
      <c r="J1653" s="18" t="n">
        <v>5.24898460819248</v>
      </c>
    </row>
    <row r="1654" customFormat="false" ht="15" hidden="false" customHeight="false" outlineLevel="0" collapsed="false">
      <c r="A1654" s="28" t="n">
        <v>164919.402282622</v>
      </c>
      <c r="B1654" s="29" t="n">
        <v>6</v>
      </c>
      <c r="C1654" s="18" t="n">
        <v>9.04988348255309</v>
      </c>
      <c r="D1654" s="18" t="n">
        <v>5.57733201938536</v>
      </c>
      <c r="E1654" s="18" t="n">
        <v>5.99999999998918</v>
      </c>
      <c r="F1654" s="18" t="n">
        <v>6.00002112363583</v>
      </c>
      <c r="G1654" s="18" t="n">
        <v>4.92724955562134</v>
      </c>
      <c r="H1654" s="18" t="n">
        <v>5.27974483901448</v>
      </c>
      <c r="I1654" s="18" t="n">
        <v>5.24898535045028</v>
      </c>
      <c r="J1654" s="18" t="n">
        <v>5.2489844219269</v>
      </c>
    </row>
    <row r="1655" customFormat="false" ht="15" hidden="false" customHeight="false" outlineLevel="0" collapsed="false">
      <c r="A1655" s="28" t="n">
        <v>165019.414048712</v>
      </c>
      <c r="B1655" s="29" t="n">
        <v>6</v>
      </c>
      <c r="C1655" s="18" t="n">
        <v>5.82623742319201</v>
      </c>
      <c r="D1655" s="18" t="n">
        <v>8.04737377206481</v>
      </c>
      <c r="E1655" s="18" t="n">
        <v>5.99999999998938</v>
      </c>
      <c r="F1655" s="18" t="n">
        <v>5.9999785599018</v>
      </c>
      <c r="G1655" s="18" t="n">
        <v>4.85818652428233</v>
      </c>
      <c r="H1655" s="18" t="n">
        <v>5.16516176408064</v>
      </c>
      <c r="I1655" s="18" t="n">
        <v>5.24898535045028</v>
      </c>
      <c r="J1655" s="18" t="n">
        <v>5.24898556132641</v>
      </c>
    </row>
    <row r="1656" customFormat="false" ht="15" hidden="false" customHeight="false" outlineLevel="0" collapsed="false">
      <c r="A1656" s="28" t="n">
        <v>165119.425814802</v>
      </c>
      <c r="B1656" s="29" t="n">
        <v>6</v>
      </c>
      <c r="C1656" s="18" t="n">
        <v>4.41250737117091</v>
      </c>
      <c r="D1656" s="18" t="n">
        <v>6.2528672374284</v>
      </c>
      <c r="E1656" s="18" t="n">
        <v>5.99999999998955</v>
      </c>
      <c r="F1656" s="18" t="n">
        <v>5.99996896622291</v>
      </c>
      <c r="G1656" s="18" t="n">
        <v>5.36530309204314</v>
      </c>
      <c r="H1656" s="18" t="n">
        <v>5.13517941214601</v>
      </c>
      <c r="I1656" s="18" t="n">
        <v>5.24898535045028</v>
      </c>
      <c r="J1656" s="18" t="n">
        <v>5.2489863319676</v>
      </c>
    </row>
    <row r="1657" customFormat="false" ht="15" hidden="false" customHeight="false" outlineLevel="0" collapsed="false">
      <c r="A1657" s="28" t="n">
        <v>165219.437580892</v>
      </c>
      <c r="B1657" s="29" t="n">
        <v>6</v>
      </c>
      <c r="C1657" s="18" t="n">
        <v>4.51820037802818</v>
      </c>
      <c r="D1657" s="18" t="n">
        <v>4.94480668616724</v>
      </c>
      <c r="E1657" s="18" t="n">
        <v>5.9999999999897</v>
      </c>
      <c r="F1657" s="18" t="n">
        <v>6.00000388523912</v>
      </c>
      <c r="G1657" s="18" t="n">
        <v>5.4165509848219</v>
      </c>
      <c r="H1657" s="18" t="n">
        <v>5.28722534524513</v>
      </c>
      <c r="I1657" s="18" t="n">
        <v>5.24898535045028</v>
      </c>
      <c r="J1657" s="18" t="n">
        <v>5.24898566597336</v>
      </c>
    </row>
    <row r="1658" customFormat="false" ht="15" hidden="false" customHeight="false" outlineLevel="0" collapsed="false">
      <c r="A1658" s="28" t="n">
        <v>165319.449346982</v>
      </c>
      <c r="B1658" s="29" t="n">
        <v>6</v>
      </c>
      <c r="C1658" s="18" t="n">
        <v>4.89202949363492</v>
      </c>
      <c r="D1658" s="18" t="n">
        <v>5.05118624307334</v>
      </c>
      <c r="E1658" s="18" t="n">
        <v>5.99999999998985</v>
      </c>
      <c r="F1658" s="18" t="n">
        <v>6.00003115337912</v>
      </c>
      <c r="G1658" s="18" t="n">
        <v>5.42413332429987</v>
      </c>
      <c r="H1658" s="18" t="n">
        <v>5.29506596168122</v>
      </c>
      <c r="I1658" s="18" t="n">
        <v>5.24898535045028</v>
      </c>
      <c r="J1658" s="18" t="n">
        <v>5.24898459446114</v>
      </c>
    </row>
    <row r="1659" customFormat="false" ht="15" hidden="false" customHeight="false" outlineLevel="0" collapsed="false">
      <c r="A1659" s="28" t="n">
        <v>165419.461113072</v>
      </c>
      <c r="B1659" s="29" t="n">
        <v>6</v>
      </c>
      <c r="C1659" s="18" t="n">
        <v>8.7006412722077</v>
      </c>
      <c r="D1659" s="18" t="n">
        <v>5.42395941715492</v>
      </c>
      <c r="E1659" s="18" t="n">
        <v>5.99999999998997</v>
      </c>
      <c r="F1659" s="18" t="n">
        <v>6.00001264756038</v>
      </c>
      <c r="G1659" s="18" t="n">
        <v>5.04240516071401</v>
      </c>
      <c r="H1659" s="18" t="n">
        <v>5.28486207920081</v>
      </c>
      <c r="I1659" s="18" t="n">
        <v>5.24898535045028</v>
      </c>
      <c r="J1659" s="18" t="n">
        <v>5.24898465898661</v>
      </c>
    </row>
    <row r="1660" customFormat="false" ht="15" hidden="false" customHeight="false" outlineLevel="0" collapsed="false">
      <c r="A1660" s="28" t="n">
        <v>165519.472879162</v>
      </c>
      <c r="B1660" s="29" t="n">
        <v>6</v>
      </c>
      <c r="C1660" s="18" t="n">
        <v>9.0321461039346</v>
      </c>
      <c r="D1660" s="18" t="n">
        <v>7.63152065255001</v>
      </c>
      <c r="E1660" s="18" t="n">
        <v>5.99999999999009</v>
      </c>
      <c r="F1660" s="18" t="n">
        <v>5.99997738295737</v>
      </c>
      <c r="G1660" s="18" t="n">
        <v>4.83923038995929</v>
      </c>
      <c r="H1660" s="18" t="n">
        <v>5.22869184606774</v>
      </c>
      <c r="I1660" s="18" t="n">
        <v>5.24898535045028</v>
      </c>
      <c r="J1660" s="18" t="n">
        <v>5.24898569817987</v>
      </c>
    </row>
    <row r="1661" customFormat="false" ht="15" hidden="false" customHeight="false" outlineLevel="0" collapsed="false">
      <c r="A1661" s="28" t="n">
        <v>165619.484645252</v>
      </c>
      <c r="B1661" s="29" t="n">
        <v>6</v>
      </c>
      <c r="C1661" s="18" t="n">
        <v>4.62294799534399</v>
      </c>
      <c r="D1661" s="18" t="n">
        <v>8.1457305735377</v>
      </c>
      <c r="E1661" s="18" t="n">
        <v>5.99999999999019</v>
      </c>
      <c r="F1661" s="18" t="n">
        <v>5.99997630341275</v>
      </c>
      <c r="G1661" s="18" t="n">
        <v>5.31413969870892</v>
      </c>
      <c r="H1661" s="18" t="n">
        <v>5.12851864651106</v>
      </c>
      <c r="I1661" s="18" t="n">
        <v>5.24898535045028</v>
      </c>
      <c r="J1661" s="18" t="n">
        <v>5.24898618112062</v>
      </c>
    </row>
    <row r="1662" customFormat="false" ht="15" hidden="false" customHeight="false" outlineLevel="0" collapsed="false">
      <c r="A1662" s="28" t="n">
        <v>165719.496411343</v>
      </c>
      <c r="B1662" s="29" t="n">
        <v>6</v>
      </c>
      <c r="C1662" s="18" t="n">
        <v>4.44550417522682</v>
      </c>
      <c r="D1662" s="18" t="n">
        <v>5.05265924826141</v>
      </c>
      <c r="E1662" s="18" t="n">
        <v>5.99999999999029</v>
      </c>
      <c r="F1662" s="18" t="n">
        <v>6.00000882768106</v>
      </c>
      <c r="G1662" s="18" t="n">
        <v>5.40383712518694</v>
      </c>
      <c r="H1662" s="18" t="n">
        <v>5.27851626588242</v>
      </c>
      <c r="I1662" s="18" t="n">
        <v>5.24898535045028</v>
      </c>
      <c r="J1662" s="18" t="n">
        <v>5.24898545865372</v>
      </c>
    </row>
    <row r="1663" customFormat="false" ht="15" hidden="false" customHeight="false" outlineLevel="0" collapsed="false">
      <c r="A1663" s="28" t="n">
        <v>165819.508177433</v>
      </c>
      <c r="B1663" s="29" t="n">
        <v>6</v>
      </c>
      <c r="C1663" s="18" t="n">
        <v>4.69780105873322</v>
      </c>
      <c r="D1663" s="18" t="n">
        <v>5.0008655563191</v>
      </c>
      <c r="E1663" s="18" t="n">
        <v>5.99999999999037</v>
      </c>
      <c r="F1663" s="18" t="n">
        <v>6.00002685335062</v>
      </c>
      <c r="G1663" s="18" t="n">
        <v>5.42619281257968</v>
      </c>
      <c r="H1663" s="18" t="n">
        <v>5.29550516768609</v>
      </c>
      <c r="I1663" s="18" t="n">
        <v>5.24898535045028</v>
      </c>
      <c r="J1663" s="18" t="n">
        <v>5.24898462757234</v>
      </c>
    </row>
    <row r="1664" customFormat="false" ht="15" hidden="false" customHeight="false" outlineLevel="0" collapsed="false">
      <c r="A1664" s="28" t="n">
        <v>165919.519943523</v>
      </c>
      <c r="B1664" s="29" t="n">
        <v>6</v>
      </c>
      <c r="C1664" s="18" t="n">
        <v>5.71411687545213</v>
      </c>
      <c r="D1664" s="18" t="n">
        <v>5.30632040254196</v>
      </c>
      <c r="E1664" s="18" t="n">
        <v>5.99999999999045</v>
      </c>
      <c r="F1664" s="18" t="n">
        <v>6.00000576089123</v>
      </c>
      <c r="G1664" s="18" t="n">
        <v>5.38798844155222</v>
      </c>
      <c r="H1664" s="18" t="n">
        <v>5.28863257614095</v>
      </c>
      <c r="I1664" s="18" t="n">
        <v>5.24898535045028</v>
      </c>
      <c r="J1664" s="18" t="n">
        <v>5.24898487084826</v>
      </c>
    </row>
    <row r="1665" customFormat="false" ht="15" hidden="false" customHeight="false" outlineLevel="0" collapsed="false">
      <c r="A1665" s="28" t="n">
        <v>166019.531709613</v>
      </c>
      <c r="B1665" s="29" t="n">
        <v>6</v>
      </c>
      <c r="C1665" s="18" t="n">
        <v>9.13729003926187</v>
      </c>
      <c r="D1665" s="18" t="n">
        <v>6.34632314638344</v>
      </c>
      <c r="E1665" s="18" t="n">
        <v>5.99999999999052</v>
      </c>
      <c r="F1665" s="18" t="n">
        <v>5.99997781614922</v>
      </c>
      <c r="G1665" s="18" t="n">
        <v>4.89327512051655</v>
      </c>
      <c r="H1665" s="18" t="n">
        <v>5.25774950889504</v>
      </c>
      <c r="I1665" s="18" t="n">
        <v>5.24898535045028</v>
      </c>
      <c r="J1665" s="18" t="n">
        <v>5.24898577790685</v>
      </c>
    </row>
    <row r="1666" customFormat="false" ht="15" hidden="false" customHeight="false" outlineLevel="0" collapsed="false">
      <c r="A1666" s="28" t="n">
        <v>166119.543475703</v>
      </c>
      <c r="B1666" s="29" t="n">
        <v>6</v>
      </c>
      <c r="C1666" s="18" t="n">
        <v>5.06943061346833</v>
      </c>
      <c r="D1666" s="18" t="n">
        <v>8.27170958137668</v>
      </c>
      <c r="E1666" s="18" t="n">
        <v>5.99999999999058</v>
      </c>
      <c r="F1666" s="18" t="n">
        <v>5.99998299158146</v>
      </c>
      <c r="G1666" s="18" t="n">
        <v>5.18433124769098</v>
      </c>
      <c r="H1666" s="18" t="n">
        <v>5.13310721088433</v>
      </c>
      <c r="I1666" s="18" t="n">
        <v>5.24898535045028</v>
      </c>
      <c r="J1666" s="18" t="n">
        <v>5.24898602403636</v>
      </c>
    </row>
    <row r="1667" customFormat="false" ht="15" hidden="false" customHeight="false" outlineLevel="0" collapsed="false">
      <c r="A1667" s="28" t="n">
        <v>166219.555241793</v>
      </c>
      <c r="B1667" s="29" t="n">
        <v>6</v>
      </c>
      <c r="C1667" s="18" t="n">
        <v>4.40670507484936</v>
      </c>
      <c r="D1667" s="18" t="n">
        <v>5.20686020094057</v>
      </c>
      <c r="E1667" s="18" t="n">
        <v>5.99999999999064</v>
      </c>
      <c r="F1667" s="18" t="n">
        <v>6.00001191971546</v>
      </c>
      <c r="G1667" s="18" t="n">
        <v>5.38517948767338</v>
      </c>
      <c r="H1667" s="18" t="n">
        <v>5.26629161066537</v>
      </c>
      <c r="I1667" s="18" t="n">
        <v>5.24898535045028</v>
      </c>
      <c r="J1667" s="18" t="n">
        <v>5.24898530167404</v>
      </c>
    </row>
    <row r="1668" customFormat="false" ht="15" hidden="false" customHeight="false" outlineLevel="0" collapsed="false">
      <c r="A1668" s="28" t="n">
        <v>166319.567007883</v>
      </c>
      <c r="B1668" s="29" t="n">
        <v>6</v>
      </c>
      <c r="C1668" s="18" t="n">
        <v>4.56822608847864</v>
      </c>
      <c r="D1668" s="18" t="n">
        <v>4.9540763317364</v>
      </c>
      <c r="E1668" s="18" t="n">
        <v>5.99999999999069</v>
      </c>
      <c r="F1668" s="18" t="n">
        <v>6.00002219448127</v>
      </c>
      <c r="G1668" s="18" t="n">
        <v>5.42115447145363</v>
      </c>
      <c r="H1668" s="18" t="n">
        <v>5.29542059262681</v>
      </c>
      <c r="I1668" s="18" t="n">
        <v>5.24898535045028</v>
      </c>
      <c r="J1668" s="18" t="n">
        <v>5.24898469287008</v>
      </c>
    </row>
    <row r="1669" customFormat="false" ht="15" hidden="false" customHeight="false" outlineLevel="0" collapsed="false">
      <c r="A1669" s="28" t="n">
        <v>166419.578773973</v>
      </c>
      <c r="B1669" s="29" t="n">
        <v>6</v>
      </c>
      <c r="C1669" s="18" t="n">
        <v>5.03762168203377</v>
      </c>
      <c r="D1669" s="18" t="n">
        <v>5.19657398594861</v>
      </c>
      <c r="E1669" s="18" t="n">
        <v>5.99999999999073</v>
      </c>
      <c r="F1669" s="18" t="n">
        <v>6.00000042298395</v>
      </c>
      <c r="G1669" s="18" t="n">
        <v>5.41873730311273</v>
      </c>
      <c r="H1669" s="18" t="n">
        <v>5.29189152047301</v>
      </c>
      <c r="I1669" s="18" t="n">
        <v>5.24898535045028</v>
      </c>
      <c r="J1669" s="18" t="n">
        <v>5.24898505230205</v>
      </c>
    </row>
    <row r="1670" customFormat="false" ht="15" hidden="false" customHeight="false" outlineLevel="0" collapsed="false">
      <c r="A1670" s="28" t="n">
        <v>166519.590540064</v>
      </c>
      <c r="B1670" s="29" t="n">
        <v>6</v>
      </c>
      <c r="C1670" s="18" t="n">
        <v>8.91672953051219</v>
      </c>
      <c r="D1670" s="18" t="n">
        <v>5.81366299732292</v>
      </c>
      <c r="E1670" s="18" t="n">
        <v>5.99999999999077</v>
      </c>
      <c r="F1670" s="18" t="n">
        <v>5.99997939589479</v>
      </c>
      <c r="G1670" s="18" t="n">
        <v>4.96978085927843</v>
      </c>
      <c r="H1670" s="18" t="n">
        <v>5.27191873959183</v>
      </c>
      <c r="I1670" s="18" t="n">
        <v>5.24898535045028</v>
      </c>
      <c r="J1670" s="18" t="n">
        <v>5.24898581153406</v>
      </c>
    </row>
    <row r="1671" customFormat="false" ht="15" hidden="false" customHeight="false" outlineLevel="0" collapsed="false">
      <c r="A1671" s="28" t="n">
        <v>166619.602306154</v>
      </c>
      <c r="B1671" s="29" t="n">
        <v>6</v>
      </c>
      <c r="C1671" s="18" t="n">
        <v>8.69959699844234</v>
      </c>
      <c r="D1671" s="18" t="n">
        <v>8.21714448120396</v>
      </c>
      <c r="E1671" s="18" t="n">
        <v>5.99999999999081</v>
      </c>
      <c r="F1671" s="18" t="n">
        <v>5.99998882637003</v>
      </c>
      <c r="G1671" s="18" t="n">
        <v>4.83730337833495</v>
      </c>
      <c r="H1671" s="18" t="n">
        <v>5.14432034087221</v>
      </c>
      <c r="I1671" s="18" t="n">
        <v>5.24898535045028</v>
      </c>
      <c r="J1671" s="18" t="n">
        <v>5.24898587136932</v>
      </c>
    </row>
    <row r="1672" customFormat="false" ht="15" hidden="false" customHeight="false" outlineLevel="0" collapsed="false">
      <c r="A1672" s="28" t="n">
        <v>166719.614072244</v>
      </c>
      <c r="B1672" s="29" t="n">
        <v>6</v>
      </c>
      <c r="C1672" s="18" t="n">
        <v>4.50119435156474</v>
      </c>
      <c r="D1672" s="18" t="n">
        <v>5.49922105874812</v>
      </c>
      <c r="E1672" s="18" t="n">
        <v>5.99999999999084</v>
      </c>
      <c r="F1672" s="18" t="n">
        <v>6.00001348941944</v>
      </c>
      <c r="G1672" s="18" t="n">
        <v>5.34223571283884</v>
      </c>
      <c r="H1672" s="18" t="n">
        <v>5.23811265090186</v>
      </c>
      <c r="I1672" s="18" t="n">
        <v>5.24898535045028</v>
      </c>
      <c r="J1672" s="18" t="n">
        <v>5.24898519026285</v>
      </c>
    </row>
    <row r="1673" customFormat="false" ht="15" hidden="false" customHeight="false" outlineLevel="0" collapsed="false">
      <c r="A1673" s="28" t="n">
        <v>166819.625838334</v>
      </c>
      <c r="B1673" s="29" t="n">
        <v>6</v>
      </c>
      <c r="C1673" s="18" t="n">
        <v>4.47767864361142</v>
      </c>
      <c r="D1673" s="18" t="n">
        <v>4.92894771500069</v>
      </c>
      <c r="E1673" s="18" t="n">
        <v>5.99999999999087</v>
      </c>
      <c r="F1673" s="18" t="n">
        <v>6.00001754020079</v>
      </c>
      <c r="G1673" s="18" t="n">
        <v>5.41075190844095</v>
      </c>
      <c r="H1673" s="18" t="n">
        <v>5.29380163658267</v>
      </c>
      <c r="I1673" s="18" t="n">
        <v>5.24898535045028</v>
      </c>
      <c r="J1673" s="18" t="n">
        <v>5.24898477785814</v>
      </c>
    </row>
    <row r="1674" customFormat="false" ht="15" hidden="false" customHeight="false" outlineLevel="0" collapsed="false">
      <c r="A1674" s="28" t="n">
        <v>166919.637604424</v>
      </c>
      <c r="B1674" s="29" t="n">
        <v>6</v>
      </c>
      <c r="C1674" s="18" t="n">
        <v>4.78360786639204</v>
      </c>
      <c r="D1674" s="18" t="n">
        <v>5.1099504785644</v>
      </c>
      <c r="E1674" s="18" t="n">
        <v>5.9999999999909</v>
      </c>
      <c r="F1674" s="18" t="n">
        <v>5.99999651597588</v>
      </c>
      <c r="G1674" s="18" t="n">
        <v>5.42629863942219</v>
      </c>
      <c r="H1674" s="18" t="n">
        <v>5.29408290893897</v>
      </c>
      <c r="I1674" s="18" t="n">
        <v>5.24898535045028</v>
      </c>
      <c r="J1674" s="18" t="n">
        <v>5.24898520129211</v>
      </c>
    </row>
    <row r="1675" customFormat="false" ht="15" hidden="false" customHeight="false" outlineLevel="0" collapsed="false">
      <c r="A1675" s="28" t="n">
        <v>167019.649370514</v>
      </c>
      <c r="B1675" s="29" t="n">
        <v>6</v>
      </c>
      <c r="C1675" s="18" t="n">
        <v>8.20670953856773</v>
      </c>
      <c r="D1675" s="18" t="n">
        <v>5.56549565594858</v>
      </c>
      <c r="E1675" s="18" t="n">
        <v>5.99999999999093</v>
      </c>
      <c r="F1675" s="18" t="n">
        <v>5.9999817196189</v>
      </c>
      <c r="G1675" s="18" t="n">
        <v>5.33807828269962</v>
      </c>
      <c r="H1675" s="18" t="n">
        <v>5.28013684629785</v>
      </c>
      <c r="I1675" s="18" t="n">
        <v>5.24898535045028</v>
      </c>
      <c r="J1675" s="18" t="n">
        <v>5.2489858097103</v>
      </c>
    </row>
    <row r="1676" customFormat="false" ht="15" hidden="false" customHeight="false" outlineLevel="0" collapsed="false">
      <c r="A1676" s="28" t="n">
        <v>167119.661136604</v>
      </c>
      <c r="B1676" s="29" t="n">
        <v>6</v>
      </c>
      <c r="C1676" s="18" t="n">
        <v>9.18129601640509</v>
      </c>
      <c r="D1676" s="18" t="n">
        <v>8.03040229708585</v>
      </c>
      <c r="E1676" s="18" t="n">
        <v>5.99999999999095</v>
      </c>
      <c r="F1676" s="18" t="n">
        <v>5.99999370776084</v>
      </c>
      <c r="G1676" s="18" t="n">
        <v>4.86393419768284</v>
      </c>
      <c r="H1676" s="18" t="n">
        <v>5.16739825964543</v>
      </c>
      <c r="I1676" s="18" t="n">
        <v>5.24898535045028</v>
      </c>
      <c r="J1676" s="18" t="n">
        <v>5.24898573061837</v>
      </c>
    </row>
    <row r="1677" customFormat="false" ht="15" hidden="false" customHeight="false" outlineLevel="0" collapsed="false">
      <c r="A1677" s="28" t="n">
        <v>167219.672902694</v>
      </c>
      <c r="B1677" s="29" t="n">
        <v>6</v>
      </c>
      <c r="C1677" s="18" t="n">
        <v>4.79582409848102</v>
      </c>
      <c r="D1677" s="18" t="n">
        <v>6.3824534378737</v>
      </c>
      <c r="E1677" s="18" t="n">
        <v>5.99999999999097</v>
      </c>
      <c r="F1677" s="18" t="n">
        <v>6.000013862241</v>
      </c>
      <c r="G1677" s="18" t="n">
        <v>5.27571981059391</v>
      </c>
      <c r="H1677" s="18" t="n">
        <v>5.13348757476694</v>
      </c>
      <c r="I1677" s="18" t="n">
        <v>5.24898535045028</v>
      </c>
      <c r="J1677" s="18" t="n">
        <v>5.24898511835126</v>
      </c>
    </row>
    <row r="1678" customFormat="false" ht="15" hidden="false" customHeight="false" outlineLevel="0" collapsed="false">
      <c r="A1678" s="28" t="n">
        <v>167319.684668785</v>
      </c>
      <c r="B1678" s="29" t="n">
        <v>6</v>
      </c>
      <c r="C1678" s="18" t="n">
        <v>4.42142835603362</v>
      </c>
      <c r="D1678" s="18" t="n">
        <v>4.95029487636511</v>
      </c>
      <c r="E1678" s="18" t="n">
        <v>5.99999999999099</v>
      </c>
      <c r="F1678" s="18" t="n">
        <v>6.00001315460941</v>
      </c>
      <c r="G1678" s="18" t="n">
        <v>5.39571499577123</v>
      </c>
      <c r="H1678" s="18" t="n">
        <v>5.28673721369005</v>
      </c>
      <c r="I1678" s="18" t="n">
        <v>5.24898535045028</v>
      </c>
      <c r="J1678" s="18" t="n">
        <v>5.24898487232393</v>
      </c>
    </row>
    <row r="1679" customFormat="false" ht="15" hidden="false" customHeight="false" outlineLevel="0" collapsed="false">
      <c r="A1679" s="28" t="n">
        <v>167419.696434875</v>
      </c>
      <c r="B1679" s="29" t="n">
        <v>6</v>
      </c>
      <c r="C1679" s="18" t="n">
        <v>4.62736667328414</v>
      </c>
      <c r="D1679" s="18" t="n">
        <v>5.04863811361086</v>
      </c>
      <c r="E1679" s="18" t="n">
        <v>5.999999999991</v>
      </c>
      <c r="F1679" s="18" t="n">
        <v>5.99999387255787</v>
      </c>
      <c r="G1679" s="18" t="n">
        <v>5.42437257948829</v>
      </c>
      <c r="H1679" s="18" t="n">
        <v>5.29508560452406</v>
      </c>
      <c r="I1679" s="18" t="n">
        <v>5.24898535045028</v>
      </c>
      <c r="J1679" s="18" t="n">
        <v>5.24898531817377</v>
      </c>
    </row>
    <row r="1680" customFormat="false" ht="15" hidden="false" customHeight="false" outlineLevel="0" collapsed="false">
      <c r="A1680" s="28" t="n">
        <v>167519.708200965</v>
      </c>
      <c r="B1680" s="29" t="n">
        <v>6</v>
      </c>
      <c r="C1680" s="18" t="n">
        <v>5.25727879913664</v>
      </c>
      <c r="D1680" s="18" t="n">
        <v>5.41752150843052</v>
      </c>
      <c r="E1680" s="18" t="n">
        <v>5.99999999999102</v>
      </c>
      <c r="F1680" s="18" t="n">
        <v>5.99998445206892</v>
      </c>
      <c r="G1680" s="18" t="n">
        <v>5.40823339095296</v>
      </c>
      <c r="H1680" s="18" t="n">
        <v>5.28506920765703</v>
      </c>
      <c r="I1680" s="18" t="n">
        <v>5.24898535045028</v>
      </c>
      <c r="J1680" s="18" t="n">
        <v>5.24898578220256</v>
      </c>
    </row>
    <row r="1681" customFormat="false" ht="15" hidden="false" customHeight="false" outlineLevel="0" collapsed="false">
      <c r="A1681" s="28" t="n">
        <v>167619.719967055</v>
      </c>
      <c r="B1681" s="29" t="n">
        <v>6</v>
      </c>
      <c r="C1681" s="18" t="n">
        <v>9.04988348255268</v>
      </c>
      <c r="D1681" s="18" t="n">
        <v>7.59282982038904</v>
      </c>
      <c r="E1681" s="18" t="n">
        <v>5.99999999999103</v>
      </c>
      <c r="F1681" s="18" t="n">
        <v>5.99999761734297</v>
      </c>
      <c r="G1681" s="18" t="n">
        <v>4.92724955562134</v>
      </c>
      <c r="H1681" s="18" t="n">
        <v>5.23126386772522</v>
      </c>
      <c r="I1681" s="18" t="n">
        <v>5.24898535045028</v>
      </c>
      <c r="J1681" s="18" t="n">
        <v>5.24898560655929</v>
      </c>
    </row>
    <row r="1682" customFormat="false" ht="15" hidden="false" customHeight="false" outlineLevel="0" collapsed="false">
      <c r="A1682" s="28" t="n">
        <v>167719.731733145</v>
      </c>
      <c r="B1682" s="29" t="n">
        <v>6</v>
      </c>
      <c r="C1682" s="18" t="n">
        <v>5.82623742319181</v>
      </c>
      <c r="D1682" s="18" t="n">
        <v>8.16273952242654</v>
      </c>
      <c r="E1682" s="18" t="n">
        <v>5.99999999999104</v>
      </c>
      <c r="F1682" s="18" t="n">
        <v>6.00001334316008</v>
      </c>
      <c r="G1682" s="18" t="n">
        <v>4.85818652428235</v>
      </c>
      <c r="H1682" s="18" t="n">
        <v>5.1286080770483</v>
      </c>
      <c r="I1682" s="18" t="n">
        <v>5.24898535045028</v>
      </c>
      <c r="J1682" s="18" t="n">
        <v>5.24898507927262</v>
      </c>
    </row>
    <row r="1683" customFormat="false" ht="15" hidden="false" customHeight="false" outlineLevel="0" collapsed="false">
      <c r="A1683" s="28" t="n">
        <v>167819.743499235</v>
      </c>
      <c r="B1683" s="29" t="n">
        <v>6</v>
      </c>
      <c r="C1683" s="18" t="n">
        <v>4.41250737117093</v>
      </c>
      <c r="D1683" s="18" t="n">
        <v>5.05858941792463</v>
      </c>
      <c r="E1683" s="18" t="n">
        <v>5.99999999999105</v>
      </c>
      <c r="F1683" s="18" t="n">
        <v>6.00000921449604</v>
      </c>
      <c r="G1683" s="18" t="n">
        <v>5.36530309204314</v>
      </c>
      <c r="H1683" s="18" t="n">
        <v>5.27799172710759</v>
      </c>
      <c r="I1683" s="18" t="n">
        <v>5.24898535045028</v>
      </c>
      <c r="J1683" s="18" t="n">
        <v>5.24898496829832</v>
      </c>
    </row>
    <row r="1684" customFormat="false" ht="15" hidden="false" customHeight="false" outlineLevel="0" collapsed="false">
      <c r="A1684" s="28" t="n">
        <v>167919.755265325</v>
      </c>
      <c r="B1684" s="29" t="n">
        <v>6</v>
      </c>
      <c r="C1684" s="18" t="n">
        <v>4.51820037802821</v>
      </c>
      <c r="D1684" s="18" t="n">
        <v>4.99651390072491</v>
      </c>
      <c r="E1684" s="18" t="n">
        <v>5.99999999999106</v>
      </c>
      <c r="F1684" s="18" t="n">
        <v>5.99999229899298</v>
      </c>
      <c r="G1684" s="18" t="n">
        <v>5.4165509848219</v>
      </c>
      <c r="H1684" s="18" t="n">
        <v>5.29555389983366</v>
      </c>
      <c r="I1684" s="18" t="n">
        <v>5.24898535045028</v>
      </c>
      <c r="J1684" s="18" t="n">
        <v>5.24898540503601</v>
      </c>
    </row>
    <row r="1685" customFormat="false" ht="15" hidden="false" customHeight="false" outlineLevel="0" collapsed="false">
      <c r="A1685" s="28" t="n">
        <v>168019.767031416</v>
      </c>
      <c r="B1685" s="29" t="n">
        <v>6</v>
      </c>
      <c r="C1685" s="18" t="n">
        <v>4.892029493635</v>
      </c>
      <c r="D1685" s="18" t="n">
        <v>5.29723728321359</v>
      </c>
      <c r="E1685" s="18" t="n">
        <v>5.99999999999107</v>
      </c>
      <c r="F1685" s="18" t="n">
        <v>5.99998732607318</v>
      </c>
      <c r="G1685" s="18" t="n">
        <v>5.42413332429986</v>
      </c>
      <c r="H1685" s="18" t="n">
        <v>5.2889187784421</v>
      </c>
      <c r="I1685" s="18" t="n">
        <v>5.24898535045028</v>
      </c>
      <c r="J1685" s="18" t="n">
        <v>5.24898573757968</v>
      </c>
    </row>
    <row r="1686" customFormat="false" ht="15" hidden="false" customHeight="false" outlineLevel="0" collapsed="false">
      <c r="A1686" s="28" t="n">
        <v>168119.778797506</v>
      </c>
      <c r="B1686" s="29" t="n">
        <v>6</v>
      </c>
      <c r="C1686" s="18" t="n">
        <v>8.70064127220789</v>
      </c>
      <c r="D1686" s="18" t="n">
        <v>6.2805918984187</v>
      </c>
      <c r="E1686" s="18" t="n">
        <v>5.99999999999108</v>
      </c>
      <c r="F1686" s="18" t="n">
        <v>6.00000059712168</v>
      </c>
      <c r="G1686" s="18" t="n">
        <v>5.04240516071394</v>
      </c>
      <c r="H1686" s="18" t="n">
        <v>5.25916097524516</v>
      </c>
      <c r="I1686" s="18" t="n">
        <v>5.24898535045028</v>
      </c>
      <c r="J1686" s="18" t="n">
        <v>5.24898550171471</v>
      </c>
    </row>
    <row r="1687" customFormat="false" ht="15" hidden="false" customHeight="false" outlineLevel="0" collapsed="false">
      <c r="A1687" s="28" t="n">
        <v>168219.790563596</v>
      </c>
      <c r="B1687" s="29" t="n">
        <v>6</v>
      </c>
      <c r="C1687" s="18" t="n">
        <v>9.0321461039346</v>
      </c>
      <c r="D1687" s="18" t="n">
        <v>8.27235399612162</v>
      </c>
      <c r="E1687" s="18" t="n">
        <v>5.99999999999109</v>
      </c>
      <c r="F1687" s="18" t="n">
        <v>6.00001220487835</v>
      </c>
      <c r="G1687" s="18" t="n">
        <v>4.83923038995928</v>
      </c>
      <c r="H1687" s="18" t="n">
        <v>5.13369074380629</v>
      </c>
      <c r="I1687" s="18" t="n">
        <v>5.24898535045028</v>
      </c>
      <c r="J1687" s="18" t="n">
        <v>5.24898506630549</v>
      </c>
    </row>
    <row r="1688" customFormat="false" ht="15" hidden="false" customHeight="false" outlineLevel="0" collapsed="false">
      <c r="A1688" s="28" t="n">
        <v>168319.802329686</v>
      </c>
      <c r="B1688" s="29" t="n">
        <v>6</v>
      </c>
      <c r="C1688" s="18" t="n">
        <v>4.62294799534396</v>
      </c>
      <c r="D1688" s="18" t="n">
        <v>5.22190402761319</v>
      </c>
      <c r="E1688" s="18" t="n">
        <v>5.9999999999911</v>
      </c>
      <c r="F1688" s="18" t="n">
        <v>6.00000582306008</v>
      </c>
      <c r="G1688" s="18" t="n">
        <v>5.31413969870893</v>
      </c>
      <c r="H1688" s="18" t="n">
        <v>5.26498739446164</v>
      </c>
      <c r="I1688" s="18" t="n">
        <v>5.24898535045028</v>
      </c>
      <c r="J1688" s="18" t="n">
        <v>5.24898505989851</v>
      </c>
    </row>
    <row r="1689" customFormat="false" ht="15" hidden="false" customHeight="false" outlineLevel="0" collapsed="false">
      <c r="A1689" s="28" t="n">
        <v>168419.814095776</v>
      </c>
      <c r="B1689" s="29" t="n">
        <v>6</v>
      </c>
      <c r="C1689" s="18" t="n">
        <v>4.44550417522682</v>
      </c>
      <c r="D1689" s="18" t="n">
        <v>4.94852297706238</v>
      </c>
      <c r="E1689" s="18" t="n">
        <v>5.9999999999911</v>
      </c>
      <c r="F1689" s="18" t="n">
        <v>5.99999159336539</v>
      </c>
      <c r="G1689" s="18" t="n">
        <v>5.40383712518694</v>
      </c>
      <c r="H1689" s="18" t="n">
        <v>5.29541871207151</v>
      </c>
      <c r="I1689" s="18" t="n">
        <v>5.24898535045028</v>
      </c>
      <c r="J1689" s="18" t="n">
        <v>5.24898546510971</v>
      </c>
    </row>
    <row r="1690" customFormat="false" ht="15" hidden="false" customHeight="false" outlineLevel="0" collapsed="false">
      <c r="A1690" s="28" t="n">
        <v>168519.825861866</v>
      </c>
      <c r="B1690" s="29" t="n">
        <v>6</v>
      </c>
      <c r="C1690" s="18" t="n">
        <v>4.69780105873322</v>
      </c>
      <c r="D1690" s="18" t="n">
        <v>5.18485694097111</v>
      </c>
      <c r="E1690" s="18" t="n">
        <v>5.99999999999111</v>
      </c>
      <c r="F1690" s="18" t="n">
        <v>5.99999013921275</v>
      </c>
      <c r="G1690" s="18" t="n">
        <v>5.42619281257968</v>
      </c>
      <c r="H1690" s="18" t="n">
        <v>5.29222632134478</v>
      </c>
      <c r="I1690" s="18" t="n">
        <v>5.24898535045028</v>
      </c>
      <c r="J1690" s="18" t="n">
        <v>5.24898568305052</v>
      </c>
    </row>
    <row r="1691" customFormat="false" ht="15" hidden="false" customHeight="false" outlineLevel="0" collapsed="false">
      <c r="A1691" s="28" t="n">
        <v>168619.837627956</v>
      </c>
      <c r="B1691" s="29" t="n">
        <v>6</v>
      </c>
      <c r="C1691" s="18" t="n">
        <v>5.71411687545215</v>
      </c>
      <c r="D1691" s="18" t="n">
        <v>5.77635596906545</v>
      </c>
      <c r="E1691" s="18" t="n">
        <v>5.99999999999111</v>
      </c>
      <c r="F1691" s="18" t="n">
        <v>6.00000273065874</v>
      </c>
      <c r="G1691" s="18" t="n">
        <v>5.38798844155222</v>
      </c>
      <c r="H1691" s="18" t="n">
        <v>5.27312499146693</v>
      </c>
      <c r="I1691" s="18" t="n">
        <v>5.24898535045028</v>
      </c>
      <c r="J1691" s="18" t="n">
        <v>5.24898541682435</v>
      </c>
    </row>
    <row r="1692" customFormat="false" ht="15" hidden="false" customHeight="false" outlineLevel="0" collapsed="false">
      <c r="A1692" s="28" t="n">
        <v>168719.849394046</v>
      </c>
      <c r="B1692" s="29" t="n">
        <v>6</v>
      </c>
      <c r="C1692" s="18" t="n">
        <v>9.13729003926187</v>
      </c>
      <c r="D1692" s="18" t="n">
        <v>8.20286711487535</v>
      </c>
      <c r="E1692" s="18" t="n">
        <v>5.99999999999112</v>
      </c>
      <c r="F1692" s="18" t="n">
        <v>6.0000106810688</v>
      </c>
      <c r="G1692" s="18" t="n">
        <v>4.89327512051655</v>
      </c>
      <c r="H1692" s="18" t="n">
        <v>5.14621154084527</v>
      </c>
      <c r="I1692" s="18" t="n">
        <v>5.24898535045029</v>
      </c>
      <c r="J1692" s="18" t="n">
        <v>5.24898507307183</v>
      </c>
    </row>
    <row r="1693" customFormat="false" ht="15" hidden="false" customHeight="false" outlineLevel="0" collapsed="false">
      <c r="A1693" s="28" t="n">
        <v>168819.861160137</v>
      </c>
      <c r="B1693" s="29" t="n">
        <v>6</v>
      </c>
      <c r="C1693" s="18" t="n">
        <v>5.06943061346832</v>
      </c>
      <c r="D1693" s="18" t="n">
        <v>5.55618782528769</v>
      </c>
      <c r="E1693" s="18" t="n">
        <v>5.99999999999112</v>
      </c>
      <c r="F1693" s="18" t="n">
        <v>6.00000302408805</v>
      </c>
      <c r="G1693" s="18" t="n">
        <v>5.18433124769099</v>
      </c>
      <c r="H1693" s="18" t="n">
        <v>5.22995444367652</v>
      </c>
      <c r="I1693" s="18" t="n">
        <v>5.24898535045029</v>
      </c>
      <c r="J1693" s="18" t="n">
        <v>5.24898514309465</v>
      </c>
    </row>
    <row r="1694" customFormat="false" ht="15" hidden="false" customHeight="false" outlineLevel="0" collapsed="false">
      <c r="A1694" s="28" t="n">
        <v>168919.872926227</v>
      </c>
      <c r="B1694" s="29" t="n">
        <v>6</v>
      </c>
      <c r="C1694" s="18" t="n">
        <v>4.40670507484937</v>
      </c>
      <c r="D1694" s="18" t="n">
        <v>4.93236800275613</v>
      </c>
      <c r="E1694" s="18" t="n">
        <v>5.99999999999112</v>
      </c>
      <c r="F1694" s="18" t="n">
        <v>5.99999155932016</v>
      </c>
      <c r="G1694" s="18" t="n">
        <v>5.38517948767338</v>
      </c>
      <c r="H1694" s="18" t="n">
        <v>5.29325748399861</v>
      </c>
      <c r="I1694" s="18" t="n">
        <v>5.24898535045029</v>
      </c>
      <c r="J1694" s="18" t="n">
        <v>5.24898550227221</v>
      </c>
    </row>
    <row r="1695" customFormat="false" ht="15" hidden="false" customHeight="false" outlineLevel="0" collapsed="false">
      <c r="A1695" s="28" t="n">
        <v>169019.884692317</v>
      </c>
      <c r="B1695" s="29" t="n">
        <v>6</v>
      </c>
      <c r="C1695" s="18" t="n">
        <v>4.56822608847866</v>
      </c>
      <c r="D1695" s="18" t="n">
        <v>5.10714805510666</v>
      </c>
      <c r="E1695" s="18" t="n">
        <v>5.99999999999113</v>
      </c>
      <c r="F1695" s="18" t="n">
        <v>5.99999274771034</v>
      </c>
      <c r="G1695" s="18" t="n">
        <v>5.42115447145363</v>
      </c>
      <c r="H1695" s="18" t="n">
        <v>5.29410692709696</v>
      </c>
      <c r="I1695" s="18" t="n">
        <v>5.24898535045029</v>
      </c>
      <c r="J1695" s="18" t="n">
        <v>5.24898562442375</v>
      </c>
    </row>
    <row r="1696" customFormat="false" ht="15" hidden="false" customHeight="false" outlineLevel="0" collapsed="false">
      <c r="A1696" s="28" t="n">
        <v>169119.896458407</v>
      </c>
      <c r="B1696" s="29" t="n">
        <v>6</v>
      </c>
      <c r="C1696" s="18" t="n">
        <v>5.03762168203383</v>
      </c>
      <c r="D1696" s="18" t="n">
        <v>5.55695908954705</v>
      </c>
      <c r="E1696" s="18" t="n">
        <v>5.99999999999113</v>
      </c>
      <c r="F1696" s="18" t="n">
        <v>6.00000412698273</v>
      </c>
      <c r="G1696" s="18" t="n">
        <v>5.41873730311272</v>
      </c>
      <c r="H1696" s="18" t="n">
        <v>5.2804124602904</v>
      </c>
      <c r="I1696" s="18" t="n">
        <v>5.24898535045029</v>
      </c>
      <c r="J1696" s="18" t="n">
        <v>5.2489853512888</v>
      </c>
    </row>
    <row r="1697" customFormat="false" ht="15" hidden="false" customHeight="false" outlineLevel="0" collapsed="false">
      <c r="A1697" s="28" t="n">
        <v>169219.908224497</v>
      </c>
      <c r="B1697" s="29" t="n">
        <v>6</v>
      </c>
      <c r="C1697" s="18" t="n">
        <v>8.91672953051219</v>
      </c>
      <c r="D1697" s="18" t="n">
        <v>8.01680104531278</v>
      </c>
      <c r="E1697" s="18" t="n">
        <v>5.99999999999113</v>
      </c>
      <c r="F1697" s="18" t="n">
        <v>6.00000896369027</v>
      </c>
      <c r="G1697" s="18" t="n">
        <v>4.96978085927842</v>
      </c>
      <c r="H1697" s="18" t="n">
        <v>5.16922217146684</v>
      </c>
      <c r="I1697" s="18" t="n">
        <v>5.24898535045029</v>
      </c>
      <c r="J1697" s="18" t="n">
        <v>5.24898509380703</v>
      </c>
    </row>
    <row r="1698" customFormat="false" ht="15" hidden="false" customHeight="false" outlineLevel="0" collapsed="false">
      <c r="A1698" s="28" t="n">
        <v>169319.919990587</v>
      </c>
      <c r="B1698" s="29" t="n">
        <v>6</v>
      </c>
      <c r="C1698" s="18" t="n">
        <v>8.69959699844225</v>
      </c>
      <c r="D1698" s="18" t="n">
        <v>6.49841931872326</v>
      </c>
      <c r="E1698" s="18" t="n">
        <v>5.99999999999113</v>
      </c>
      <c r="F1698" s="18" t="n">
        <v>6.0000008156535</v>
      </c>
      <c r="G1698" s="18" t="n">
        <v>4.83730337833494</v>
      </c>
      <c r="H1698" s="18" t="n">
        <v>5.1324935582874</v>
      </c>
      <c r="I1698" s="18" t="n">
        <v>5.24898535045029</v>
      </c>
      <c r="J1698" s="18" t="n">
        <v>5.24898521543453</v>
      </c>
    </row>
    <row r="1699" customFormat="false" ht="15" hidden="false" customHeight="false" outlineLevel="0" collapsed="false">
      <c r="A1699" s="28" t="n">
        <v>169419.931756677</v>
      </c>
      <c r="B1699" s="29" t="n">
        <v>6</v>
      </c>
      <c r="C1699" s="18" t="n">
        <v>4.50119435156468</v>
      </c>
      <c r="D1699" s="18" t="n">
        <v>4.95444469588157</v>
      </c>
      <c r="E1699" s="18" t="n">
        <v>5.99999999999114</v>
      </c>
      <c r="F1699" s="18" t="n">
        <v>5.99999201574053</v>
      </c>
      <c r="G1699" s="18" t="n">
        <v>5.34223571283884</v>
      </c>
      <c r="H1699" s="18" t="n">
        <v>5.28635467534908</v>
      </c>
      <c r="I1699" s="18" t="n">
        <v>5.24898535045029</v>
      </c>
      <c r="J1699" s="18" t="n">
        <v>5.24898552065005</v>
      </c>
    </row>
    <row r="1700" customFormat="false" ht="15" hidden="false" customHeight="false" outlineLevel="0" collapsed="false">
      <c r="A1700" s="28" t="n">
        <v>169519.943522767</v>
      </c>
      <c r="B1700" s="29" t="n">
        <v>6</v>
      </c>
      <c r="C1700" s="18" t="n">
        <v>4.47767864361138</v>
      </c>
      <c r="D1700" s="18" t="n">
        <v>5.04582690657925</v>
      </c>
      <c r="E1700" s="18" t="n">
        <v>5.99999999999114</v>
      </c>
      <c r="F1700" s="18" t="n">
        <v>5.99999505864263</v>
      </c>
      <c r="G1700" s="18" t="n">
        <v>5.41075190844095</v>
      </c>
      <c r="H1700" s="18" t="n">
        <v>5.29511946324241</v>
      </c>
      <c r="I1700" s="18" t="n">
        <v>5.24898535045029</v>
      </c>
      <c r="J1700" s="18" t="n">
        <v>5.24898556615837</v>
      </c>
    </row>
    <row r="1701" customFormat="false" ht="15" hidden="false" customHeight="false" outlineLevel="0" collapsed="false">
      <c r="A1701" s="28" t="n">
        <v>169619.955288858</v>
      </c>
      <c r="B1701" s="29" t="n">
        <v>6</v>
      </c>
      <c r="C1701" s="18" t="n">
        <v>4.78360786639197</v>
      </c>
      <c r="D1701" s="18" t="n">
        <v>5.41092231014999</v>
      </c>
      <c r="E1701" s="18" t="n">
        <v>5.99999999999114</v>
      </c>
      <c r="F1701" s="18" t="n">
        <v>6.00000490743275</v>
      </c>
      <c r="G1701" s="18" t="n">
        <v>5.42629863942219</v>
      </c>
      <c r="H1701" s="18" t="n">
        <v>5.2852834336604</v>
      </c>
      <c r="I1701" s="18" t="n">
        <v>5.24898535045029</v>
      </c>
      <c r="J1701" s="18" t="n">
        <v>5.24898530356861</v>
      </c>
    </row>
    <row r="1702" customFormat="false" ht="15" hidden="false" customHeight="false" outlineLevel="0" collapsed="false">
      <c r="A1702" s="28" t="n">
        <v>169719.967054948</v>
      </c>
      <c r="B1702" s="29" t="n">
        <v>6</v>
      </c>
      <c r="C1702" s="18" t="n">
        <v>8.20670953856705</v>
      </c>
      <c r="D1702" s="18" t="n">
        <v>7.54942080296435</v>
      </c>
      <c r="E1702" s="18" t="n">
        <v>5.99999999999114</v>
      </c>
      <c r="F1702" s="18" t="n">
        <v>6.00000720341362</v>
      </c>
      <c r="G1702" s="18" t="n">
        <v>5.33807828269969</v>
      </c>
      <c r="H1702" s="18" t="n">
        <v>5.23367309127792</v>
      </c>
      <c r="I1702" s="18" t="n">
        <v>5.24898535045029</v>
      </c>
      <c r="J1702" s="18" t="n">
        <v>5.2489851235214</v>
      </c>
    </row>
    <row r="1703" customFormat="false" ht="15" hidden="false" customHeight="false" outlineLevel="0" collapsed="false">
      <c r="A1703" s="28" t="n">
        <v>169819.978821038</v>
      </c>
      <c r="B1703" s="29" t="n">
        <v>6</v>
      </c>
      <c r="C1703" s="18" t="n">
        <v>9.18129601640565</v>
      </c>
      <c r="D1703" s="18" t="n">
        <v>8.17790231277776</v>
      </c>
      <c r="E1703" s="18" t="n">
        <v>5.99999999999114</v>
      </c>
      <c r="F1703" s="18" t="n">
        <v>5.99999916268865</v>
      </c>
      <c r="G1703" s="18" t="n">
        <v>4.86393419768285</v>
      </c>
      <c r="H1703" s="18" t="n">
        <v>5.12871258450901</v>
      </c>
      <c r="I1703" s="18" t="n">
        <v>5.24898535045029</v>
      </c>
      <c r="J1703" s="18" t="n">
        <v>5.24898527575329</v>
      </c>
    </row>
    <row r="1704" customFormat="false" ht="15" hidden="false" customHeight="false" outlineLevel="0" collapsed="false">
      <c r="A1704" s="28" t="n">
        <v>169919.990587128</v>
      </c>
      <c r="B1704" s="29" t="n">
        <v>6</v>
      </c>
      <c r="C1704" s="18" t="n">
        <v>4.79582409848111</v>
      </c>
      <c r="D1704" s="18" t="n">
        <v>5.06471981059464</v>
      </c>
      <c r="E1704" s="18" t="n">
        <v>5.99999999999114</v>
      </c>
      <c r="F1704" s="18" t="n">
        <v>5.99999280291862</v>
      </c>
      <c r="G1704" s="18" t="n">
        <v>5.27571981059389</v>
      </c>
      <c r="H1704" s="18" t="n">
        <v>5.27741170180145</v>
      </c>
      <c r="I1704" s="18" t="n">
        <v>5.24898535045029</v>
      </c>
      <c r="J1704" s="18" t="n">
        <v>5.2489855243158</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H46"/>
  <sheetViews>
    <sheetView showFormulas="false" showGridLines="false" showRowColHeaders="true" showZeros="true" rightToLeft="false" tabSelected="false" showOutlineSymbols="true" defaultGridColor="true" view="normal" topLeftCell="A1" colorId="64" zoomScale="82" zoomScaleNormal="82" zoomScalePageLayoutView="100" workbookViewId="0">
      <pane xSplit="0" ySplit="4" topLeftCell="A30"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4"/>
    <col collapsed="false" customWidth="true" hidden="false" outlineLevel="0" max="5" min="2" style="0" width="20"/>
    <col collapsed="false" customWidth="true" hidden="false" outlineLevel="0" max="6" min="6" style="0" width="62"/>
    <col collapsed="false" customWidth="true" hidden="false" outlineLevel="0" max="7" min="7" style="0" width="45.67"/>
    <col collapsed="false" customWidth="true" hidden="false" outlineLevel="0" max="8" min="8" style="0" width="62"/>
  </cols>
  <sheetData>
    <row r="1" customFormat="false" ht="25.5" hidden="false" customHeight="true" outlineLevel="0" collapsed="false">
      <c r="A1" s="1" t="s">
        <v>322</v>
      </c>
      <c r="B1" s="1"/>
      <c r="C1" s="1"/>
      <c r="D1" s="1"/>
      <c r="E1" s="1"/>
      <c r="F1" s="1"/>
      <c r="G1" s="1"/>
      <c r="H1" s="1"/>
    </row>
    <row r="2" customFormat="false" ht="15.75" hidden="false" customHeight="true" outlineLevel="0" collapsed="false">
      <c r="A2" s="2" t="s">
        <v>323</v>
      </c>
      <c r="B2" s="2"/>
      <c r="C2" s="2"/>
      <c r="D2" s="2"/>
      <c r="E2" s="2"/>
      <c r="F2" s="2"/>
      <c r="G2" s="2"/>
      <c r="H2" s="2"/>
    </row>
    <row r="4" customFormat="false" ht="18" hidden="false" customHeight="true" outlineLevel="0" collapsed="false">
      <c r="A4" s="3" t="s">
        <v>324</v>
      </c>
      <c r="B4" s="3"/>
      <c r="C4" s="3"/>
      <c r="D4" s="3"/>
      <c r="E4" s="3"/>
      <c r="F4" s="3"/>
      <c r="G4" s="3"/>
      <c r="H4" s="3"/>
    </row>
    <row r="5" customFormat="false" ht="30" hidden="false" customHeight="true" outlineLevel="0" collapsed="false">
      <c r="A5" s="4" t="s">
        <v>205</v>
      </c>
      <c r="B5" s="4" t="s">
        <v>325</v>
      </c>
      <c r="C5" s="4" t="s">
        <v>326</v>
      </c>
      <c r="D5" s="4" t="s">
        <v>327</v>
      </c>
      <c r="E5" s="4" t="s">
        <v>328</v>
      </c>
      <c r="F5" s="4" t="s">
        <v>329</v>
      </c>
      <c r="G5" s="4" t="s">
        <v>330</v>
      </c>
      <c r="H5" s="4"/>
    </row>
    <row r="6" customFormat="false" ht="27.75" hidden="false" customHeight="true" outlineLevel="0" collapsed="false">
      <c r="A6" s="5" t="s">
        <v>211</v>
      </c>
      <c r="B6" s="69" t="n">
        <f aca="false">08_Metrics_Summary!H6</f>
        <v>4</v>
      </c>
      <c r="C6" s="69" t="n">
        <f aca="false">08_Metrics_Summary!G13</f>
        <v>4</v>
      </c>
      <c r="D6" s="77" t="n">
        <f aca="false">09_Margins!C22</f>
        <v>7.591</v>
      </c>
      <c r="E6" s="78" t="n">
        <f aca="false">10_Robust_Summary!B40</f>
        <v>0.0706536929842134</v>
      </c>
      <c r="F6" s="22" t="n">
        <f aca="false">MAX(10_Robust_Summary!$C$6,10_Robust_Summary!$C$10,10_Robust_Summary!$C$14,10_Robust_Summary!$C$18,10_Robust_Summary!$C$22,10_Robust_Summary!$C$26)</f>
        <v>80903.498</v>
      </c>
      <c r="G6" s="79" t="str">
        <f aca="false">IF(D6&lt;30,"Thin stability margin — every performance claim needs a caveat",IF(AND(B6&lt;=2,E6&gt;0.25),"Best performance, but the most mismatch-sensitive — argue in absolute IAE, not %",IF(B6&lt;=2,"Good performance and well-behaved under mismatch","Stable but slow")))</f>
        <v>Thin stability margin — every performance claim needs a caveat</v>
      </c>
      <c r="H6" s="12"/>
    </row>
    <row r="7" customFormat="false" ht="15" hidden="false" customHeight="false" outlineLevel="0" collapsed="false">
      <c r="A7" s="5" t="s">
        <v>213</v>
      </c>
      <c r="B7" s="69" t="n">
        <f aca="false">08_Metrics_Summary!H7</f>
        <v>3</v>
      </c>
      <c r="C7" s="69" t="n">
        <f aca="false">08_Metrics_Summary!G14</f>
        <v>3</v>
      </c>
      <c r="D7" s="77" t="n">
        <f aca="false">09_Margins!C23</f>
        <v>51.54</v>
      </c>
      <c r="E7" s="78" t="n">
        <f aca="false">10_Robust_Summary!C40</f>
        <v>0.0900486458368414</v>
      </c>
      <c r="F7" s="22" t="n">
        <f aca="false">MAX(10_Robust_Summary!$C$7,10_Robust_Summary!$C$11,10_Robust_Summary!$C$15,10_Robust_Summary!$C$19,10_Robust_Summary!$C$23,10_Robust_Summary!$C$27)</f>
        <v>59304.028</v>
      </c>
      <c r="G7" s="79" t="str">
        <f aca="false">IF(D7&lt;30,"Thin stability margin — every performance claim needs a caveat",IF(AND(B7&lt;=2,E7&gt;0.25),"Best performance, but the most mismatch-sensitive — argue in absolute IAE, not %",IF(B7&lt;=2,"Good performance and well-behaved under mismatch","Stable but slow")))</f>
        <v>Stable but slow</v>
      </c>
      <c r="H7" s="12"/>
    </row>
    <row r="8" customFormat="false" ht="30" hidden="false" customHeight="true" outlineLevel="0" collapsed="false">
      <c r="A8" s="5" t="s">
        <v>215</v>
      </c>
      <c r="B8" s="69" t="n">
        <f aca="false">08_Metrics_Summary!H8</f>
        <v>1</v>
      </c>
      <c r="C8" s="69" t="n">
        <f aca="false">08_Metrics_Summary!G15</f>
        <v>1</v>
      </c>
      <c r="D8" s="77" t="n">
        <f aca="false">09_Margins!C24</f>
        <v>87.686</v>
      </c>
      <c r="E8" s="78" t="n">
        <f aca="false">10_Robust_Summary!D40</f>
        <v>0.365417601647181</v>
      </c>
      <c r="F8" s="22" t="n">
        <f aca="false">MAX(10_Robust_Summary!$C$8,10_Robust_Summary!$C$12,10_Robust_Summary!$C$16,10_Robust_Summary!$C$20,10_Robust_Summary!$C$24,10_Robust_Summary!$C$28)</f>
        <v>23874.794</v>
      </c>
      <c r="G8" s="79" t="str">
        <f aca="false">IF(D8&lt;30,"Thin stability margin — every performance claim needs a caveat",IF(AND(B8&lt;=2,E8&gt;0.25),"Best performance, but the most mismatch-sensitive — argue in absolute IAE, not %",IF(B8&lt;=2,"Good performance and well-behaved under mismatch","Stable but slow")))</f>
        <v>Best performance, but the most mismatch-sensitive — argue in absolute IAE, not %</v>
      </c>
      <c r="H8" s="12"/>
    </row>
    <row r="9" customFormat="false" ht="30" hidden="false" customHeight="true" outlineLevel="0" collapsed="false">
      <c r="A9" s="5" t="s">
        <v>217</v>
      </c>
      <c r="B9" s="69" t="n">
        <f aca="false">08_Metrics_Summary!H9</f>
        <v>2</v>
      </c>
      <c r="C9" s="69" t="n">
        <f aca="false">08_Metrics_Summary!G16</f>
        <v>2</v>
      </c>
      <c r="D9" s="77" t="n">
        <f aca="false">09_Margins!C25</f>
        <v>45.126</v>
      </c>
      <c r="E9" s="78" t="n">
        <f aca="false">10_Robust_Summary!E40</f>
        <v>0.158587197829478</v>
      </c>
      <c r="F9" s="22" t="n">
        <f aca="false">MAX(10_Robust_Summary!$C$9,10_Robust_Summary!$C$13,10_Robust_Summary!$C$17,10_Robust_Summary!$C$21,10_Robust_Summary!$C$25,10_Robust_Summary!$C$29)</f>
        <v>42851.534</v>
      </c>
      <c r="G9" s="79" t="str">
        <f aca="false">IF(D9&lt;30,"Thin stability margin — every performance claim needs a caveat",IF(AND(B9&lt;=2,E9&gt;0.25),"Best performance, but the most mismatch-sensitive — argue in absolute IAE, not %",IF(B9&lt;=2,"Good performance and well-behaved under mismatch","Stable but slow")))</f>
        <v>Good performance and well-behaved under mismatch</v>
      </c>
      <c r="H9" s="12"/>
    </row>
    <row r="10" customFormat="false" ht="15" hidden="false" customHeight="false" outlineLevel="0" collapsed="false">
      <c r="A10" s="49" t="s">
        <v>331</v>
      </c>
      <c r="B10" s="80" t="n">
        <f aca="false">MIN(B6:B9)</f>
        <v>1</v>
      </c>
      <c r="C10" s="80" t="n">
        <f aca="false">MIN(C6:C9)</f>
        <v>1</v>
      </c>
      <c r="D10" s="81" t="n">
        <f aca="false">MAX(D6:D9)</f>
        <v>87.686</v>
      </c>
      <c r="E10" s="74" t="n">
        <f aca="false">MIN(E6:E9)</f>
        <v>0.0706536929842134</v>
      </c>
      <c r="F10" s="82" t="n">
        <f aca="false">MIN(F6:F9)</f>
        <v>23874.794</v>
      </c>
      <c r="G10" s="75" t="s">
        <v>332</v>
      </c>
      <c r="H10" s="53"/>
    </row>
    <row r="12" customFormat="false" ht="45.75" hidden="false" customHeight="true" outlineLevel="0" collapsed="false">
      <c r="A12" s="46" t="s">
        <v>333</v>
      </c>
      <c r="B12" s="46"/>
      <c r="C12" s="46"/>
      <c r="D12" s="46"/>
      <c r="E12" s="46"/>
      <c r="F12" s="46"/>
      <c r="G12" s="46"/>
      <c r="H12" s="46"/>
    </row>
    <row r="14" customFormat="false" ht="18" hidden="false" customHeight="true" outlineLevel="0" collapsed="false">
      <c r="A14" s="3" t="s">
        <v>334</v>
      </c>
      <c r="B14" s="3"/>
      <c r="C14" s="3"/>
      <c r="D14" s="3"/>
      <c r="E14" s="3"/>
      <c r="F14" s="3"/>
      <c r="G14" s="3"/>
      <c r="H14" s="3"/>
    </row>
    <row r="15" customFormat="false" ht="30" hidden="false" customHeight="true" outlineLevel="0" collapsed="false">
      <c r="A15" s="4" t="s">
        <v>205</v>
      </c>
      <c r="B15" s="4" t="s">
        <v>335</v>
      </c>
      <c r="C15" s="4" t="s">
        <v>336</v>
      </c>
      <c r="D15" s="4" t="s">
        <v>337</v>
      </c>
      <c r="E15" s="4" t="s">
        <v>338</v>
      </c>
      <c r="F15" s="4" t="s">
        <v>339</v>
      </c>
      <c r="G15" s="4"/>
      <c r="H15" s="4"/>
    </row>
    <row r="16" customFormat="false" ht="27.75" hidden="false" customHeight="true" outlineLevel="0" collapsed="false">
      <c r="A16" s="5" t="s">
        <v>211</v>
      </c>
      <c r="B16" s="70" t="n">
        <f aca="false">D16-C16</f>
        <v>4.77459094155631</v>
      </c>
      <c r="C16" s="42" t="n">
        <f aca="false">MIN(12_Traces!C1305:C1704)</f>
        <v>4.40670507484934</v>
      </c>
      <c r="D16" s="42" t="n">
        <f aca="false">MAX(12_Traces!C1305:C1704)</f>
        <v>9.18129601640565</v>
      </c>
      <c r="E16" s="28" t="n">
        <v>540.333838957206</v>
      </c>
      <c r="F16" s="79" t="str">
        <f aca="false">IF(AND(ISNUMBER(E16),B16&gt;1),"LIMIT CYCLING — error integrals measure cycle amplitude, not tracking error",IF(ISNUMBER(E16),"Residual oscillation — small but sustained","Settled — no sustained cycle"))</f>
        <v>LIMIT CYCLING — error integrals measure cycle amplitude, not tracking error</v>
      </c>
      <c r="G16" s="12"/>
      <c r="H16" s="12"/>
    </row>
    <row r="17" customFormat="false" ht="27.75" hidden="false" customHeight="true" outlineLevel="0" collapsed="false">
      <c r="A17" s="5" t="s">
        <v>213</v>
      </c>
      <c r="B17" s="70" t="n">
        <f aca="false">D17-C17</f>
        <v>3.35043615900474</v>
      </c>
      <c r="C17" s="42" t="n">
        <f aca="false">MIN(12_Traces!D1305:D1704)</f>
        <v>4.92194426463296</v>
      </c>
      <c r="D17" s="42" t="n">
        <f aca="false">MAX(12_Traces!D1305:D1704)</f>
        <v>8.2723804236377</v>
      </c>
      <c r="E17" s="28" t="n">
        <v>526.114527405701</v>
      </c>
      <c r="F17" s="79" t="str">
        <f aca="false">IF(AND(ISNUMBER(E17),B17&gt;1),"LIMIT CYCLING — error integrals measure cycle amplitude, not tracking error",IF(ISNUMBER(E17),"Residual oscillation — small but sustained","Settled — no sustained cycle"))</f>
        <v>LIMIT CYCLING — error integrals measure cycle amplitude, not tracking error</v>
      </c>
      <c r="G17" s="12"/>
      <c r="H17" s="12"/>
    </row>
    <row r="18" customFormat="false" ht="27.75" hidden="false" customHeight="true" outlineLevel="0" collapsed="false">
      <c r="A18" s="5" t="s">
        <v>215</v>
      </c>
      <c r="B18" s="70" t="n">
        <f aca="false">D18-C18</f>
        <v>0.185364962778721</v>
      </c>
      <c r="C18" s="42" t="n">
        <f aca="false">MIN(12_Traces!E1305:E1704)</f>
        <v>5.81463503721242</v>
      </c>
      <c r="D18" s="42" t="n">
        <f aca="false">MAX(12_Traces!E1305:E1704)</f>
        <v>5.99999999999114</v>
      </c>
      <c r="E18" s="65" t="s">
        <v>340</v>
      </c>
      <c r="F18" s="79" t="str">
        <f aca="false">IF(AND(ISNUMBER(E18),B18&gt;1),"LIMIT CYCLING — error integrals measure cycle amplitude, not tracking error",IF(ISNUMBER(E18),"Residual oscillation — small but sustained","Settled — no sustained cycle"))</f>
        <v>Settled — no sustained cycle</v>
      </c>
      <c r="G18" s="12"/>
      <c r="H18" s="12"/>
    </row>
    <row r="19" customFormat="false" ht="27.75" hidden="false" customHeight="true" outlineLevel="0" collapsed="false">
      <c r="A19" s="5" t="s">
        <v>217</v>
      </c>
      <c r="B19" s="70" t="n">
        <f aca="false">D19-C19</f>
        <v>1.35722733905746</v>
      </c>
      <c r="C19" s="42" t="n">
        <f aca="false">MIN(12_Traces!F1305:F1704)</f>
        <v>5.51675182744116</v>
      </c>
      <c r="D19" s="42" t="n">
        <f aca="false">MAX(12_Traces!F1305:F1704)</f>
        <v>6.87397916649862</v>
      </c>
      <c r="E19" s="28" t="n">
        <v>833.01466839236</v>
      </c>
      <c r="F19" s="79" t="str">
        <f aca="false">IF(AND(ISNUMBER(E19),B19&gt;1),"LIMIT CYCLING — error integrals measure cycle amplitude, not tracking error",IF(ISNUMBER(E19),"Residual oscillation — small but sustained","Settled — no sustained cycle"))</f>
        <v>LIMIT CYCLING — error integrals measure cycle amplitude, not tracking error</v>
      </c>
      <c r="G19" s="12"/>
      <c r="H19" s="12"/>
    </row>
    <row r="20" customFormat="false" ht="39.75" hidden="false" customHeight="true" outlineLevel="0" collapsed="false">
      <c r="A20" s="83" t="s">
        <v>341</v>
      </c>
      <c r="B20" s="83"/>
      <c r="C20" s="83"/>
      <c r="D20" s="83"/>
      <c r="E20" s="83"/>
      <c r="F20" s="83"/>
      <c r="G20" s="83"/>
      <c r="H20" s="83"/>
    </row>
    <row r="21" customFormat="false" ht="15" hidden="false" customHeight="false" outlineLevel="0" collapsed="false">
      <c r="A21" s="83"/>
      <c r="B21" s="83"/>
      <c r="C21" s="83"/>
      <c r="D21" s="83"/>
      <c r="E21" s="83"/>
      <c r="F21" s="83"/>
      <c r="G21" s="83"/>
      <c r="H21" s="83"/>
    </row>
    <row r="23" customFormat="false" ht="18" hidden="false" customHeight="true" outlineLevel="0" collapsed="false">
      <c r="A23" s="3" t="s">
        <v>342</v>
      </c>
      <c r="B23" s="3"/>
      <c r="C23" s="3"/>
      <c r="D23" s="3"/>
      <c r="E23" s="3"/>
      <c r="F23" s="3"/>
      <c r="G23" s="3"/>
      <c r="H23" s="3"/>
    </row>
    <row r="24" customFormat="false" ht="30" hidden="false" customHeight="true" outlineLevel="0" collapsed="false">
      <c r="A24" s="4" t="s">
        <v>343</v>
      </c>
      <c r="B24" s="4" t="s">
        <v>344</v>
      </c>
      <c r="C24" s="4" t="s">
        <v>331</v>
      </c>
      <c r="D24" s="4" t="s">
        <v>345</v>
      </c>
      <c r="E24" s="4" t="s">
        <v>346</v>
      </c>
      <c r="F24" s="4" t="s">
        <v>347</v>
      </c>
    </row>
    <row r="25" customFormat="false" ht="15" hidden="false" customHeight="false" outlineLevel="0" collapsed="false">
      <c r="A25" s="5" t="s">
        <v>348</v>
      </c>
      <c r="B25" s="13" t="str">
        <f aca="false">INDEX(08_Metrics_Summary!$A$6:$A$9,MATCH(MIN(08_Metrics_Summary!$B$6:$B$9),08_Metrics_Summary!$B$6:$B$9,0))</f>
        <v>IMC-scheduled PID</v>
      </c>
      <c r="C25" s="22" t="n">
        <f aca="false">MIN(08_Metrics_Summary!$B$6:$B$9)</f>
        <v>12424.947</v>
      </c>
      <c r="D25" s="13" t="str">
        <f aca="false">INDEX(08_Metrics_Summary!$A$6:$A$9,MATCH(MAX(08_Metrics_Summary!$B$6:$B$9),08_Metrics_Summary!$B$6:$B$9,0))</f>
        <v>Conventional PI</v>
      </c>
      <c r="E25" s="22" t="n">
        <f aca="false">MAX(08_Metrics_Summary!$B$6:$B$9)</f>
        <v>70127.7125</v>
      </c>
      <c r="F25" s="33" t="str">
        <f aca="false">IF(C25=0,"n/a",TEXT(MAX(C25,E25)/MIN(C25,E25),"0.0")&amp;"x")</f>
        <v>5.6x</v>
      </c>
    </row>
    <row r="26" customFormat="false" ht="15" hidden="false" customHeight="false" outlineLevel="0" collapsed="false">
      <c r="A26" s="5" t="s">
        <v>349</v>
      </c>
      <c r="B26" s="13" t="str">
        <f aca="false">INDEX(08_Metrics_Summary!$A$13:$A$16,MATCH(MIN(08_Metrics_Summary!$B$13:$B$16),08_Metrics_Summary!$B$13:$B$16,0))</f>
        <v>IMC-scheduled PID</v>
      </c>
      <c r="C26" s="22" t="n">
        <f aca="false">MIN(08_Metrics_Summary!$B$13:$B$16)</f>
        <v>11680.546</v>
      </c>
      <c r="D26" s="13" t="str">
        <f aca="false">INDEX(08_Metrics_Summary!$A$13:$A$16,MATCH(MAX(08_Metrics_Summary!$B$13:$B$16),08_Metrics_Summary!$B$13:$B$16,0))</f>
        <v>Conventional PI</v>
      </c>
      <c r="E26" s="22" t="n">
        <f aca="false">MAX(08_Metrics_Summary!$B$13:$B$16)</f>
        <v>65312.3273333333</v>
      </c>
      <c r="F26" s="33" t="str">
        <f aca="false">IF(C26=0,"n/a",TEXT(MAX(C26,E26)/MIN(C26,E26),"0.0")&amp;"x")</f>
        <v>5.6x</v>
      </c>
    </row>
    <row r="27" customFormat="false" ht="15" hidden="false" customHeight="false" outlineLevel="0" collapsed="false">
      <c r="A27" s="5" t="s">
        <v>272</v>
      </c>
      <c r="B27" s="13" t="str">
        <f aca="false">INDEX(08_Metrics_Summary!$A$6:$A$9,MATCH(MIN(08_Metrics_Summary!$D$6:$D$9),08_Metrics_Summary!$D$6:$D$9,0))</f>
        <v>IMC-scheduled PID</v>
      </c>
      <c r="C27" s="84" t="n">
        <f aca="false">MIN(08_Metrics_Summary!$D$6:$D$9)</f>
        <v>209674115.0405</v>
      </c>
      <c r="D27" s="13" t="str">
        <f aca="false">INDEX(08_Metrics_Summary!$A$6:$A$9,MATCH(MAX(08_Metrics_Summary!$D$6:$D$9),08_Metrics_Summary!$D$6:$D$9,0))</f>
        <v>Conventional PI</v>
      </c>
      <c r="E27" s="84" t="n">
        <f aca="false">MAX(08_Metrics_Summary!$D$6:$D$9)</f>
        <v>2078383680.114</v>
      </c>
      <c r="F27" s="33" t="str">
        <f aca="false">IF(C27=0,"n/a",TEXT(MAX(C27,E27)/MIN(C27,E27),"0.0")&amp;"x")</f>
        <v>9.9x</v>
      </c>
    </row>
    <row r="28" customFormat="false" ht="15" hidden="false" customHeight="false" outlineLevel="0" collapsed="false">
      <c r="A28" s="5" t="s">
        <v>273</v>
      </c>
      <c r="B28" s="13" t="str">
        <f aca="false">INDEX(08_Metrics_Summary!$A$6:$A$9,MATCH(MIN(08_Metrics_Summary!$E$6:$E$9),08_Metrics_Summary!$E$6:$E$9,0))</f>
        <v>IMC-scheduled PID</v>
      </c>
      <c r="C28" s="21" t="n">
        <f aca="false">MIN(08_Metrics_Summary!$E$6:$E$9)</f>
        <v>1.22025</v>
      </c>
      <c r="D28" s="13" t="str">
        <f aca="false">INDEX(08_Metrics_Summary!$A$6:$A$9,MATCH(MAX(08_Metrics_Summary!$E$6:$E$9),08_Metrics_Summary!$E$6:$E$9,0))</f>
        <v>Conventional PI</v>
      </c>
      <c r="E28" s="21" t="n">
        <f aca="false">MAX(08_Metrics_Summary!$E$6:$E$9)</f>
        <v>1.66625</v>
      </c>
      <c r="F28" s="33" t="str">
        <f aca="false">IF(C28=0,"n/a",TEXT(MAX(C28,E28)/MIN(C28,E28),"0.0")&amp;"x")</f>
        <v>1.4x</v>
      </c>
    </row>
    <row r="29" customFormat="false" ht="15" hidden="false" customHeight="false" outlineLevel="0" collapsed="false">
      <c r="A29" s="5" t="s">
        <v>350</v>
      </c>
      <c r="B29" s="13" t="str">
        <f aca="false">INDEX(09_Margins!$A$22:$A$25,MATCH(MAX(09_Margins!$C$22:$C$25),09_Margins!$C$22:$C$25,0))</f>
        <v>IMC-scheduled PID</v>
      </c>
      <c r="C29" s="73" t="n">
        <f aca="false">MAX(09_Margins!$C$22:$C$25)</f>
        <v>87.686</v>
      </c>
      <c r="D29" s="13" t="str">
        <f aca="false">INDEX(09_Margins!$A$22:$A$25,MATCH(MIN(09_Margins!$C$22:$C$25),09_Margins!$C$22:$C$25,0))</f>
        <v>Conventional PI</v>
      </c>
      <c r="E29" s="73" t="n">
        <f aca="false">MIN(09_Margins!$C$22:$C$25)</f>
        <v>7.591</v>
      </c>
      <c r="F29" s="33" t="str">
        <f aca="false">IF(C29=0,"n/a",TEXT(MAX(C29,E29)/MIN(C29,E29),"0.0")&amp;"x")</f>
        <v>11.6x</v>
      </c>
    </row>
    <row r="31" customFormat="false" ht="18" hidden="false" customHeight="true" outlineLevel="0" collapsed="false">
      <c r="A31" s="3" t="s">
        <v>351</v>
      </c>
      <c r="B31" s="3"/>
      <c r="C31" s="3"/>
      <c r="D31" s="3"/>
      <c r="E31" s="3"/>
      <c r="F31" s="3"/>
      <c r="G31" s="3"/>
      <c r="H31" s="3"/>
    </row>
    <row r="32" customFormat="false" ht="30" hidden="false" customHeight="true" outlineLevel="0" collapsed="false">
      <c r="A32" s="4" t="s">
        <v>352</v>
      </c>
      <c r="B32" s="4" t="s">
        <v>353</v>
      </c>
      <c r="C32" s="4"/>
      <c r="D32" s="4"/>
      <c r="E32" s="4"/>
      <c r="F32" s="4" t="s">
        <v>354</v>
      </c>
    </row>
    <row r="33" customFormat="false" ht="45.75" hidden="false" customHeight="true" outlineLevel="0" collapsed="false">
      <c r="A33" s="85" t="s">
        <v>355</v>
      </c>
      <c r="B33" s="16" t="s">
        <v>356</v>
      </c>
      <c r="C33" s="16"/>
      <c r="D33" s="16"/>
      <c r="E33" s="16"/>
      <c r="F33" s="86" t="s">
        <v>357</v>
      </c>
    </row>
    <row r="34" customFormat="false" ht="45.75" hidden="false" customHeight="true" outlineLevel="0" collapsed="false">
      <c r="A34" s="85" t="s">
        <v>358</v>
      </c>
      <c r="B34" s="16" t="s">
        <v>359</v>
      </c>
      <c r="C34" s="16"/>
      <c r="D34" s="16"/>
      <c r="E34" s="16"/>
      <c r="F34" s="86" t="s">
        <v>360</v>
      </c>
    </row>
    <row r="35" customFormat="false" ht="45.75" hidden="false" customHeight="true" outlineLevel="0" collapsed="false">
      <c r="A35" s="85" t="s">
        <v>361</v>
      </c>
      <c r="B35" s="16" t="s">
        <v>362</v>
      </c>
      <c r="C35" s="16"/>
      <c r="D35" s="16"/>
      <c r="E35" s="16"/>
      <c r="F35" s="86" t="s">
        <v>363</v>
      </c>
    </row>
    <row r="36" customFormat="false" ht="45.75" hidden="false" customHeight="true" outlineLevel="0" collapsed="false">
      <c r="A36" s="85" t="s">
        <v>364</v>
      </c>
      <c r="B36" s="16" t="s">
        <v>365</v>
      </c>
      <c r="C36" s="16"/>
      <c r="D36" s="16"/>
      <c r="E36" s="16"/>
      <c r="F36" s="86" t="s">
        <v>366</v>
      </c>
    </row>
    <row r="37" customFormat="false" ht="45.75" hidden="false" customHeight="true" outlineLevel="0" collapsed="false">
      <c r="A37" s="85" t="s">
        <v>367</v>
      </c>
      <c r="B37" s="16" t="s">
        <v>368</v>
      </c>
      <c r="C37" s="16"/>
      <c r="D37" s="16"/>
      <c r="E37" s="16"/>
      <c r="F37" s="86" t="s">
        <v>369</v>
      </c>
    </row>
    <row r="38" customFormat="false" ht="45.75" hidden="false" customHeight="true" outlineLevel="0" collapsed="false">
      <c r="A38" s="85" t="s">
        <v>370</v>
      </c>
      <c r="B38" s="16" t="s">
        <v>371</v>
      </c>
      <c r="C38" s="16"/>
      <c r="D38" s="16"/>
      <c r="E38" s="16"/>
      <c r="F38" s="86" t="s">
        <v>372</v>
      </c>
    </row>
    <row r="39" customFormat="false" ht="45.75" hidden="false" customHeight="true" outlineLevel="0" collapsed="false">
      <c r="A39" s="85" t="s">
        <v>373</v>
      </c>
      <c r="B39" s="16" t="s">
        <v>374</v>
      </c>
      <c r="C39" s="16"/>
      <c r="D39" s="16"/>
      <c r="E39" s="16"/>
      <c r="F39" s="86" t="s">
        <v>375</v>
      </c>
    </row>
    <row r="41" customFormat="false" ht="18" hidden="false" customHeight="true" outlineLevel="0" collapsed="false">
      <c r="A41" s="3" t="s">
        <v>376</v>
      </c>
      <c r="B41" s="3"/>
      <c r="C41" s="3"/>
      <c r="D41" s="3"/>
      <c r="E41" s="3"/>
      <c r="F41" s="3"/>
      <c r="G41" s="3"/>
      <c r="H41" s="3"/>
    </row>
    <row r="42" customFormat="false" ht="33.75" hidden="false" customHeight="true" outlineLevel="0" collapsed="false">
      <c r="A42" s="16" t="s">
        <v>377</v>
      </c>
      <c r="B42" s="16"/>
      <c r="C42" s="16"/>
      <c r="D42" s="16"/>
      <c r="E42" s="16"/>
      <c r="F42" s="16"/>
    </row>
    <row r="43" customFormat="false" ht="33.75" hidden="false" customHeight="true" outlineLevel="0" collapsed="false">
      <c r="A43" s="16" t="s">
        <v>378</v>
      </c>
      <c r="B43" s="16"/>
      <c r="C43" s="16"/>
      <c r="D43" s="16"/>
      <c r="E43" s="16"/>
      <c r="F43" s="16"/>
    </row>
    <row r="44" customFormat="false" ht="33.75" hidden="false" customHeight="true" outlineLevel="0" collapsed="false">
      <c r="A44" s="16" t="s">
        <v>379</v>
      </c>
      <c r="B44" s="16"/>
      <c r="C44" s="16"/>
      <c r="D44" s="16"/>
      <c r="E44" s="16"/>
      <c r="F44" s="16"/>
    </row>
    <row r="45" customFormat="false" ht="33.75" hidden="false" customHeight="true" outlineLevel="0" collapsed="false">
      <c r="A45" s="16" t="s">
        <v>380</v>
      </c>
      <c r="B45" s="16"/>
      <c r="C45" s="16"/>
      <c r="D45" s="16"/>
      <c r="E45" s="16"/>
      <c r="F45" s="16"/>
    </row>
    <row r="46" customFormat="false" ht="33.75" hidden="false" customHeight="true" outlineLevel="0" collapsed="false">
      <c r="A46" s="16" t="s">
        <v>381</v>
      </c>
      <c r="B46" s="16"/>
      <c r="C46" s="16"/>
      <c r="D46" s="16"/>
      <c r="E46" s="16"/>
      <c r="F46" s="16"/>
    </row>
  </sheetData>
  <mergeCells count="21">
    <mergeCell ref="A1:H1"/>
    <mergeCell ref="A2:H2"/>
    <mergeCell ref="A4:H4"/>
    <mergeCell ref="A12:H12"/>
    <mergeCell ref="A14:H14"/>
    <mergeCell ref="A20:H21"/>
    <mergeCell ref="A23:H23"/>
    <mergeCell ref="A31:H31"/>
    <mergeCell ref="B33:E33"/>
    <mergeCell ref="B34:E34"/>
    <mergeCell ref="B35:E35"/>
    <mergeCell ref="B36:E36"/>
    <mergeCell ref="B37:E37"/>
    <mergeCell ref="B38:E38"/>
    <mergeCell ref="B39:E39"/>
    <mergeCell ref="A41:H41"/>
    <mergeCell ref="A42:F42"/>
    <mergeCell ref="A43:F43"/>
    <mergeCell ref="A44:F44"/>
    <mergeCell ref="A45:F45"/>
    <mergeCell ref="A46: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L2"/>
  <sheetViews>
    <sheetView showFormulas="false" showGridLines="false" showRowColHeaders="true" showZeros="true" rightToLeft="false" tabSelected="true" showOutlineSymbols="true" defaultGridColor="true" view="normal" topLeftCell="X8" colorId="64" zoomScale="216" zoomScaleNormal="216" zoomScalePageLayoutView="100" workbookViewId="0">
      <selection pane="topLeft" activeCell="AB19" activeCellId="0" sqref="AB19"/>
    </sheetView>
  </sheetViews>
  <sheetFormatPr defaultColWidth="8.66796875" defaultRowHeight="15" zeroHeight="false" outlineLevelRow="0" outlineLevelCol="0"/>
  <sheetData>
    <row r="1" customFormat="false" ht="25.5" hidden="false" customHeight="true" outlineLevel="0" collapsed="false">
      <c r="A1" s="1" t="s">
        <v>46</v>
      </c>
      <c r="B1" s="1"/>
      <c r="C1" s="1"/>
      <c r="D1" s="1"/>
      <c r="E1" s="1"/>
      <c r="F1" s="1"/>
      <c r="G1" s="1"/>
      <c r="H1" s="1"/>
      <c r="I1" s="1"/>
      <c r="J1" s="1"/>
      <c r="K1" s="1"/>
      <c r="L1" s="1"/>
    </row>
    <row r="2" customFormat="false" ht="15.75" hidden="false" customHeight="true" outlineLevel="0" collapsed="false">
      <c r="A2" s="2" t="s">
        <v>382</v>
      </c>
      <c r="B2" s="2"/>
      <c r="C2" s="2"/>
      <c r="D2" s="2"/>
      <c r="E2" s="2"/>
      <c r="F2" s="2"/>
      <c r="G2" s="2"/>
      <c r="H2" s="2"/>
      <c r="I2" s="2"/>
      <c r="J2" s="2"/>
      <c r="K2" s="2"/>
      <c r="L2" s="2"/>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0"/>
    <col collapsed="false" customWidth="true" hidden="false" outlineLevel="0" max="5" min="4" style="0" width="46"/>
    <col collapsed="false" customWidth="true" hidden="false" outlineLevel="0" max="6" min="6" style="0" width="40"/>
  </cols>
  <sheetData>
    <row r="1" customFormat="false" ht="25.5" hidden="false" customHeight="true" outlineLevel="0" collapsed="false">
      <c r="A1" s="87" t="s">
        <v>383</v>
      </c>
      <c r="B1" s="87"/>
      <c r="C1" s="87"/>
      <c r="D1" s="87"/>
      <c r="E1" s="87"/>
      <c r="F1" s="87"/>
    </row>
    <row r="2" customFormat="false" ht="30" hidden="false" customHeight="true" outlineLevel="0" collapsed="false">
      <c r="A2" s="88" t="s">
        <v>384</v>
      </c>
      <c r="B2" s="88"/>
      <c r="C2" s="88"/>
      <c r="D2" s="88"/>
      <c r="E2" s="88"/>
      <c r="F2" s="88"/>
    </row>
    <row r="4" customFormat="false" ht="30" hidden="false" customHeight="true" outlineLevel="0" collapsed="false">
      <c r="A4" s="89" t="s">
        <v>385</v>
      </c>
      <c r="B4" s="89" t="s">
        <v>386</v>
      </c>
      <c r="C4" s="89" t="s">
        <v>387</v>
      </c>
      <c r="D4" s="89" t="s">
        <v>388</v>
      </c>
      <c r="E4" s="89" t="s">
        <v>389</v>
      </c>
      <c r="F4" s="89" t="s">
        <v>61</v>
      </c>
    </row>
    <row r="5" customFormat="false" ht="109.5" hidden="false" customHeight="true" outlineLevel="0" collapsed="false">
      <c r="A5" s="90" t="n">
        <v>1</v>
      </c>
      <c r="B5" s="91" t="s">
        <v>390</v>
      </c>
      <c r="C5" s="8" t="s">
        <v>391</v>
      </c>
      <c r="D5" s="8" t="s">
        <v>392</v>
      </c>
      <c r="E5" s="8" t="s">
        <v>393</v>
      </c>
      <c r="F5" s="8" t="s">
        <v>394</v>
      </c>
    </row>
    <row r="6" customFormat="false" ht="109.5" hidden="false" customHeight="true" outlineLevel="0" collapsed="false">
      <c r="A6" s="90" t="n">
        <v>2</v>
      </c>
      <c r="B6" s="91" t="s">
        <v>395</v>
      </c>
      <c r="C6" s="8" t="s">
        <v>396</v>
      </c>
      <c r="D6" s="8" t="s">
        <v>397</v>
      </c>
      <c r="E6" s="8" t="s">
        <v>398</v>
      </c>
      <c r="F6" s="8" t="s">
        <v>399</v>
      </c>
    </row>
    <row r="7" customFormat="false" ht="109.5" hidden="false" customHeight="true" outlineLevel="0" collapsed="false">
      <c r="A7" s="90" t="n">
        <v>3</v>
      </c>
      <c r="B7" s="91" t="s">
        <v>400</v>
      </c>
      <c r="C7" s="8" t="s">
        <v>401</v>
      </c>
      <c r="D7" s="8" t="s">
        <v>402</v>
      </c>
      <c r="E7" s="8" t="s">
        <v>403</v>
      </c>
      <c r="F7" s="8" t="s">
        <v>404</v>
      </c>
    </row>
    <row r="8" customFormat="false" ht="109.5" hidden="false" customHeight="true" outlineLevel="0" collapsed="false">
      <c r="A8" s="90" t="n">
        <v>4</v>
      </c>
      <c r="B8" s="91" t="s">
        <v>405</v>
      </c>
      <c r="C8" s="8" t="s">
        <v>406</v>
      </c>
      <c r="D8" s="8" t="s">
        <v>407</v>
      </c>
      <c r="E8" s="8" t="s">
        <v>408</v>
      </c>
      <c r="F8" s="8" t="s">
        <v>409</v>
      </c>
    </row>
    <row r="9" customFormat="false" ht="109.5" hidden="false" customHeight="true" outlineLevel="0" collapsed="false">
      <c r="A9" s="90" t="n">
        <v>5</v>
      </c>
      <c r="B9" s="91" t="s">
        <v>410</v>
      </c>
      <c r="C9" s="8" t="s">
        <v>411</v>
      </c>
      <c r="D9" s="8" t="s">
        <v>412</v>
      </c>
      <c r="E9" s="8" t="s">
        <v>413</v>
      </c>
      <c r="F9" s="8" t="s">
        <v>414</v>
      </c>
    </row>
    <row r="10" customFormat="false" ht="109.5" hidden="false" customHeight="true" outlineLevel="0" collapsed="false">
      <c r="A10" s="90" t="n">
        <v>6</v>
      </c>
      <c r="B10" s="91" t="s">
        <v>415</v>
      </c>
      <c r="C10" s="8" t="s">
        <v>416</v>
      </c>
      <c r="D10" s="8" t="s">
        <v>417</v>
      </c>
      <c r="E10" s="8" t="s">
        <v>418</v>
      </c>
      <c r="F10" s="8" t="s">
        <v>419</v>
      </c>
    </row>
    <row r="11" customFormat="false" ht="109.5" hidden="false" customHeight="true" outlineLevel="0" collapsed="false">
      <c r="A11" s="90" t="n">
        <v>7</v>
      </c>
      <c r="B11" s="91" t="s">
        <v>420</v>
      </c>
      <c r="C11" s="8" t="s">
        <v>421</v>
      </c>
      <c r="D11" s="8" t="s">
        <v>422</v>
      </c>
      <c r="E11" s="8" t="s">
        <v>423</v>
      </c>
      <c r="F11" s="8" t="s">
        <v>424</v>
      </c>
    </row>
    <row r="12" customFormat="false" ht="109.5" hidden="false" customHeight="true" outlineLevel="0" collapsed="false">
      <c r="A12" s="90" t="n">
        <v>8</v>
      </c>
      <c r="B12" s="91" t="s">
        <v>425</v>
      </c>
      <c r="C12" s="8" t="s">
        <v>426</v>
      </c>
      <c r="D12" s="8" t="s">
        <v>427</v>
      </c>
      <c r="E12" s="8" t="s">
        <v>428</v>
      </c>
      <c r="F12" s="8" t="s">
        <v>429</v>
      </c>
    </row>
    <row r="13" customFormat="false" ht="109.5" hidden="false" customHeight="true" outlineLevel="0" collapsed="false">
      <c r="A13" s="90" t="n">
        <v>9</v>
      </c>
      <c r="B13" s="91" t="s">
        <v>430</v>
      </c>
      <c r="C13" s="8" t="s">
        <v>431</v>
      </c>
      <c r="D13" s="8" t="s">
        <v>432</v>
      </c>
      <c r="E13" s="8" t="s">
        <v>433</v>
      </c>
      <c r="F13" s="8" t="s">
        <v>434</v>
      </c>
    </row>
    <row r="14" customFormat="false" ht="109.5" hidden="false" customHeight="true" outlineLevel="0" collapsed="false">
      <c r="A14" s="90" t="n">
        <v>10</v>
      </c>
      <c r="B14" s="91" t="s">
        <v>435</v>
      </c>
      <c r="C14" s="8" t="s">
        <v>436</v>
      </c>
      <c r="D14" s="8" t="s">
        <v>437</v>
      </c>
      <c r="E14" s="8" t="s">
        <v>438</v>
      </c>
      <c r="F14" s="8" t="s">
        <v>439</v>
      </c>
    </row>
    <row r="15" customFormat="false" ht="109.5" hidden="false" customHeight="true" outlineLevel="0" collapsed="false">
      <c r="A15" s="90" t="n">
        <v>11</v>
      </c>
      <c r="B15" s="91" t="s">
        <v>440</v>
      </c>
      <c r="C15" s="8" t="s">
        <v>441</v>
      </c>
      <c r="D15" s="8" t="s">
        <v>442</v>
      </c>
      <c r="E15" s="8" t="s">
        <v>443</v>
      </c>
      <c r="F15" s="8" t="s">
        <v>444</v>
      </c>
    </row>
    <row r="16" customFormat="false" ht="109.5" hidden="false" customHeight="true" outlineLevel="0" collapsed="false">
      <c r="A16" s="90" t="n">
        <v>12</v>
      </c>
      <c r="B16" s="91" t="s">
        <v>445</v>
      </c>
      <c r="C16" s="8" t="s">
        <v>446</v>
      </c>
      <c r="D16" s="8" t="s">
        <v>447</v>
      </c>
      <c r="E16" s="8" t="s">
        <v>448</v>
      </c>
      <c r="F16" s="8" t="s">
        <v>449</v>
      </c>
    </row>
    <row r="17" customFormat="false" ht="109.5" hidden="false" customHeight="true" outlineLevel="0" collapsed="false">
      <c r="A17" s="90" t="n">
        <v>13</v>
      </c>
      <c r="B17" s="91" t="s">
        <v>450</v>
      </c>
      <c r="C17" s="8" t="s">
        <v>451</v>
      </c>
      <c r="D17" s="8" t="s">
        <v>452</v>
      </c>
      <c r="E17" s="8" t="s">
        <v>453</v>
      </c>
      <c r="F17" s="8" t="s">
        <v>414</v>
      </c>
    </row>
  </sheetData>
  <mergeCells count="2">
    <mergeCell ref="A1:F1"/>
    <mergeCell ref="A2:F2"/>
  </mergeCells>
  <hyperlinks>
    <hyperlink ref="B5" location="'14_Charts'!A4" display="Titration curve — the static nonlinearity"/>
    <hyperlink ref="B6" location="'14_Charts'!A4" display="Process gain from the titration slope"/>
    <hyperlink ref="B7" location="'14_Charts'!A23" display="Scheduled Kc vs pH — the two philosophies"/>
    <hyperlink ref="B8" location="'14_Charts'!A23" display="IMC-scheduled Ti and Td vs pH"/>
    <hyperlink ref="B9" location="'14_Charts'!A42" display="Open-loop magnitude by region"/>
    <hyperlink ref="B10" location="'14_Charts'!A42" display="Open-loop phase by region"/>
    <hyperlink ref="B11" location="'14_Charts'!A61" display="Closed-loop pH response — all four controllers"/>
    <hyperlink ref="B12" location="'14_Charts'!A87" display="Closed-loop pH response — scheduled controllers only"/>
    <hyperlink ref="B13" location="'14_Charts'!A110" display="Manipulated variable — base flow Qb"/>
    <hyperlink ref="B14" location="'14_Charts'!A133" display="Mean IAE by controller (all segments vs tracking only)"/>
    <hyperlink ref="B15" location="'14_Charts'!A132" display="Phase margin by controller and region"/>
    <hyperlink ref="B16" location="'14_Charts'!A152" display="IAE change vs nominal, by mismatch case"/>
    <hyperlink ref="B17" location="'14_Charts'!A173" display="Mean overshoot by control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2026-08-28T06:26:13Z</dcterms:created>
  <dc:creator>openpyxl</dc:creator>
  <dc:description/>
  <dc:language>en-US</dc:language>
  <cp:lastModifiedBy/>
  <dcterms:modified xsi:type="dcterms:W3CDTF">2026-08-29T21:06:52Z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